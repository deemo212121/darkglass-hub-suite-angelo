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2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31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ALES" sheetId="1" r:id="rId5"/>
    <sheet state="visible" name="ATL &amp; JS LISTINGS" sheetId="2" r:id="rId6"/>
    <sheet state="visible" name="MP, SV, RL &amp; TL LISTINGS" sheetId="3" r:id="rId7"/>
    <sheet state="visible" name="SV &amp; MB LISTING" sheetId="4" r:id="rId8"/>
    <sheet state="visible" name="CT LISTINGS" sheetId="5" r:id="rId9"/>
    <sheet state="visible" name="KV LISTINGS" sheetId="6" r:id="rId10"/>
    <sheet state="visible" name="NV LISTINGS" sheetId="7" r:id="rId11"/>
    <sheet state="visible" name="CB , JB,  JT &amp; JV  LISTINGS" sheetId="8" r:id="rId12"/>
    <sheet state="visible" name="OTHERS" sheetId="9" r:id="rId13"/>
  </sheets>
  <definedNames/>
  <calcPr/>
</workbook>
</file>

<file path=xl/sharedStrings.xml><?xml version="1.0" encoding="utf-8"?>
<sst xmlns="http://schemas.openxmlformats.org/spreadsheetml/2006/main" count="21048" uniqueCount="4880">
  <si>
    <t>DATE</t>
  </si>
  <si>
    <t>PART#</t>
  </si>
  <si>
    <t>EBAY ACC</t>
  </si>
  <si>
    <t>LOCATION</t>
  </si>
  <si>
    <t>PRICE</t>
  </si>
  <si>
    <t>QTY#</t>
  </si>
  <si>
    <t>WD14X22895</t>
  </si>
  <si>
    <t>AEQ73110201</t>
  </si>
  <si>
    <t>Ebay (tekp07)</t>
  </si>
  <si>
    <t>Ebay (warehouse_101)</t>
  </si>
  <si>
    <t>WB44X47327</t>
  </si>
  <si>
    <t>MEMPHIS</t>
  </si>
  <si>
    <t>ATLANTA</t>
  </si>
  <si>
    <t>AEQ72909602</t>
  </si>
  <si>
    <t>WE04X24550</t>
  </si>
  <si>
    <t>EBR85755517</t>
  </si>
  <si>
    <t>EBR81445907</t>
  </si>
  <si>
    <t>WD19X25702</t>
  </si>
  <si>
    <t>SAVANNAH</t>
  </si>
  <si>
    <t>AGM30016301</t>
  </si>
  <si>
    <t>EAU63103216</t>
  </si>
  <si>
    <t>290D1955G102</t>
  </si>
  <si>
    <t>EBR83845001</t>
  </si>
  <si>
    <t>WD05X35098</t>
  </si>
  <si>
    <t>WB49X45009</t>
  </si>
  <si>
    <t>EBR86093718</t>
  </si>
  <si>
    <t>WB30X47331</t>
  </si>
  <si>
    <t>EBR31002618</t>
  </si>
  <si>
    <t>WR55X43825</t>
  </si>
  <si>
    <t>EBR79332513</t>
  </si>
  <si>
    <t>WH05X29663</t>
  </si>
  <si>
    <t>WE04X27284</t>
  </si>
  <si>
    <t>EBR83806901</t>
  </si>
  <si>
    <t>WB30X47328</t>
  </si>
  <si>
    <t>ACM76190305</t>
  </si>
  <si>
    <t>WB27X11134</t>
  </si>
  <si>
    <t>WB30T10132</t>
  </si>
  <si>
    <t>ABQ75742501</t>
  </si>
  <si>
    <t>WB27X28659</t>
  </si>
  <si>
    <t>WR85X39481</t>
  </si>
  <si>
    <t>EBR31002625</t>
  </si>
  <si>
    <t>WR60X31997</t>
  </si>
  <si>
    <t>W11575359</t>
  </si>
  <si>
    <t>WB27X24860</t>
  </si>
  <si>
    <t>WR87X30875</t>
  </si>
  <si>
    <t>WR55X31113</t>
  </si>
  <si>
    <t>WD28X34744</t>
  </si>
  <si>
    <t>WE17X24535</t>
  </si>
  <si>
    <t>DC97-22947J</t>
  </si>
  <si>
    <t>WH22X38438</t>
  </si>
  <si>
    <t>WH22X36498</t>
  </si>
  <si>
    <t>WE03X27679</t>
  </si>
  <si>
    <t>DC97-16742B</t>
  </si>
  <si>
    <t>NASHVILLE</t>
  </si>
  <si>
    <t>WH49X25375</t>
  </si>
  <si>
    <t>DC97-21423A</t>
  </si>
  <si>
    <t>DC97-22838C</t>
  </si>
  <si>
    <t>WB07X21373</t>
  </si>
  <si>
    <t>DC93-00823B</t>
  </si>
  <si>
    <t>WB18X30782</t>
  </si>
  <si>
    <t>DA97-17399B</t>
  </si>
  <si>
    <t>WD21X33780</t>
  </si>
  <si>
    <t>WD08X21894</t>
  </si>
  <si>
    <t>DA97-21916C</t>
  </si>
  <si>
    <t>WD24X29378</t>
  </si>
  <si>
    <t>DA97-24483A</t>
  </si>
  <si>
    <t>WR01X25007</t>
  </si>
  <si>
    <t>AEQ72909603</t>
  </si>
  <si>
    <t>DA97-21146C</t>
  </si>
  <si>
    <t>AEQ73110228</t>
  </si>
  <si>
    <t>DA97-22160B</t>
  </si>
  <si>
    <t>DA97-21041A</t>
  </si>
  <si>
    <t>DA97-19898A</t>
  </si>
  <si>
    <t>TCA38151706</t>
  </si>
  <si>
    <t>DA92-00447C</t>
  </si>
  <si>
    <t>WPW10300022</t>
  </si>
  <si>
    <t>DA92-00593L</t>
  </si>
  <si>
    <t>DA92-00763M</t>
  </si>
  <si>
    <t>WD19X28199</t>
  </si>
  <si>
    <t>DA92-00763W</t>
  </si>
  <si>
    <t>DA92-01194R</t>
  </si>
  <si>
    <t xml:space="preserve"> WR97X10033</t>
  </si>
  <si>
    <t>AGM76429511</t>
  </si>
  <si>
    <t>WR60X30922</t>
  </si>
  <si>
    <t>WR02X10585</t>
  </si>
  <si>
    <t>WR30X39385</t>
  </si>
  <si>
    <t>EBR36832608</t>
  </si>
  <si>
    <t>WR97X10085</t>
  </si>
  <si>
    <t>W11098702</t>
  </si>
  <si>
    <t>5221ER1003H</t>
  </si>
  <si>
    <t>WR13X29171</t>
  </si>
  <si>
    <t>W11510463</t>
  </si>
  <si>
    <t>ABT72989206</t>
  </si>
  <si>
    <t>WR07X10131</t>
  </si>
  <si>
    <t>5835EL1002A</t>
  </si>
  <si>
    <t>WR23X10783</t>
  </si>
  <si>
    <t>AEC73697601</t>
  </si>
  <si>
    <t>WR97X10034</t>
  </si>
  <si>
    <t>EBR89148401</t>
  </si>
  <si>
    <t>WR14X25060</t>
  </si>
  <si>
    <t>AJB73816015</t>
  </si>
  <si>
    <t>WR14X24747</t>
  </si>
  <si>
    <t>WH23X10040</t>
  </si>
  <si>
    <t>WR57X10084</t>
  </si>
  <si>
    <t xml:space="preserve"> WR55X29875</t>
  </si>
  <si>
    <t>EBR62707635</t>
  </si>
  <si>
    <t>WR57X36626</t>
  </si>
  <si>
    <t>EAM63891342</t>
  </si>
  <si>
    <t>WR02X27092</t>
  </si>
  <si>
    <t>AEQ73110227</t>
  </si>
  <si>
    <t>TCA35692204</t>
  </si>
  <si>
    <t>WR13X10160</t>
  </si>
  <si>
    <t>WR30X28731</t>
  </si>
  <si>
    <t>TCA35892762</t>
  </si>
  <si>
    <t>WR97X10142</t>
  </si>
  <si>
    <t>WB27X29801</t>
  </si>
  <si>
    <t>WR57X25054</t>
  </si>
  <si>
    <t>7270835</t>
  </si>
  <si>
    <t>WR29X24823</t>
  </si>
  <si>
    <t>AGU75407901</t>
  </si>
  <si>
    <t>WR01X11027</t>
  </si>
  <si>
    <t>EBR36815505</t>
  </si>
  <si>
    <t>W10185982</t>
  </si>
  <si>
    <t>WR01X11053</t>
  </si>
  <si>
    <t>W11578030</t>
  </si>
  <si>
    <t>W10886939</t>
  </si>
  <si>
    <t>WR02X12256</t>
  </si>
  <si>
    <t>WE03X27417</t>
  </si>
  <si>
    <t>DA97-17546A</t>
  </si>
  <si>
    <t>WR02X13387</t>
  </si>
  <si>
    <t>W10802681</t>
  </si>
  <si>
    <t>DA97-21052A</t>
  </si>
  <si>
    <t>WR57X10098</t>
  </si>
  <si>
    <t>TCA36811415</t>
  </si>
  <si>
    <t>DA97-13829C</t>
  </si>
  <si>
    <t>WR57X27487</t>
  </si>
  <si>
    <t>DA97-21686A</t>
  </si>
  <si>
    <t>WR55X24064</t>
  </si>
  <si>
    <t>DA97-24459A</t>
  </si>
  <si>
    <t>WR13X24928</t>
  </si>
  <si>
    <t>DA94-04399E</t>
  </si>
  <si>
    <t>WH03X29516</t>
  </si>
  <si>
    <t>WR51X31996</t>
  </si>
  <si>
    <t>WR01X10234</t>
  </si>
  <si>
    <t>WH01X29528</t>
  </si>
  <si>
    <t>ACV72909506</t>
  </si>
  <si>
    <t>DA94-06792D</t>
  </si>
  <si>
    <t>WR02X10782</t>
  </si>
  <si>
    <t>WE03X30657</t>
  </si>
  <si>
    <t>DA92-00384B</t>
  </si>
  <si>
    <t>WR13X10985</t>
  </si>
  <si>
    <t>5221DD1001E</t>
  </si>
  <si>
    <t>DA92-00459X</t>
  </si>
  <si>
    <t>WR23X31507</t>
  </si>
  <si>
    <t>EAU64063301</t>
  </si>
  <si>
    <t>DA92-00592B</t>
  </si>
  <si>
    <t>WR02X10779</t>
  </si>
  <si>
    <t>WE03X10016</t>
  </si>
  <si>
    <t>WR57X27517</t>
  </si>
  <si>
    <t>MCK70864305</t>
  </si>
  <si>
    <t>WR11X10010</t>
  </si>
  <si>
    <t>DA92-00593P</t>
  </si>
  <si>
    <t>WR02X10780</t>
  </si>
  <si>
    <t>WR98X50</t>
  </si>
  <si>
    <t>DA92-00594M</t>
  </si>
  <si>
    <t>WR17X11653</t>
  </si>
  <si>
    <t>WH13X26535</t>
  </si>
  <si>
    <t>DA92-00939A</t>
  </si>
  <si>
    <t>WR01X11052</t>
  </si>
  <si>
    <t>WP691366</t>
  </si>
  <si>
    <t>DA92-00979C</t>
  </si>
  <si>
    <t>WR02X13684</t>
  </si>
  <si>
    <t>W11708423</t>
  </si>
  <si>
    <t>DA94-02274G</t>
  </si>
  <si>
    <t>WR01X10953</t>
  </si>
  <si>
    <t>DA94-02275B</t>
  </si>
  <si>
    <t>A19676501</t>
  </si>
  <si>
    <t>WR12X34565</t>
  </si>
  <si>
    <t>DA97-08630A</t>
  </si>
  <si>
    <t>WR02X23748</t>
  </si>
  <si>
    <t>DA94-02663D</t>
  </si>
  <si>
    <t>EBF61674802</t>
  </si>
  <si>
    <t>WR17X34253</t>
  </si>
  <si>
    <t>W11662347</t>
  </si>
  <si>
    <t>DA94-03040P</t>
  </si>
  <si>
    <t>WR02X12059</t>
  </si>
  <si>
    <t>WB13X29294</t>
  </si>
  <si>
    <t>DA94-03757A</t>
  </si>
  <si>
    <t>WR97X10036</t>
  </si>
  <si>
    <t xml:space="preserve">WB18X45034 </t>
  </si>
  <si>
    <t>WR02X26526</t>
  </si>
  <si>
    <t>W11316252</t>
  </si>
  <si>
    <t>DA94-04405P</t>
  </si>
  <si>
    <t>WB35X32825</t>
  </si>
  <si>
    <t>EAD63748815</t>
  </si>
  <si>
    <t>DA94-04603A</t>
  </si>
  <si>
    <t>WB24X40051</t>
  </si>
  <si>
    <t>WE03X29704</t>
  </si>
  <si>
    <t>DA94-05310K</t>
  </si>
  <si>
    <t>WH08X29513</t>
  </si>
  <si>
    <t>WB27X29988</t>
  </si>
  <si>
    <t>DA94-05860G</t>
  </si>
  <si>
    <t>DA94-06039F</t>
  </si>
  <si>
    <t>WB28X39150</t>
  </si>
  <si>
    <t>WB24T10025</t>
  </si>
  <si>
    <t>DA94-06788A</t>
  </si>
  <si>
    <t>WB24X25013</t>
  </si>
  <si>
    <t>5210JA3005A</t>
  </si>
  <si>
    <t>WB27X26368</t>
  </si>
  <si>
    <t>WB27X25389</t>
  </si>
  <si>
    <t>WD24X34763</t>
  </si>
  <si>
    <t>DA92-00606E</t>
  </si>
  <si>
    <t>WB27X35672</t>
  </si>
  <si>
    <t>WB13X24741</t>
  </si>
  <si>
    <t>WD08X22095</t>
  </si>
  <si>
    <t>DA92-00611B</t>
  </si>
  <si>
    <t>WB28T10014</t>
  </si>
  <si>
    <t>WH03X29522</t>
  </si>
  <si>
    <t>WB02X24976</t>
  </si>
  <si>
    <t>WB19K10077</t>
  </si>
  <si>
    <t>DA94-02663F</t>
  </si>
  <si>
    <t>EAV64632103</t>
  </si>
  <si>
    <t>WB18X42866</t>
  </si>
  <si>
    <t>WB24X27107</t>
  </si>
  <si>
    <t>WB27X11213</t>
  </si>
  <si>
    <t>DA94-02679B</t>
  </si>
  <si>
    <t>WB26X28935</t>
  </si>
  <si>
    <t>EBG61305805</t>
  </si>
  <si>
    <t>DA94-02679D</t>
  </si>
  <si>
    <t>WB27X11212</t>
  </si>
  <si>
    <t>WE4M398</t>
  </si>
  <si>
    <t>WB10X25380</t>
  </si>
  <si>
    <t>W11484836</t>
  </si>
  <si>
    <t>DA94-04405A</t>
  </si>
  <si>
    <t>EBF62174906</t>
  </si>
  <si>
    <t>WB24X10047</t>
  </si>
  <si>
    <t>DA94-04604D</t>
  </si>
  <si>
    <t>WP3392519</t>
  </si>
  <si>
    <t>WB20K10015</t>
  </si>
  <si>
    <t>DA92-00384L</t>
  </si>
  <si>
    <t>AJC73112301</t>
  </si>
  <si>
    <t>WB16X28764</t>
  </si>
  <si>
    <t>6930W1A007H</t>
  </si>
  <si>
    <t>WB26X10226</t>
  </si>
  <si>
    <t>DA92-00384N</t>
  </si>
  <si>
    <t>6549W1S013H</t>
  </si>
  <si>
    <t>WR97X31246</t>
  </si>
  <si>
    <t>WD30X22347</t>
  </si>
  <si>
    <t>DA92-01190H</t>
  </si>
  <si>
    <t>WB24X37345</t>
  </si>
  <si>
    <t>WD21X23559</t>
  </si>
  <si>
    <t>DA92-01194M</t>
  </si>
  <si>
    <t>DA92-01196B</t>
  </si>
  <si>
    <t>WD01X29878</t>
  </si>
  <si>
    <t>DA92-01196D</t>
  </si>
  <si>
    <t>WP8573713</t>
  </si>
  <si>
    <t>DA92-01196H</t>
  </si>
  <si>
    <t>4J00977P</t>
  </si>
  <si>
    <t>DA92-01199B</t>
  </si>
  <si>
    <t>WD08X23477</t>
  </si>
  <si>
    <t>W11483116</t>
  </si>
  <si>
    <t>DA92-01199R</t>
  </si>
  <si>
    <t>WD12X32798</t>
  </si>
  <si>
    <t>W11314662</t>
  </si>
  <si>
    <t>DA92-01445D</t>
  </si>
  <si>
    <t>WD12X28239</t>
  </si>
  <si>
    <t>W11429589</t>
  </si>
  <si>
    <t>WD15X27703</t>
  </si>
  <si>
    <t>WD12X10412</t>
  </si>
  <si>
    <t>5200JQ3002E</t>
  </si>
  <si>
    <t>DA92-00384A</t>
  </si>
  <si>
    <t xml:space="preserve"> WE04X10190</t>
  </si>
  <si>
    <t>WE04X28977</t>
  </si>
  <si>
    <t>WR97X10032</t>
  </si>
  <si>
    <t>DA92-00611L</t>
  </si>
  <si>
    <t>WE01X25318</t>
  </si>
  <si>
    <t>WE01X24552</t>
  </si>
  <si>
    <t>DA97-20814B</t>
  </si>
  <si>
    <t>WR87X36103</t>
  </si>
  <si>
    <t>WE11X27152</t>
  </si>
  <si>
    <t>DC75-00010F</t>
  </si>
  <si>
    <t>WE04X25194</t>
  </si>
  <si>
    <t>WR87X36101</t>
  </si>
  <si>
    <t>DC93-00398C</t>
  </si>
  <si>
    <t>W11202789</t>
  </si>
  <si>
    <t>WE04X26214</t>
  </si>
  <si>
    <t>4681JB1027C</t>
  </si>
  <si>
    <t>WH13X26534</t>
  </si>
  <si>
    <t>WE04X26139</t>
  </si>
  <si>
    <t>DA92-01364A</t>
  </si>
  <si>
    <t>WB24X27550</t>
  </si>
  <si>
    <t>WE04X25198</t>
  </si>
  <si>
    <t>DA94-02663A</t>
  </si>
  <si>
    <t>WH49X27323</t>
  </si>
  <si>
    <t>WE4M318</t>
  </si>
  <si>
    <t>DA94-02663C</t>
  </si>
  <si>
    <t>WD19X27178</t>
  </si>
  <si>
    <t xml:space="preserve"> WE01M10007</t>
  </si>
  <si>
    <t>DA94-02679F</t>
  </si>
  <si>
    <t>EBR64730408</t>
  </si>
  <si>
    <t>DA94-04183C</t>
  </si>
  <si>
    <t>DC92-02636B</t>
  </si>
  <si>
    <t>DA94-04399A</t>
  </si>
  <si>
    <t>WB07X47344</t>
  </si>
  <si>
    <t>WE03X31620</t>
  </si>
  <si>
    <t>DA94-04604A</t>
  </si>
  <si>
    <t>WE04X25200</t>
  </si>
  <si>
    <t>W10919003</t>
  </si>
  <si>
    <t>WE3M33</t>
  </si>
  <si>
    <t>WD22X33499</t>
  </si>
  <si>
    <t>WE03X25285</t>
  </si>
  <si>
    <t>WE03X36780</t>
  </si>
  <si>
    <t>WP353244</t>
  </si>
  <si>
    <t>DE94-04320A</t>
  </si>
  <si>
    <t>WE04X29059</t>
  </si>
  <si>
    <t>DC32-00007A</t>
  </si>
  <si>
    <t>WE01X25317</t>
  </si>
  <si>
    <t>WB24X10174</t>
  </si>
  <si>
    <t>WE03X29897</t>
  </si>
  <si>
    <t>WB30T10130</t>
  </si>
  <si>
    <t>WE04X30381</t>
  </si>
  <si>
    <t xml:space="preserve">WE4M416 </t>
  </si>
  <si>
    <t xml:space="preserve">WE4M325 </t>
  </si>
  <si>
    <t>WD01X35298</t>
  </si>
  <si>
    <t>WE01X25316</t>
  </si>
  <si>
    <t>WE04X24719</t>
  </si>
  <si>
    <t>204659P</t>
  </si>
  <si>
    <t>WE03X33648</t>
  </si>
  <si>
    <t>WH01X28350</t>
  </si>
  <si>
    <t>205222</t>
  </si>
  <si>
    <t>WE04X25586</t>
  </si>
  <si>
    <t>5214EA3004B</t>
  </si>
  <si>
    <t>WE13X29725</t>
  </si>
  <si>
    <t>WB27X38974</t>
  </si>
  <si>
    <t>4581EL2002L</t>
  </si>
  <si>
    <t>WE04X20252</t>
  </si>
  <si>
    <t>W11109499</t>
  </si>
  <si>
    <t>AAZ73855914</t>
  </si>
  <si>
    <t>WE04X24553</t>
  </si>
  <si>
    <t>AGM30030702</t>
  </si>
  <si>
    <t>ABN72938911</t>
  </si>
  <si>
    <t>WE02X25282</t>
  </si>
  <si>
    <t>WD12X25864</t>
  </si>
  <si>
    <t>ACQ30358611</t>
  </si>
  <si>
    <t>WE04X25201</t>
  </si>
  <si>
    <t>Temporary list for MB</t>
  </si>
  <si>
    <t>DA97-08069A</t>
  </si>
  <si>
    <t xml:space="preserve">WH01X33277 </t>
  </si>
  <si>
    <t>Mobile</t>
  </si>
  <si>
    <t>W11535094</t>
  </si>
  <si>
    <t xml:space="preserve">WH16X26908 </t>
  </si>
  <si>
    <t>MOBILE</t>
  </si>
  <si>
    <t xml:space="preserve">WH16X27179 </t>
  </si>
  <si>
    <t>WB27X50046</t>
  </si>
  <si>
    <t>AEN74691606</t>
  </si>
  <si>
    <t xml:space="preserve">WR72X39076 </t>
  </si>
  <si>
    <t>DC97-16782E (1)</t>
  </si>
  <si>
    <t>WH44X27477 replaces AP6872727</t>
  </si>
  <si>
    <t>AGZ72909711</t>
  </si>
  <si>
    <t>WE22X36197</t>
  </si>
  <si>
    <t xml:space="preserve">WR02X29031 </t>
  </si>
  <si>
    <t>AJU74852801</t>
  </si>
  <si>
    <t>WH16X27251</t>
  </si>
  <si>
    <t>AJU74852805</t>
  </si>
  <si>
    <t>DD93-01013A</t>
  </si>
  <si>
    <t>AKN73029001</t>
  </si>
  <si>
    <t>WR72X43927</t>
  </si>
  <si>
    <t>EAU59551208</t>
  </si>
  <si>
    <t>HG2215095</t>
  </si>
  <si>
    <t xml:space="preserve">WR72X39074 </t>
  </si>
  <si>
    <t>EBR36815501</t>
  </si>
  <si>
    <t>DA47-00526B</t>
  </si>
  <si>
    <t>EBR88309764</t>
  </si>
  <si>
    <t>WB14X34677</t>
  </si>
  <si>
    <t>WH16X27179</t>
  </si>
  <si>
    <t>MBG67853623</t>
  </si>
  <si>
    <t xml:space="preserve">WB18X44767 </t>
  </si>
  <si>
    <t>WH16X27180</t>
  </si>
  <si>
    <t>MHN61882004</t>
  </si>
  <si>
    <t>WB18X39323</t>
  </si>
  <si>
    <t>W11700916</t>
  </si>
  <si>
    <t>MJX64711401</t>
  </si>
  <si>
    <t xml:space="preserve">WD21X24940 </t>
  </si>
  <si>
    <t>DA94-06792A</t>
  </si>
  <si>
    <t xml:space="preserve">WE08X33117 </t>
  </si>
  <si>
    <t>AEQ73110217</t>
  </si>
  <si>
    <t>WE08X33644</t>
  </si>
  <si>
    <t>DA97-21256S</t>
  </si>
  <si>
    <t xml:space="preserve">WR57X31999 </t>
  </si>
  <si>
    <t>WR55X43006</t>
  </si>
  <si>
    <t>MAGC11001011000221</t>
  </si>
  <si>
    <t>W11650662</t>
  </si>
  <si>
    <t>A21755301</t>
  </si>
  <si>
    <t xml:space="preserve">WR13X29171 </t>
  </si>
  <si>
    <t>WR62X39469</t>
  </si>
  <si>
    <t>WR13X10238</t>
  </si>
  <si>
    <t>WR13X10246</t>
  </si>
  <si>
    <t>WR55X10409 QTY 2</t>
  </si>
  <si>
    <t>AEB76292102</t>
  </si>
  <si>
    <t>WR55X31027</t>
  </si>
  <si>
    <t>AEQ73449905</t>
  </si>
  <si>
    <t>WR13X36887</t>
  </si>
  <si>
    <t>WR55X40445</t>
  </si>
  <si>
    <t>AEQ73449909</t>
  </si>
  <si>
    <t>A10281708</t>
  </si>
  <si>
    <t>DA62-04678A</t>
  </si>
  <si>
    <t>WR55X46385</t>
  </si>
  <si>
    <t>WR23X10783 QTY 2</t>
  </si>
  <si>
    <t>DA82-02697A</t>
  </si>
  <si>
    <t>WD21X26439</t>
  </si>
  <si>
    <t>WR02X31092</t>
  </si>
  <si>
    <t xml:space="preserve">DA97-08059A </t>
  </si>
  <si>
    <t>W11548535</t>
  </si>
  <si>
    <t>WR55X31115</t>
  </si>
  <si>
    <t>DA97-17297C</t>
  </si>
  <si>
    <t>WH19X27495</t>
  </si>
  <si>
    <t>WR09X32225</t>
  </si>
  <si>
    <t>DA97-21968A</t>
  </si>
  <si>
    <t xml:space="preserve">WB24X21192 </t>
  </si>
  <si>
    <t>WR87X40385</t>
  </si>
  <si>
    <t xml:space="preserve"> DA97-22162B</t>
  </si>
  <si>
    <t>W11162040</t>
  </si>
  <si>
    <t xml:space="preserve">IM116000 </t>
  </si>
  <si>
    <t xml:space="preserve"> WR60X33005</t>
  </si>
  <si>
    <t>IM117000</t>
  </si>
  <si>
    <t>WR86X10094</t>
  </si>
  <si>
    <t>WR55X11139</t>
  </si>
  <si>
    <t>W11548540</t>
  </si>
  <si>
    <t>WR86X36438</t>
  </si>
  <si>
    <t>WR30X27181</t>
  </si>
  <si>
    <t>WR55X24394</t>
  </si>
  <si>
    <t>W11565030</t>
  </si>
  <si>
    <t>WR30X35287</t>
  </si>
  <si>
    <t>WR01X25538</t>
  </si>
  <si>
    <t>DG98-02643A</t>
  </si>
  <si>
    <t xml:space="preserve">QTY 2 </t>
  </si>
  <si>
    <t>WR49X31524</t>
  </si>
  <si>
    <t xml:space="preserve">WR50X10068 </t>
  </si>
  <si>
    <t>5304513458</t>
  </si>
  <si>
    <t>WR17X11953</t>
  </si>
  <si>
    <t>5304533448</t>
  </si>
  <si>
    <t xml:space="preserve">WR97X10032 </t>
  </si>
  <si>
    <t>WR97X32111</t>
  </si>
  <si>
    <t>AED37133163</t>
  </si>
  <si>
    <t xml:space="preserve">WR97X10076 </t>
  </si>
  <si>
    <t>MEG66687101</t>
  </si>
  <si>
    <t>DC93-00904D</t>
  </si>
  <si>
    <t>WR97X10140</t>
  </si>
  <si>
    <t>MEA66371801</t>
  </si>
  <si>
    <t xml:space="preserve">WR97X33345 </t>
  </si>
  <si>
    <t>W11166841</t>
  </si>
  <si>
    <t>WPW10176670</t>
  </si>
  <si>
    <t>WR97X32305</t>
  </si>
  <si>
    <t>W11203272</t>
  </si>
  <si>
    <t>W11736671</t>
  </si>
  <si>
    <t>WR97X10083</t>
  </si>
  <si>
    <t>WPW10215115</t>
  </si>
  <si>
    <t>DG96-00110B</t>
  </si>
  <si>
    <t>WR57X45267</t>
  </si>
  <si>
    <t>W10580293</t>
  </si>
  <si>
    <t>WR07X32332</t>
  </si>
  <si>
    <t>WR55X36435</t>
  </si>
  <si>
    <t>W11614515</t>
  </si>
  <si>
    <t>WR02X20879</t>
  </si>
  <si>
    <t>WD19X25461</t>
  </si>
  <si>
    <t>WR17X11168</t>
  </si>
  <si>
    <t>DC97-16782A</t>
  </si>
  <si>
    <t>DD31-00016A</t>
  </si>
  <si>
    <t>WR17X45126</t>
  </si>
  <si>
    <t>WH43X34257</t>
  </si>
  <si>
    <t>K2138326</t>
  </si>
  <si>
    <t>WR02X11288</t>
  </si>
  <si>
    <t>WR55X43866</t>
  </si>
  <si>
    <t>WR55X29270</t>
  </si>
  <si>
    <t>WD30X35299</t>
  </si>
  <si>
    <t>W11512399</t>
  </si>
  <si>
    <t>WR55X30056</t>
  </si>
  <si>
    <t>DC97-16919B</t>
  </si>
  <si>
    <t>WH22X37840</t>
  </si>
  <si>
    <t>WR13X24931</t>
  </si>
  <si>
    <t>DC97-17078B</t>
  </si>
  <si>
    <t xml:space="preserve">WR98X45 </t>
  </si>
  <si>
    <t>WD01X27720</t>
  </si>
  <si>
    <t>WR72X24815</t>
  </si>
  <si>
    <t>WR98X35</t>
  </si>
  <si>
    <t>WD01X27721</t>
  </si>
  <si>
    <t>DG31-00011D</t>
  </si>
  <si>
    <t>WR02X31987</t>
  </si>
  <si>
    <t>DG47-00067A</t>
  </si>
  <si>
    <t>DA62-04678B</t>
  </si>
  <si>
    <t>WR98X60</t>
  </si>
  <si>
    <t>DG94-01441B</t>
  </si>
  <si>
    <t>WD19X32518</t>
  </si>
  <si>
    <t>WB18X39319</t>
  </si>
  <si>
    <t>DG96-00838A</t>
  </si>
  <si>
    <t xml:space="preserve"> WB18X32780 </t>
  </si>
  <si>
    <t>DE94-04071D</t>
  </si>
  <si>
    <t>WB18X31422</t>
  </si>
  <si>
    <t>BN96-49998F</t>
  </si>
  <si>
    <t>WH03X34137</t>
  </si>
  <si>
    <t>BN96-54439B</t>
  </si>
  <si>
    <t>WB18X44574</t>
  </si>
  <si>
    <t>K2128714</t>
  </si>
  <si>
    <t>BN44-01054A</t>
  </si>
  <si>
    <t xml:space="preserve"> WB19T10078  </t>
  </si>
  <si>
    <t>BN94-14037F</t>
  </si>
  <si>
    <t>BN94-13802J</t>
  </si>
  <si>
    <t>DA97-24463A</t>
  </si>
  <si>
    <t>WB38K10016</t>
  </si>
  <si>
    <t>BN94-14784E</t>
  </si>
  <si>
    <t>WB27X11033</t>
  </si>
  <si>
    <t>WR87X43007</t>
  </si>
  <si>
    <t>BN44-01059A</t>
  </si>
  <si>
    <t>WB16X24722</t>
  </si>
  <si>
    <t>BN44-01110E</t>
  </si>
  <si>
    <t>WB18X32406</t>
  </si>
  <si>
    <t>BN44-01055D</t>
  </si>
  <si>
    <t>WB18X31489</t>
  </si>
  <si>
    <t>DD61-00501B</t>
  </si>
  <si>
    <t>WB18X44787</t>
  </si>
  <si>
    <t>WB18X47162</t>
  </si>
  <si>
    <t>DA96-01384D</t>
  </si>
  <si>
    <t>WB18X47435</t>
  </si>
  <si>
    <t>WB07X47345</t>
  </si>
  <si>
    <t>BN44-01100J</t>
  </si>
  <si>
    <t>WR60X10307</t>
  </si>
  <si>
    <t>BN44-00932H</t>
  </si>
  <si>
    <t>WB07X47353</t>
  </si>
  <si>
    <t>WB13X40208</t>
  </si>
  <si>
    <t>WB07X47348</t>
  </si>
  <si>
    <t>DE94-05208A</t>
  </si>
  <si>
    <t>WH23X28418</t>
  </si>
  <si>
    <t>WB26X35519</t>
  </si>
  <si>
    <t>DG92-01134C</t>
  </si>
  <si>
    <t>WB01X35349</t>
  </si>
  <si>
    <t>WPW10602001</t>
  </si>
  <si>
    <t>2501-001016</t>
  </si>
  <si>
    <t xml:space="preserve">WB27X11213 </t>
  </si>
  <si>
    <t>DE47-00006A</t>
  </si>
  <si>
    <t>WE04X25280</t>
  </si>
  <si>
    <t xml:space="preserve">WB24X27107 </t>
  </si>
  <si>
    <t>DE47-20037A</t>
  </si>
  <si>
    <t xml:space="preserve">WB21X25979 </t>
  </si>
  <si>
    <t>DE59-00002A</t>
  </si>
  <si>
    <t>WB21X10165</t>
  </si>
  <si>
    <t>WB30X47333</t>
  </si>
  <si>
    <t>DE91-70101F</t>
  </si>
  <si>
    <t>DE96-00400A</t>
  </si>
  <si>
    <t>W10518394</t>
  </si>
  <si>
    <t>WB21X46427</t>
  </si>
  <si>
    <t>DE96-00400E</t>
  </si>
  <si>
    <t>AGM30151209</t>
  </si>
  <si>
    <t>WB27X49716</t>
  </si>
  <si>
    <t>DE96-00740D</t>
  </si>
  <si>
    <t>WB02X29242</t>
  </si>
  <si>
    <t>DE96-00912C</t>
  </si>
  <si>
    <t>WB16X28252</t>
  </si>
  <si>
    <t>DE96-00912E</t>
  </si>
  <si>
    <t>WB03X41107</t>
  </si>
  <si>
    <t>DE96-01131B</t>
  </si>
  <si>
    <t>WB21X43803</t>
  </si>
  <si>
    <t>DE31-00045B</t>
  </si>
  <si>
    <t>WB24X47190</t>
  </si>
  <si>
    <t>A06683602</t>
  </si>
  <si>
    <t>WB21X39510</t>
  </si>
  <si>
    <t>DE94-04071A</t>
  </si>
  <si>
    <t>WB21X20612</t>
  </si>
  <si>
    <t>K2411748</t>
  </si>
  <si>
    <t>WH03X29622</t>
  </si>
  <si>
    <t>WB02X24725</t>
  </si>
  <si>
    <t>DG92-01198D</t>
  </si>
  <si>
    <t>WB21X22134</t>
  </si>
  <si>
    <t>W11658402</t>
  </si>
  <si>
    <t>DG94-03950F</t>
  </si>
  <si>
    <t>WB02X24727</t>
  </si>
  <si>
    <t>BN39-02601A</t>
  </si>
  <si>
    <t>BN39-02675A</t>
  </si>
  <si>
    <t>WE08X32439</t>
  </si>
  <si>
    <t>WB34K10121</t>
  </si>
  <si>
    <t>RMOTDA312WRZZ</t>
  </si>
  <si>
    <t>WB27X42526</t>
  </si>
  <si>
    <t>FW-QZA117WRK0</t>
  </si>
  <si>
    <t>WB27X36065</t>
  </si>
  <si>
    <t>DPWBFB275MRU2</t>
  </si>
  <si>
    <t>WD21X35479</t>
  </si>
  <si>
    <t>WB21K10157</t>
  </si>
  <si>
    <t>DPWBFB277MRUO</t>
  </si>
  <si>
    <t>WB21X20470</t>
  </si>
  <si>
    <t>EBR84545303</t>
  </si>
  <si>
    <t>NSFTPA045WRFZ</t>
  </si>
  <si>
    <t>DPWB-A571DRKZ</t>
  </si>
  <si>
    <t>WB28X39139</t>
  </si>
  <si>
    <t>PHOK-A178WRFZ</t>
  </si>
  <si>
    <t>WB21X28821</t>
  </si>
  <si>
    <t>LSTPPB082MRF0</t>
  </si>
  <si>
    <t>DC47-00016A</t>
  </si>
  <si>
    <t>LSTPPB081/KIT</t>
  </si>
  <si>
    <t>WB23X5340</t>
  </si>
  <si>
    <t>W11246350</t>
  </si>
  <si>
    <t>K2003971</t>
  </si>
  <si>
    <t>WD21X31502</t>
  </si>
  <si>
    <t>11 670 010</t>
  </si>
  <si>
    <t>WE11X21156</t>
  </si>
  <si>
    <t>WD21X29818</t>
  </si>
  <si>
    <t>10 897 680</t>
  </si>
  <si>
    <t xml:space="preserve">WD21X29752 </t>
  </si>
  <si>
    <t>WB27X32101</t>
  </si>
  <si>
    <t>7 128 870</t>
  </si>
  <si>
    <t>WD21X30241</t>
  </si>
  <si>
    <t>10 421 670</t>
  </si>
  <si>
    <t xml:space="preserve"> WD21X33543 </t>
  </si>
  <si>
    <t>11 957 760</t>
  </si>
  <si>
    <t>WD22X28059</t>
  </si>
  <si>
    <t>10 397318</t>
  </si>
  <si>
    <t xml:space="preserve">DC97-04981F </t>
  </si>
  <si>
    <t>WD21X32679</t>
  </si>
  <si>
    <t>DC97-16782E</t>
  </si>
  <si>
    <t>DA97-23268C</t>
  </si>
  <si>
    <t>WH13X30373</t>
  </si>
  <si>
    <t>WD21X25468</t>
  </si>
  <si>
    <t>DA97-24482A</t>
  </si>
  <si>
    <t xml:space="preserve">WD21X10261 </t>
  </si>
  <si>
    <t>DA81-06007A</t>
  </si>
  <si>
    <t>WD12X28078</t>
  </si>
  <si>
    <t>DA82-01415A</t>
  </si>
  <si>
    <t>WD21X32678</t>
  </si>
  <si>
    <t>DA32-10104N</t>
  </si>
  <si>
    <t xml:space="preserve"> TCA37611425</t>
  </si>
  <si>
    <t>WD22X33498</t>
  </si>
  <si>
    <t>DA34-00043J</t>
  </si>
  <si>
    <t>DA32-10105V</t>
  </si>
  <si>
    <t>WB30X46986</t>
  </si>
  <si>
    <t>WD21X34840</t>
  </si>
  <si>
    <t xml:space="preserve"> DA32-10104N</t>
  </si>
  <si>
    <t>DA60-00258B</t>
  </si>
  <si>
    <t>WE1M575</t>
  </si>
  <si>
    <t>WB30X24111</t>
  </si>
  <si>
    <t>DA62-01426A</t>
  </si>
  <si>
    <t>WE4M448</t>
  </si>
  <si>
    <t>WH45X26674</t>
  </si>
  <si>
    <t>DA67-02795B</t>
  </si>
  <si>
    <t>WE04X26215</t>
  </si>
  <si>
    <t>DA97-00151B</t>
  </si>
  <si>
    <t>WE04X29714</t>
  </si>
  <si>
    <t>DA97-14157B</t>
  </si>
  <si>
    <t>WE04X29792</t>
  </si>
  <si>
    <t>DA97-14471A</t>
  </si>
  <si>
    <t>K2204942</t>
  </si>
  <si>
    <t>DA97-17393U</t>
  </si>
  <si>
    <t>DA97-19028B</t>
  </si>
  <si>
    <t xml:space="preserve">WE49X28115 </t>
  </si>
  <si>
    <t>DA97-21256B</t>
  </si>
  <si>
    <t>W11108620</t>
  </si>
  <si>
    <t>WE04X25196</t>
  </si>
  <si>
    <t>BN59-01403A</t>
  </si>
  <si>
    <t>WE01X20560</t>
  </si>
  <si>
    <t>W10810403</t>
  </si>
  <si>
    <t>DA62-03914A</t>
  </si>
  <si>
    <t>WE04X25195</t>
  </si>
  <si>
    <t>DK31-00005C</t>
  </si>
  <si>
    <t>W11385424</t>
  </si>
  <si>
    <t>DC98-01877B</t>
  </si>
  <si>
    <t>WE1M300</t>
  </si>
  <si>
    <t>W11665945</t>
  </si>
  <si>
    <t xml:space="preserve">WE04X36264 </t>
  </si>
  <si>
    <t>WE15X25654</t>
  </si>
  <si>
    <t>WE03X20434</t>
  </si>
  <si>
    <t>W10837240</t>
  </si>
  <si>
    <t>WE23X35037</t>
  </si>
  <si>
    <t>W10314173</t>
  </si>
  <si>
    <t xml:space="preserve">WE15X26140 </t>
  </si>
  <si>
    <t>WE23X33897</t>
  </si>
  <si>
    <t>W10384183</t>
  </si>
  <si>
    <t>W10443319</t>
  </si>
  <si>
    <t>WE04X35682</t>
  </si>
  <si>
    <t>WP3387134</t>
  </si>
  <si>
    <t>W11572047</t>
  </si>
  <si>
    <t>WE21X26838</t>
  </si>
  <si>
    <t>WPW10249913</t>
  </si>
  <si>
    <t>W11482035</t>
  </si>
  <si>
    <t>WE08X38320</t>
  </si>
  <si>
    <t>W11427433</t>
  </si>
  <si>
    <t xml:space="preserve">WC02X20287 </t>
  </si>
  <si>
    <t>W11553446</t>
  </si>
  <si>
    <t>WH13X27314</t>
  </si>
  <si>
    <t>W11673316</t>
  </si>
  <si>
    <t>W11396716</t>
  </si>
  <si>
    <t>WH23X29538</t>
  </si>
  <si>
    <t>WP3387223</t>
  </si>
  <si>
    <t>W11513248</t>
  </si>
  <si>
    <t>WPW10353552</t>
  </si>
  <si>
    <t>WPW10359269</t>
  </si>
  <si>
    <t>WH13X26637</t>
  </si>
  <si>
    <t>W11678832</t>
  </si>
  <si>
    <t>WH03X32218</t>
  </si>
  <si>
    <t>WP3191050</t>
  </si>
  <si>
    <t>WH03X32097</t>
  </si>
  <si>
    <t>DG96-00845A</t>
  </si>
  <si>
    <t>DE26-00122B</t>
  </si>
  <si>
    <t>WR13X25632</t>
  </si>
  <si>
    <t>DG31-00026B</t>
  </si>
  <si>
    <t>DG92-01084C</t>
  </si>
  <si>
    <t>WH41X24177</t>
  </si>
  <si>
    <t>W10181986</t>
  </si>
  <si>
    <t>DG92-01084E</t>
  </si>
  <si>
    <t>WH19X27439</t>
  </si>
  <si>
    <t>OM75P20ESGN</t>
  </si>
  <si>
    <t xml:space="preserve"> WH08X37859</t>
  </si>
  <si>
    <t>OM75P31ESGN</t>
  </si>
  <si>
    <t>WH19X27244</t>
  </si>
  <si>
    <t>DC92-02379C</t>
  </si>
  <si>
    <t>WH08X37938</t>
  </si>
  <si>
    <t>DG47-00071A</t>
  </si>
  <si>
    <t xml:space="preserve">WH41X36320 </t>
  </si>
  <si>
    <t>DC97-20589J</t>
  </si>
  <si>
    <t>WH01X32580</t>
  </si>
  <si>
    <t>DC97-20620A</t>
  </si>
  <si>
    <t>WH04X35689</t>
  </si>
  <si>
    <t>DC31-00187A</t>
  </si>
  <si>
    <t xml:space="preserve"> WH04X35737</t>
  </si>
  <si>
    <t>W11612326</t>
  </si>
  <si>
    <t>WH13X28374</t>
  </si>
  <si>
    <t>W11671282</t>
  </si>
  <si>
    <t>WH41X35677</t>
  </si>
  <si>
    <t>W11484840</t>
  </si>
  <si>
    <t>WH42X28355</t>
  </si>
  <si>
    <t>W10870822</t>
  </si>
  <si>
    <t>WH19X27496</t>
  </si>
  <si>
    <t>W11688994</t>
  </si>
  <si>
    <t>WH13X27418</t>
  </si>
  <si>
    <t>W11688995</t>
  </si>
  <si>
    <t xml:space="preserve">WH03X28951 </t>
  </si>
  <si>
    <t>W11685947</t>
  </si>
  <si>
    <t>WH12X27187</t>
  </si>
  <si>
    <t>WP2198202</t>
  </si>
  <si>
    <t>WH01X37858</t>
  </si>
  <si>
    <t>W11087438</t>
  </si>
  <si>
    <t>W11412300</t>
  </si>
  <si>
    <t>WH01X31637</t>
  </si>
  <si>
    <t>RA-3A00125ADEH04</t>
  </si>
  <si>
    <t>WH04X29308</t>
  </si>
  <si>
    <t>W11396717</t>
  </si>
  <si>
    <t>WH42X29424</t>
  </si>
  <si>
    <t>WPW10279882</t>
  </si>
  <si>
    <t>WH03X32158</t>
  </si>
  <si>
    <t>W11658802</t>
  </si>
  <si>
    <t>WH18X27186</t>
  </si>
  <si>
    <t xml:space="preserve">WH05X29514 </t>
  </si>
  <si>
    <t>WP3149404</t>
  </si>
  <si>
    <t>W10861656</t>
  </si>
  <si>
    <t xml:space="preserve"> WD30X33399</t>
  </si>
  <si>
    <t>W11627413</t>
  </si>
  <si>
    <t xml:space="preserve">WD30X33398 </t>
  </si>
  <si>
    <t>W11176847</t>
  </si>
  <si>
    <t>W11591402</t>
  </si>
  <si>
    <t>WR72X39427</t>
  </si>
  <si>
    <t xml:space="preserve">WH41X29503 </t>
  </si>
  <si>
    <t>WR30X31923</t>
  </si>
  <si>
    <t>DE47-00050C</t>
  </si>
  <si>
    <t>WB16X28250</t>
  </si>
  <si>
    <t>DC92-01531B</t>
  </si>
  <si>
    <t>WE11M43</t>
  </si>
  <si>
    <t>DC92-01621A</t>
  </si>
  <si>
    <t>DC92-02003A</t>
  </si>
  <si>
    <t>WD28X26011</t>
  </si>
  <si>
    <t>DC92-02118D</t>
  </si>
  <si>
    <t>WR72X39428</t>
  </si>
  <si>
    <t>DC92-03077T</t>
  </si>
  <si>
    <t>WD21X33778</t>
  </si>
  <si>
    <t>DC93-00153N</t>
  </si>
  <si>
    <t>WR85X40010</t>
  </si>
  <si>
    <t>WE11X29440</t>
  </si>
  <si>
    <t>WB10X25573</t>
  </si>
  <si>
    <t>DC66-00470D</t>
  </si>
  <si>
    <t xml:space="preserve">WE22X35103 </t>
  </si>
  <si>
    <t>DC92-02636A</t>
  </si>
  <si>
    <t>WE22X34377</t>
  </si>
  <si>
    <t>5300JB1100Y</t>
  </si>
  <si>
    <t>WD16X30872</t>
  </si>
  <si>
    <t>WE4M532</t>
  </si>
  <si>
    <t>WD19X25622</t>
  </si>
  <si>
    <t>WR30X39266</t>
  </si>
  <si>
    <t>WH22X38517</t>
  </si>
  <si>
    <t>WD12x26198</t>
  </si>
  <si>
    <t>WD21x33779</t>
  </si>
  <si>
    <t>WB16x39429</t>
  </si>
  <si>
    <t xml:space="preserve">WB27X10876 </t>
  </si>
  <si>
    <t>WB16X40627</t>
  </si>
  <si>
    <t>WH22X33177</t>
  </si>
  <si>
    <t>6021-001573</t>
  </si>
  <si>
    <t>WD19X925461</t>
  </si>
  <si>
    <t>WR14X32098</t>
  </si>
  <si>
    <t>234D2145</t>
  </si>
  <si>
    <t>WB26X10247</t>
  </si>
  <si>
    <t>WH22X38697</t>
  </si>
  <si>
    <t>WR49X45785</t>
  </si>
  <si>
    <t>DC31-20014C</t>
  </si>
  <si>
    <t>WH23X28143</t>
  </si>
  <si>
    <t>WB13X25633</t>
  </si>
  <si>
    <t>WR55x32080</t>
  </si>
  <si>
    <t>DC62-00344A</t>
  </si>
  <si>
    <t>DC34-00025E</t>
  </si>
  <si>
    <t xml:space="preserve">WR55X44505 </t>
  </si>
  <si>
    <t>WB26X35507</t>
  </si>
  <si>
    <t>AEM75152905</t>
  </si>
  <si>
    <t>WR55X34887</t>
  </si>
  <si>
    <t>DC66-00032G</t>
  </si>
  <si>
    <t>WH22X36577</t>
  </si>
  <si>
    <t>WB16X28867</t>
  </si>
  <si>
    <t>MJX64471402</t>
  </si>
  <si>
    <t xml:space="preserve">WR60X39468 </t>
  </si>
  <si>
    <t>WD21X33700</t>
  </si>
  <si>
    <t xml:space="preserve">EAF61170610 </t>
  </si>
  <si>
    <t>WR86X37548</t>
  </si>
  <si>
    <t>DC93-00736B</t>
  </si>
  <si>
    <t>WH08X29510</t>
  </si>
  <si>
    <t>WH22X35701</t>
  </si>
  <si>
    <t>WR86X25269</t>
  </si>
  <si>
    <t>WD21X32938</t>
  </si>
  <si>
    <t>AJU72992601</t>
  </si>
  <si>
    <t xml:space="preserve">WR86X36438 </t>
  </si>
  <si>
    <t>DC93-00736C</t>
  </si>
  <si>
    <t>K2142832</t>
  </si>
  <si>
    <t>WR55X48305</t>
  </si>
  <si>
    <t xml:space="preserve"> WR55X43825</t>
  </si>
  <si>
    <t>AJU75632520</t>
  </si>
  <si>
    <t>WE04X36457</t>
  </si>
  <si>
    <t>EBR31629601</t>
  </si>
  <si>
    <t>WR30X39470</t>
  </si>
  <si>
    <t>WB21X47330</t>
  </si>
  <si>
    <t>DE81-03395A</t>
  </si>
  <si>
    <t>WR17X21781</t>
  </si>
  <si>
    <t>WB27X29202</t>
  </si>
  <si>
    <t>WH22X37220</t>
  </si>
  <si>
    <t>WD21X31898</t>
  </si>
  <si>
    <t>DC96-01703C</t>
  </si>
  <si>
    <t xml:space="preserve">WH22X36270 </t>
  </si>
  <si>
    <t xml:space="preserve">WD21X24459 </t>
  </si>
  <si>
    <t>DC96-01703N</t>
  </si>
  <si>
    <t xml:space="preserve">WH03X31937 </t>
  </si>
  <si>
    <t>WH08X37937</t>
  </si>
  <si>
    <t xml:space="preserve"> W11399437</t>
  </si>
  <si>
    <t>DC64-00504C</t>
  </si>
  <si>
    <t xml:space="preserve">WB30X49746 </t>
  </si>
  <si>
    <t>W10370582</t>
  </si>
  <si>
    <t>WB30XT10130</t>
  </si>
  <si>
    <t>WR57X32000</t>
  </si>
  <si>
    <t>WB30X42872</t>
  </si>
  <si>
    <t>W11162041</t>
  </si>
  <si>
    <t>WR49X38366</t>
  </si>
  <si>
    <t>W11621180</t>
  </si>
  <si>
    <t>WB24T10146</t>
  </si>
  <si>
    <t>WB27X25120</t>
  </si>
  <si>
    <t>W11427701</t>
  </si>
  <si>
    <t>WH03X30517</t>
  </si>
  <si>
    <t xml:space="preserve">WH22X38438 </t>
  </si>
  <si>
    <t>W10754299</t>
  </si>
  <si>
    <t>WH44X10288</t>
  </si>
  <si>
    <t>WB26X35402</t>
  </si>
  <si>
    <t>WB27X42537</t>
  </si>
  <si>
    <t>WR57X36627</t>
  </si>
  <si>
    <t>W11210459</t>
  </si>
  <si>
    <t>WB27X37960</t>
  </si>
  <si>
    <t>W10626460</t>
  </si>
  <si>
    <t>WB27X44106</t>
  </si>
  <si>
    <t>WB27X25616</t>
  </si>
  <si>
    <t>W11089236</t>
  </si>
  <si>
    <t>WB06X45708</t>
  </si>
  <si>
    <t>DA97-22162B</t>
  </si>
  <si>
    <t>W10804160</t>
  </si>
  <si>
    <t>WB21X47324</t>
  </si>
  <si>
    <t>W11613564</t>
  </si>
  <si>
    <t>W11026785</t>
  </si>
  <si>
    <t>WR55X48225</t>
  </si>
  <si>
    <t>WB02X35509</t>
  </si>
  <si>
    <t xml:space="preserve">DC97-16350S (2) </t>
  </si>
  <si>
    <t>W11217817</t>
  </si>
  <si>
    <t xml:space="preserve">WB27X22070 </t>
  </si>
  <si>
    <t>W11224256</t>
  </si>
  <si>
    <t xml:space="preserve">DC97-16350T (2) AND DC97-16350S (2) </t>
  </si>
  <si>
    <t>WR57X24979</t>
  </si>
  <si>
    <t>W11260238</t>
  </si>
  <si>
    <t>WB13X47325</t>
  </si>
  <si>
    <t>WH03X31397</t>
  </si>
  <si>
    <t>W11482384</t>
  </si>
  <si>
    <t>W11482025</t>
  </si>
  <si>
    <t>WB28X24762</t>
  </si>
  <si>
    <t>W10846539</t>
  </si>
  <si>
    <t>WB13X47322</t>
  </si>
  <si>
    <t>WPW10414398</t>
  </si>
  <si>
    <t xml:space="preserve"> WPW10279884</t>
  </si>
  <si>
    <t>WE22X35978</t>
  </si>
  <si>
    <t>WR60X42165</t>
  </si>
  <si>
    <t>WH16X34317</t>
  </si>
  <si>
    <t>WE16X33977</t>
  </si>
  <si>
    <t xml:space="preserve"> WE04X27284</t>
  </si>
  <si>
    <t>WB18X31555</t>
  </si>
  <si>
    <t>AJU75632502</t>
  </si>
  <si>
    <t xml:space="preserve"> WB27X11134</t>
  </si>
  <si>
    <t>WR87X45045</t>
  </si>
  <si>
    <t>WR55X47612</t>
  </si>
  <si>
    <t>WB24X42806</t>
  </si>
  <si>
    <t xml:space="preserve">WR55X41985 </t>
  </si>
  <si>
    <t>WH16X29509</t>
  </si>
  <si>
    <t>WR60X25858</t>
  </si>
  <si>
    <t>WH22X33178</t>
  </si>
  <si>
    <t>WB02X35579</t>
  </si>
  <si>
    <t>DPWB-B836DRKZ</t>
  </si>
  <si>
    <t>WB27X32626</t>
  </si>
  <si>
    <t>WH22X34917</t>
  </si>
  <si>
    <t>WD19X232518</t>
  </si>
  <si>
    <t xml:space="preserve"> WR17X31816</t>
  </si>
  <si>
    <t>WH11X29539</t>
  </si>
  <si>
    <t>WH08X30003</t>
  </si>
  <si>
    <t>WR02X48145</t>
  </si>
  <si>
    <t>K2142711</t>
  </si>
  <si>
    <t>WR55X38248</t>
  </si>
  <si>
    <t>WH41X10280</t>
  </si>
  <si>
    <t>WE03X28740</t>
  </si>
  <si>
    <t xml:space="preserve">WH16X26911  </t>
  </si>
  <si>
    <t xml:space="preserve">WH16X26910 </t>
  </si>
  <si>
    <t>WH22X35745</t>
  </si>
  <si>
    <t>DG32-00002B</t>
  </si>
  <si>
    <t>WB16K10079</t>
  </si>
  <si>
    <t>W11550891</t>
  </si>
  <si>
    <t>WR30X39345</t>
  </si>
  <si>
    <t>WD14X23738</t>
  </si>
  <si>
    <t>DG96-00804A</t>
  </si>
  <si>
    <t>WH142X34718</t>
  </si>
  <si>
    <t>WR87X31765</t>
  </si>
  <si>
    <t>DG32-00004C</t>
  </si>
  <si>
    <t>WB27X42488</t>
  </si>
  <si>
    <t>DG64-01050A</t>
  </si>
  <si>
    <t>WB27X43226</t>
  </si>
  <si>
    <t>ADQ73673609</t>
  </si>
  <si>
    <t>DG94-00539A</t>
  </si>
  <si>
    <t>WD21X30918</t>
  </si>
  <si>
    <t>DG94-00540A</t>
  </si>
  <si>
    <t>Wr55x10861</t>
  </si>
  <si>
    <t>W10238092</t>
  </si>
  <si>
    <t>DG47-00064A</t>
  </si>
  <si>
    <t>WR01X46106</t>
  </si>
  <si>
    <t>WH22X29047</t>
  </si>
  <si>
    <t>WB19K10065</t>
  </si>
  <si>
    <t>WB27X49856</t>
  </si>
  <si>
    <t>WD28X26008</t>
  </si>
  <si>
    <t>WH22X35537</t>
  </si>
  <si>
    <t>WE49X37817</t>
  </si>
  <si>
    <t>DA97-07603B</t>
  </si>
  <si>
    <t>WB30T10129</t>
  </si>
  <si>
    <t xml:space="preserve">WB30X45058 </t>
  </si>
  <si>
    <t>WB27X48607</t>
  </si>
  <si>
    <t xml:space="preserve">WB30X47328 </t>
  </si>
  <si>
    <t>WH22X29543</t>
  </si>
  <si>
    <t>WD05X30298</t>
  </si>
  <si>
    <t>WR14X30117</t>
  </si>
  <si>
    <t>WB30X46987</t>
  </si>
  <si>
    <t>WB30T10155</t>
  </si>
  <si>
    <t>WB27X33083</t>
  </si>
  <si>
    <t>WB30T10136</t>
  </si>
  <si>
    <t>WB30X49746</t>
  </si>
  <si>
    <t>WB26X35514</t>
  </si>
  <si>
    <t>WD30X34183</t>
  </si>
  <si>
    <t xml:space="preserve"> WH11X39237</t>
  </si>
  <si>
    <t>WB27X35567</t>
  </si>
  <si>
    <t>WB27X45120</t>
  </si>
  <si>
    <t>WR55X46945</t>
  </si>
  <si>
    <t>WB27X35127</t>
  </si>
  <si>
    <t>BN94-17427A</t>
  </si>
  <si>
    <t>WB27X45466</t>
  </si>
  <si>
    <t>BN94-00054E</t>
  </si>
  <si>
    <t>WB34X48127</t>
  </si>
  <si>
    <t>BN44-01051B</t>
  </si>
  <si>
    <t>WB13X25500</t>
  </si>
  <si>
    <t>BN96-50987V</t>
  </si>
  <si>
    <t>WB13X30972</t>
  </si>
  <si>
    <t>WR14X30142</t>
  </si>
  <si>
    <t>WB44X48678</t>
  </si>
  <si>
    <t>WE01X34100</t>
  </si>
  <si>
    <t>242196214</t>
  </si>
  <si>
    <t>BN94-8022E</t>
  </si>
  <si>
    <t>WR60X31522</t>
  </si>
  <si>
    <t>WR55X43065</t>
  </si>
  <si>
    <t>WR30X10093</t>
  </si>
  <si>
    <t xml:space="preserve"> WH03X33657</t>
  </si>
  <si>
    <t>DA34-00043B</t>
  </si>
  <si>
    <t>DG94-05034B</t>
  </si>
  <si>
    <t>DC33-01006B</t>
  </si>
  <si>
    <t>DC33-01010F</t>
  </si>
  <si>
    <t xml:space="preserve"> DA94-05310F</t>
  </si>
  <si>
    <t>DE92-04327A</t>
  </si>
  <si>
    <t>DC33-01011C</t>
  </si>
  <si>
    <t>DE31-00044D</t>
  </si>
  <si>
    <t>DC62-30314L</t>
  </si>
  <si>
    <t>DE94-03043B</t>
  </si>
  <si>
    <t>DC62-30314V</t>
  </si>
  <si>
    <t>DC66-10170B</t>
  </si>
  <si>
    <t>DG62-00074C</t>
  </si>
  <si>
    <t>DD31-00016B</t>
  </si>
  <si>
    <t>DG97-00083A</t>
  </si>
  <si>
    <t xml:space="preserve"> DD81-01527A</t>
  </si>
  <si>
    <t>DE92-03963B</t>
  </si>
  <si>
    <t>DC97-15459H</t>
  </si>
  <si>
    <t>DD81-02735A</t>
  </si>
  <si>
    <t>DG81-02241A</t>
  </si>
  <si>
    <t>DD93-01016A</t>
  </si>
  <si>
    <t xml:space="preserve"> DE26-00122B</t>
  </si>
  <si>
    <t>DE96-00740F</t>
  </si>
  <si>
    <t>DE96-01093A</t>
  </si>
  <si>
    <t xml:space="preserve">DG94-02931E </t>
  </si>
  <si>
    <t>DD33-01002B</t>
  </si>
  <si>
    <t xml:space="preserve">DC31-20014C </t>
  </si>
  <si>
    <t>DD34-00006A</t>
  </si>
  <si>
    <t>DC62-00311F</t>
  </si>
  <si>
    <t>DC62-30314K</t>
  </si>
  <si>
    <t>DD34-00007A</t>
  </si>
  <si>
    <t>DA97-21256C</t>
  </si>
  <si>
    <t>DD39-00001A</t>
  </si>
  <si>
    <t>DA92-00611A</t>
  </si>
  <si>
    <t>DD39-00012S</t>
  </si>
  <si>
    <t>DC97-19289F</t>
  </si>
  <si>
    <t>DD39-00013D</t>
  </si>
  <si>
    <t>DD39-00013T</t>
  </si>
  <si>
    <t xml:space="preserve"> DC31-00097B</t>
  </si>
  <si>
    <t>DD61-00489A</t>
  </si>
  <si>
    <t>4713-001102</t>
  </si>
  <si>
    <t>DD61-00546A</t>
  </si>
  <si>
    <t>DC62-00480A</t>
  </si>
  <si>
    <t>DC31-00097B</t>
  </si>
  <si>
    <t>NF54M5151ARASH</t>
  </si>
  <si>
    <t>EBR86096768</t>
  </si>
  <si>
    <t>WB03X39579</t>
  </si>
  <si>
    <t>DC97-18439B</t>
  </si>
  <si>
    <t>EBJ60664617</t>
  </si>
  <si>
    <t>WE03X38319</t>
  </si>
  <si>
    <t xml:space="preserve">ACG76164401 </t>
  </si>
  <si>
    <t xml:space="preserve"> ACG76164404</t>
  </si>
  <si>
    <t>WB27X44566</t>
  </si>
  <si>
    <t>AJL74692007</t>
  </si>
  <si>
    <t>WH22X34938</t>
  </si>
  <si>
    <t xml:space="preserve">ACG73748502 </t>
  </si>
  <si>
    <t>WB27X50567</t>
  </si>
  <si>
    <t>W11212745</t>
  </si>
  <si>
    <t>WR60X10276</t>
  </si>
  <si>
    <t>DC93-00690A</t>
  </si>
  <si>
    <t>DC93-00581A</t>
  </si>
  <si>
    <t>DG96-00836A</t>
  </si>
  <si>
    <t>DC93-00665B</t>
  </si>
  <si>
    <t>DC93-00518B</t>
  </si>
  <si>
    <t xml:space="preserve"> DC93-00715A</t>
  </si>
  <si>
    <t>DC93-00529A</t>
  </si>
  <si>
    <t>DC93-005818</t>
  </si>
  <si>
    <t>DC93-00927A</t>
  </si>
  <si>
    <t>BN39-02688B</t>
  </si>
  <si>
    <t>DC93-00541B</t>
  </si>
  <si>
    <t>DC93-00665A</t>
  </si>
  <si>
    <t>DG96-00728A</t>
  </si>
  <si>
    <t>DC93-00580B</t>
  </si>
  <si>
    <t>DG96-00547A</t>
  </si>
  <si>
    <t>DC93-00054C</t>
  </si>
  <si>
    <t xml:space="preserve"> DC96-00757A</t>
  </si>
  <si>
    <t>DC97-16747A</t>
  </si>
  <si>
    <t>DC93-00375B</t>
  </si>
  <si>
    <t>(DA97-00209Z)</t>
  </si>
  <si>
    <t>17176000A04038</t>
  </si>
  <si>
    <t>DG96-00855A</t>
  </si>
  <si>
    <t>DE92-90508A</t>
  </si>
  <si>
    <t>DE92-90505N</t>
  </si>
  <si>
    <t>DC60-50003A</t>
  </si>
  <si>
    <t>DC66-00680A</t>
  </si>
  <si>
    <t>DC93-00789E</t>
  </si>
  <si>
    <t>ADD73936019</t>
  </si>
  <si>
    <t>DC93-00312D</t>
  </si>
  <si>
    <t>ADD76422301</t>
  </si>
  <si>
    <t>DC93-00481A</t>
  </si>
  <si>
    <t xml:space="preserve"> DD39-00013R</t>
  </si>
  <si>
    <t>ADX52752665</t>
  </si>
  <si>
    <t>DC61-00128A</t>
  </si>
  <si>
    <t>AJK72989708</t>
  </si>
  <si>
    <t>DE96-01052A</t>
  </si>
  <si>
    <t>DA32-00070T</t>
  </si>
  <si>
    <t>DA32-00011M</t>
  </si>
  <si>
    <t xml:space="preserve"> DA62-04309D</t>
  </si>
  <si>
    <t>DA32-00033C</t>
  </si>
  <si>
    <t xml:space="preserve"> DA32-10109W</t>
  </si>
  <si>
    <t xml:space="preserve"> DC32-00007A</t>
  </si>
  <si>
    <t>DE94-03258A</t>
  </si>
  <si>
    <t>TALLAHASSEE</t>
  </si>
  <si>
    <t xml:space="preserve">WB30X24111 </t>
  </si>
  <si>
    <t xml:space="preserve">DG47-00071C </t>
  </si>
  <si>
    <t xml:space="preserve">DA97-01545G </t>
  </si>
  <si>
    <t xml:space="preserve">DC93-00101N </t>
  </si>
  <si>
    <t>DC92-03567L</t>
  </si>
  <si>
    <t>WH01X35685</t>
  </si>
  <si>
    <t>DA96-01408A</t>
  </si>
  <si>
    <t xml:space="preserve">DE64-03116A </t>
  </si>
  <si>
    <t>DD81-02103A</t>
  </si>
  <si>
    <t>DA94-06792N</t>
  </si>
  <si>
    <t xml:space="preserve">DA92-01193E </t>
  </si>
  <si>
    <t>DA97-19973A</t>
  </si>
  <si>
    <t>DA61-13818A</t>
  </si>
  <si>
    <t xml:space="preserve">DA92-00215B </t>
  </si>
  <si>
    <t>DA61-09969B</t>
  </si>
  <si>
    <t>DG94-03446A</t>
  </si>
  <si>
    <t>DA41-00413K</t>
  </si>
  <si>
    <t>DE96-00414D</t>
  </si>
  <si>
    <t>DA31-00043F</t>
  </si>
  <si>
    <t>DG94-00761C</t>
  </si>
  <si>
    <t>DA61-05001C</t>
  </si>
  <si>
    <t>DA92-00945A</t>
  </si>
  <si>
    <t>DA62-01477A</t>
  </si>
  <si>
    <t>DA97-20039C</t>
  </si>
  <si>
    <t>DA92-01199M</t>
  </si>
  <si>
    <t xml:space="preserve">DA92-01192A </t>
  </si>
  <si>
    <t>DC92-01989B</t>
  </si>
  <si>
    <t>DA97-22162A</t>
  </si>
  <si>
    <t>DA97-22160A</t>
  </si>
  <si>
    <t>DE94-04016A</t>
  </si>
  <si>
    <t>DG94-03797Q</t>
  </si>
  <si>
    <t>DE94-04012A</t>
  </si>
  <si>
    <t>DA97-14619A</t>
  </si>
  <si>
    <t>DA31-00333E</t>
  </si>
  <si>
    <t>DG96-00850D</t>
  </si>
  <si>
    <t>DA62-04027A</t>
  </si>
  <si>
    <t>DG47-00060A</t>
  </si>
  <si>
    <t>DG96-00680A</t>
  </si>
  <si>
    <t>OM75P-21-ESGN</t>
  </si>
  <si>
    <t>DA97-17398C</t>
  </si>
  <si>
    <t>BN94-13802E</t>
  </si>
  <si>
    <t>W11243758</t>
  </si>
  <si>
    <t>A05660402</t>
  </si>
  <si>
    <t>85.97</t>
  </si>
  <si>
    <t>5304519906</t>
  </si>
  <si>
    <t>CHATTANOOGA</t>
  </si>
  <si>
    <t>AHL73894503</t>
  </si>
  <si>
    <t>W11700329</t>
  </si>
  <si>
    <t>WH01X30344</t>
  </si>
  <si>
    <t>W11307244</t>
  </si>
  <si>
    <t>w11645245</t>
  </si>
  <si>
    <t>A02843501</t>
  </si>
  <si>
    <t>wd13x10071</t>
  </si>
  <si>
    <t>w11484836</t>
  </si>
  <si>
    <t>wh03x29516</t>
  </si>
  <si>
    <t>set of 4</t>
  </si>
  <si>
    <t>single</t>
  </si>
  <si>
    <t>wd01x35298</t>
  </si>
  <si>
    <t>wh08x36259</t>
  </si>
  <si>
    <t>WE04x25196</t>
  </si>
  <si>
    <t>wh01x29528</t>
  </si>
  <si>
    <t>wh04x35737</t>
  </si>
  <si>
    <t>wr50x10069</t>
  </si>
  <si>
    <t>we04x29950</t>
  </si>
  <si>
    <t>Sold</t>
  </si>
  <si>
    <t>k2427747</t>
  </si>
  <si>
    <t>wb24t10029</t>
  </si>
  <si>
    <t>wh01x27538</t>
  </si>
  <si>
    <t>wh16x29509</t>
  </si>
  <si>
    <t>w11026785</t>
  </si>
  <si>
    <t>wr87x43805</t>
  </si>
  <si>
    <t>DPWB-A568DRKZ</t>
  </si>
  <si>
    <t>WR87X41607</t>
  </si>
  <si>
    <t>wd28x35779</t>
  </si>
  <si>
    <t>A23242801</t>
  </si>
  <si>
    <t>DA97-08318B</t>
  </si>
  <si>
    <t>wh05x29514</t>
  </si>
  <si>
    <t>dc97-14486a</t>
  </si>
  <si>
    <t>A23243301</t>
  </si>
  <si>
    <t>dg47-00071c</t>
  </si>
  <si>
    <t>DA94-02963C</t>
  </si>
  <si>
    <t>wb21x10165</t>
  </si>
  <si>
    <t>DA92-00594N</t>
  </si>
  <si>
    <t xml:space="preserve"> DA94-03040A</t>
  </si>
  <si>
    <t>DA94-03757B</t>
  </si>
  <si>
    <t xml:space="preserve">DA94-04399A </t>
  </si>
  <si>
    <t>DG96-00850B</t>
  </si>
  <si>
    <t>we04x22654</t>
  </si>
  <si>
    <t>DA63-06894A</t>
  </si>
  <si>
    <t>DA62-04617B</t>
  </si>
  <si>
    <t>we04x24551</t>
  </si>
  <si>
    <t>DD97-00559C</t>
  </si>
  <si>
    <t>w11685947</t>
  </si>
  <si>
    <t>DC97-16745A</t>
  </si>
  <si>
    <t>w11622490</t>
  </si>
  <si>
    <t>DD81-02094A</t>
  </si>
  <si>
    <t>DC97-16350U</t>
  </si>
  <si>
    <t xml:space="preserve">W11700916 </t>
  </si>
  <si>
    <t>DC64-02763A</t>
  </si>
  <si>
    <t>wpw10605057</t>
  </si>
  <si>
    <t>DD81-02147B</t>
  </si>
  <si>
    <t>DG96-00415A</t>
  </si>
  <si>
    <t>da97-15217d</t>
  </si>
  <si>
    <t>DC97-21561A</t>
  </si>
  <si>
    <t>BRANCH TO BRANCH</t>
  </si>
  <si>
    <t>wr30x28731</t>
  </si>
  <si>
    <t>BN96-57420A</t>
  </si>
  <si>
    <t>w10915700</t>
  </si>
  <si>
    <t xml:space="preserve"> DG96-00819A</t>
  </si>
  <si>
    <t>w10915701</t>
  </si>
  <si>
    <t>6602-0016555</t>
  </si>
  <si>
    <t>DC93-00563A</t>
  </si>
  <si>
    <t>W11195971</t>
  </si>
  <si>
    <t>DC97-16972A</t>
  </si>
  <si>
    <t>DC93-00311B</t>
  </si>
  <si>
    <t>k2412398</t>
  </si>
  <si>
    <t>DC93-00476B</t>
  </si>
  <si>
    <t>da82-02870a</t>
  </si>
  <si>
    <t>DA47-00318R</t>
  </si>
  <si>
    <t>DD81-02072A</t>
  </si>
  <si>
    <t>da82-02903a</t>
  </si>
  <si>
    <t>DC93-00312F</t>
  </si>
  <si>
    <t>wh03x33733</t>
  </si>
  <si>
    <t>DE96-01045A</t>
  </si>
  <si>
    <t>wh03x33729</t>
  </si>
  <si>
    <t>DD82-01336C</t>
  </si>
  <si>
    <t>we03x33639</t>
  </si>
  <si>
    <t>DA97-20021A</t>
  </si>
  <si>
    <t>DA97-20019A</t>
  </si>
  <si>
    <t>wb30x49746</t>
  </si>
  <si>
    <t>DC93-00923C</t>
  </si>
  <si>
    <t>W10830055</t>
  </si>
  <si>
    <t>1M117000</t>
  </si>
  <si>
    <t>we49x37817</t>
  </si>
  <si>
    <t>DC97-20040B</t>
  </si>
  <si>
    <t xml:space="preserve">WE11X21156 </t>
  </si>
  <si>
    <t>DD82-01111B</t>
  </si>
  <si>
    <t>wh43x31240</t>
  </si>
  <si>
    <t>wr55x36087</t>
  </si>
  <si>
    <t>DA47-00424N</t>
  </si>
  <si>
    <t>we03x23875</t>
  </si>
  <si>
    <t>DA97-08804F</t>
  </si>
  <si>
    <t>DA82-02870A</t>
  </si>
  <si>
    <t>DA82-02886A</t>
  </si>
  <si>
    <t>wr78x31903</t>
  </si>
  <si>
    <t xml:space="preserve">WB34X31515 </t>
  </si>
  <si>
    <t>WB24X40331</t>
  </si>
  <si>
    <t>WH05X24185</t>
  </si>
  <si>
    <t>wh22x35745</t>
  </si>
  <si>
    <t>WD19X25700</t>
  </si>
  <si>
    <t>WB24T10022</t>
  </si>
  <si>
    <t>ebr86498812</t>
  </si>
  <si>
    <t>WB24T10029</t>
  </si>
  <si>
    <t>adc30047802</t>
  </si>
  <si>
    <t>WE22x35337</t>
  </si>
  <si>
    <t>adc30047602</t>
  </si>
  <si>
    <t>WE03X32037</t>
  </si>
  <si>
    <t>WR62X10055</t>
  </si>
  <si>
    <t>ng-rg-kit-30</t>
  </si>
  <si>
    <t xml:space="preserve">K2010626 </t>
  </si>
  <si>
    <t>WB24X25557</t>
  </si>
  <si>
    <t>WD21X26860</t>
  </si>
  <si>
    <t>adj75352112</t>
  </si>
  <si>
    <t>WR87X32081</t>
  </si>
  <si>
    <t>WH01X27538</t>
  </si>
  <si>
    <t xml:space="preserve">WB15X47291 </t>
  </si>
  <si>
    <t xml:space="preserve">WB56X47994 </t>
  </si>
  <si>
    <t>WR13X10159</t>
  </si>
  <si>
    <t>AGF30576452</t>
  </si>
  <si>
    <t>WH08X37859</t>
  </si>
  <si>
    <t>WE13X34597</t>
  </si>
  <si>
    <t>WE11X29790</t>
  </si>
  <si>
    <t>WD21X33550</t>
  </si>
  <si>
    <t>WH49X25376</t>
  </si>
  <si>
    <t xml:space="preserve"> </t>
  </si>
  <si>
    <t>WB25X10029</t>
  </si>
  <si>
    <t>ACA56078801</t>
  </si>
  <si>
    <t>WR17X31816</t>
  </si>
  <si>
    <t>WR50X10065</t>
  </si>
  <si>
    <t>WH04X35737</t>
  </si>
  <si>
    <t>WB30X38509</t>
  </si>
  <si>
    <t>DG96-00173A</t>
  </si>
  <si>
    <t>WH02X10363</t>
  </si>
  <si>
    <t>DC97-02412A</t>
  </si>
  <si>
    <t>DG44-01009B</t>
  </si>
  <si>
    <t xml:space="preserve">W10721967 </t>
  </si>
  <si>
    <t>6602-001655</t>
  </si>
  <si>
    <t>DG47-00063A</t>
  </si>
  <si>
    <t>BN94-16852B</t>
  </si>
  <si>
    <t>DA31-00203A</t>
  </si>
  <si>
    <t>DA97-12540K</t>
  </si>
  <si>
    <t>W11454741</t>
  </si>
  <si>
    <t>DG94-03583A</t>
  </si>
  <si>
    <t>DG94-03671D</t>
  </si>
  <si>
    <t>W11210463</t>
  </si>
  <si>
    <t>DA97-14977A</t>
  </si>
  <si>
    <t>WH22X35724</t>
  </si>
  <si>
    <t>DC93-00634A</t>
  </si>
  <si>
    <t>DA97-19010A</t>
  </si>
  <si>
    <t>W11482382</t>
  </si>
  <si>
    <t>DC34-00028A</t>
  </si>
  <si>
    <t>DA97-00209Z</t>
  </si>
  <si>
    <t>DA82-02367A</t>
  </si>
  <si>
    <t>DD81-02095A</t>
  </si>
  <si>
    <t>DA61-14306A</t>
  </si>
  <si>
    <t>WE4M416</t>
  </si>
  <si>
    <t>DC82-01097W</t>
  </si>
  <si>
    <t xml:space="preserve">W11217817 </t>
  </si>
  <si>
    <t>DA81-06006B</t>
  </si>
  <si>
    <t>DC97-02412R</t>
  </si>
  <si>
    <t>DC31-00055G</t>
  </si>
  <si>
    <t>DD81-02636A</t>
  </si>
  <si>
    <t>DC66-00470A</t>
  </si>
  <si>
    <t>DA31-00346A</t>
  </si>
  <si>
    <t>D7824706Q</t>
  </si>
  <si>
    <t>W11683243</t>
  </si>
  <si>
    <t>WPW10341329</t>
  </si>
  <si>
    <t xml:space="preserve">5304526032 </t>
  </si>
  <si>
    <t>EBF62174908</t>
  </si>
  <si>
    <t>W11239944</t>
  </si>
  <si>
    <t>WP8563965</t>
  </si>
  <si>
    <t>WP8577274</t>
  </si>
  <si>
    <t>W11400156</t>
  </si>
  <si>
    <t>W11413340</t>
  </si>
  <si>
    <t>8269144A</t>
  </si>
  <si>
    <t>W11449840</t>
  </si>
  <si>
    <t>W10752187</t>
  </si>
  <si>
    <t>W11579561</t>
  </si>
  <si>
    <t>W11712433</t>
  </si>
  <si>
    <t>WE4M325</t>
  </si>
  <si>
    <t>W11551233</t>
  </si>
  <si>
    <t>DC92-02636G</t>
  </si>
  <si>
    <t>W11396715</t>
  </si>
  <si>
    <t>W11771999</t>
  </si>
  <si>
    <t>WH03X29524</t>
  </si>
  <si>
    <t>W10709259</t>
  </si>
  <si>
    <t xml:space="preserve">WB02X35491 </t>
  </si>
  <si>
    <t>W11561182</t>
  </si>
  <si>
    <t>W10913953</t>
  </si>
  <si>
    <t>L13000588</t>
  </si>
  <si>
    <t>WR55X43390</t>
  </si>
  <si>
    <t>DA81-06413A</t>
  </si>
  <si>
    <t xml:space="preserve">WE2M302 </t>
  </si>
  <si>
    <t>DA81-06411A</t>
  </si>
  <si>
    <t>pack of 8</t>
  </si>
  <si>
    <t>DA81-06403A</t>
  </si>
  <si>
    <t>DA81-06416A</t>
  </si>
  <si>
    <t>DA81-06405A</t>
  </si>
  <si>
    <t>DA81-06410A</t>
  </si>
  <si>
    <t>WB56X47289</t>
  </si>
  <si>
    <t>ADH73150208</t>
  </si>
  <si>
    <t>DA81-06412A</t>
  </si>
  <si>
    <t>240356229</t>
  </si>
  <si>
    <t>K2130847</t>
  </si>
  <si>
    <t>K2082184</t>
  </si>
  <si>
    <t>WD30X20687</t>
  </si>
  <si>
    <t>K2272720</t>
  </si>
  <si>
    <t>K2266670</t>
  </si>
  <si>
    <t>WJ94X25904</t>
  </si>
  <si>
    <t>T322548</t>
  </si>
  <si>
    <t>K2304091</t>
  </si>
  <si>
    <t>K2003791</t>
  </si>
  <si>
    <t>K2297807</t>
  </si>
  <si>
    <t>K2203959</t>
  </si>
  <si>
    <t xml:space="preserve">WR87X31765, WR87X30875 AND WR98X45 </t>
  </si>
  <si>
    <t>K2152790</t>
  </si>
  <si>
    <t>290D1952G102</t>
  </si>
  <si>
    <t>COMPRESSOR KIT</t>
  </si>
  <si>
    <t>RALEIGH</t>
  </si>
  <si>
    <t>WD08X27458</t>
  </si>
  <si>
    <t>W10752189</t>
  </si>
  <si>
    <t>WB18X32532</t>
  </si>
  <si>
    <t>WB20K8</t>
  </si>
  <si>
    <t>WE4M415</t>
  </si>
  <si>
    <t>WE02X34498</t>
  </si>
  <si>
    <t>WR97X10033</t>
  </si>
  <si>
    <t>W10837741</t>
  </si>
  <si>
    <t>AMP30000002</t>
  </si>
  <si>
    <t>A00055408</t>
  </si>
  <si>
    <t>WR23X29170</t>
  </si>
  <si>
    <t>WR08X31586</t>
  </si>
  <si>
    <t>WR60X39276</t>
  </si>
  <si>
    <t>A00141702</t>
  </si>
  <si>
    <t>WR02X40305</t>
  </si>
  <si>
    <t>W11371714</t>
  </si>
  <si>
    <t>DA82–02866A</t>
  </si>
  <si>
    <t>DC31–20014C</t>
  </si>
  <si>
    <t>EAU63923603</t>
  </si>
  <si>
    <t>EBR31002623</t>
  </si>
  <si>
    <t>WH12X27614</t>
  </si>
  <si>
    <t>W11194422</t>
  </si>
  <si>
    <t>WH22X36270</t>
  </si>
  <si>
    <t>WR55X26671</t>
  </si>
  <si>
    <t>K2090429</t>
  </si>
  <si>
    <t>K2144344</t>
  </si>
  <si>
    <t>WH41X24395</t>
  </si>
  <si>
    <t>WH43X24454</t>
  </si>
  <si>
    <t>DA97–13718C</t>
  </si>
  <si>
    <t>DC97–18682D</t>
  </si>
  <si>
    <t>W11435841</t>
  </si>
  <si>
    <t>5304537896</t>
  </si>
  <si>
    <t>DA92–01364A</t>
  </si>
  <si>
    <t>DA94–04603A</t>
  </si>
  <si>
    <t>WR55X47345</t>
  </si>
  <si>
    <t>EBR30063405</t>
  </si>
  <si>
    <t>W112210459</t>
  </si>
  <si>
    <t>WB27X25594</t>
  </si>
  <si>
    <t>WE08X36258</t>
  </si>
  <si>
    <t>EBR88309762</t>
  </si>
  <si>
    <t>W11205353</t>
  </si>
  <si>
    <t>AGU74268161</t>
  </si>
  <si>
    <t>WB56X40093</t>
  </si>
  <si>
    <t>WR29X40206</t>
  </si>
  <si>
    <t>NTGZ2054Z01</t>
  </si>
  <si>
    <t>WB62X47095</t>
  </si>
  <si>
    <t>K1944484</t>
  </si>
  <si>
    <t>WH03X33729</t>
  </si>
  <si>
    <t>WR78X46765</t>
  </si>
  <si>
    <t>WH43X32857</t>
  </si>
  <si>
    <t>WB27X43225</t>
  </si>
  <si>
    <t>K2305031</t>
  </si>
  <si>
    <t>WH03X34378</t>
  </si>
  <si>
    <t>K2084717</t>
  </si>
  <si>
    <t>ADL73732016</t>
  </si>
  <si>
    <t xml:space="preserve"> K2144344</t>
  </si>
  <si>
    <t>ADD73996078</t>
  </si>
  <si>
    <t>ADD76155804</t>
  </si>
  <si>
    <t>WB30T10151</t>
  </si>
  <si>
    <t>K2298403</t>
  </si>
  <si>
    <t>WR87X43805</t>
  </si>
  <si>
    <t>K2145239</t>
  </si>
  <si>
    <t>W11454372</t>
  </si>
  <si>
    <t>K2153475</t>
  </si>
  <si>
    <t>AGL76194001</t>
  </si>
  <si>
    <t>K1468540</t>
  </si>
  <si>
    <t>WH19X27249</t>
  </si>
  <si>
    <t>ADP74833601</t>
  </si>
  <si>
    <t>W10830283</t>
  </si>
  <si>
    <t>WB24X25397</t>
  </si>
  <si>
    <t>FPLT-AO26WRYZ</t>
  </si>
  <si>
    <t>WH03X33961</t>
  </si>
  <si>
    <t xml:space="preserve">FPLT-A025WRYZ A025 </t>
  </si>
  <si>
    <t>WR02X32126</t>
  </si>
  <si>
    <t>WD19X24651</t>
  </si>
  <si>
    <t>9KL12971100018352</t>
  </si>
  <si>
    <t>WE04X29950</t>
  </si>
  <si>
    <t>W11613487</t>
  </si>
  <si>
    <t>WR97X10031</t>
  </si>
  <si>
    <t>WR97X10076</t>
  </si>
  <si>
    <t>WPW10223328</t>
  </si>
  <si>
    <t>BN96-54037C</t>
  </si>
  <si>
    <t>W11562215</t>
  </si>
  <si>
    <t>WR97X25268</t>
  </si>
  <si>
    <t>W10902814</t>
  </si>
  <si>
    <t>WPW10341320</t>
  </si>
  <si>
    <t>W11598122</t>
  </si>
  <si>
    <t>WPW10238100</t>
  </si>
  <si>
    <t>WPW10463967</t>
  </si>
  <si>
    <t>W11583883</t>
  </si>
  <si>
    <t>W11625517</t>
  </si>
  <si>
    <t>W10300022</t>
  </si>
  <si>
    <t>AEB76044904</t>
  </si>
  <si>
    <t>AEN 74532611</t>
  </si>
  <si>
    <t>WP8572205</t>
  </si>
  <si>
    <t>WB27X48097</t>
  </si>
  <si>
    <t>W11687417</t>
  </si>
  <si>
    <t>WE49X28295</t>
  </si>
  <si>
    <t xml:space="preserve">W11664713 </t>
  </si>
  <si>
    <t>W11412696</t>
  </si>
  <si>
    <t>W11662157</t>
  </si>
  <si>
    <t>W11602886</t>
  </si>
  <si>
    <t>WB30X47091</t>
  </si>
  <si>
    <t>K2427747</t>
  </si>
  <si>
    <t>W11481722</t>
  </si>
  <si>
    <t>WR51X10101</t>
  </si>
  <si>
    <t>WH43X31240</t>
  </si>
  <si>
    <t>W11043013</t>
  </si>
  <si>
    <t>99003431R</t>
  </si>
  <si>
    <t>WB44X47338</t>
  </si>
  <si>
    <t>Order I.D</t>
  </si>
  <si>
    <t>WH01X32866</t>
  </si>
  <si>
    <t>W11563296</t>
  </si>
  <si>
    <t>W11367678</t>
  </si>
  <si>
    <t>WR14X47687</t>
  </si>
  <si>
    <t>W10279882</t>
  </si>
  <si>
    <t>ABN74298110</t>
  </si>
  <si>
    <t>W10822606</t>
  </si>
  <si>
    <t>DG94-00541A</t>
  </si>
  <si>
    <t>DC31-00090B</t>
  </si>
  <si>
    <t>Part#</t>
  </si>
  <si>
    <t>Quantity</t>
  </si>
  <si>
    <t>Status</t>
  </si>
  <si>
    <t>AEB73764534</t>
  </si>
  <si>
    <t>Order Earnings</t>
  </si>
  <si>
    <t>WPW10128551</t>
  </si>
  <si>
    <t>Order date</t>
  </si>
  <si>
    <t>Sales ACC</t>
  </si>
  <si>
    <t>W10712394</t>
  </si>
  <si>
    <t>Location</t>
  </si>
  <si>
    <t>WB25T10012</t>
  </si>
  <si>
    <t xml:space="preserve"> W11342871 </t>
  </si>
  <si>
    <t>Notes</t>
  </si>
  <si>
    <t>W11545764</t>
  </si>
  <si>
    <t>3C05101AAA002</t>
  </si>
  <si>
    <t>W11645245</t>
  </si>
  <si>
    <t>WH01X33277</t>
  </si>
  <si>
    <t>WR97X32332</t>
  </si>
  <si>
    <t>W10276397</t>
  </si>
  <si>
    <t>W11025156</t>
  </si>
  <si>
    <t>A00044324</t>
  </si>
  <si>
    <r>
      <rPr>
        <color rgb="FF1155CC"/>
        <u/>
      </rPr>
      <t>02-14335-22139</t>
    </r>
  </si>
  <si>
    <t>AEB76044908</t>
  </si>
  <si>
    <t>W11637583</t>
  </si>
  <si>
    <t>DD97-00251A</t>
  </si>
  <si>
    <t>WPW10312695</t>
  </si>
  <si>
    <t>DD97-00252A</t>
  </si>
  <si>
    <t>DD61-00463A</t>
  </si>
  <si>
    <t>W11618916</t>
  </si>
  <si>
    <t>MEE62105241</t>
  </si>
  <si>
    <t>DPWBFB298MRU2</t>
  </si>
  <si>
    <t>W11618917</t>
  </si>
  <si>
    <t>DA63-02284B</t>
  </si>
  <si>
    <t>W11223013</t>
  </si>
  <si>
    <t>WPW10195039</t>
  </si>
  <si>
    <t>W11260930</t>
  </si>
  <si>
    <t>R0950217</t>
  </si>
  <si>
    <t>FC-QZA691WRKZ</t>
  </si>
  <si>
    <t>W11513255</t>
  </si>
  <si>
    <t>PCOVPA667WRPZ</t>
  </si>
  <si>
    <t>280148</t>
  </si>
  <si>
    <t>FH-HZA070WRE0</t>
  </si>
  <si>
    <t>RTRN-A750WRZZ</t>
  </si>
  <si>
    <t>W10901051</t>
  </si>
  <si>
    <t>RTRN-B101MRE0</t>
  </si>
  <si>
    <t>W11316254</t>
  </si>
  <si>
    <t>RV-MZA357WRZZ</t>
  </si>
  <si>
    <t>RV-MZA358WRZZ</t>
  </si>
  <si>
    <t>FUNTKB179WREZ</t>
  </si>
  <si>
    <t>CPNLCB989MRK1</t>
  </si>
  <si>
    <t>W11162036</t>
  </si>
  <si>
    <t>WH01X35557</t>
  </si>
  <si>
    <t>WK0035098</t>
  </si>
  <si>
    <t>W10498900</t>
  </si>
  <si>
    <t>W11448788</t>
  </si>
  <si>
    <t>Cancelled</t>
  </si>
  <si>
    <t>K2274188</t>
  </si>
  <si>
    <t xml:space="preserve">W10734521 </t>
  </si>
  <si>
    <t>K2144346</t>
  </si>
  <si>
    <t>W11590868</t>
  </si>
  <si>
    <t>DC97-20621A</t>
  </si>
  <si>
    <t>W11686799</t>
  </si>
  <si>
    <t>W11676504</t>
  </si>
  <si>
    <t>w10279884</t>
  </si>
  <si>
    <t>WPW10238092</t>
  </si>
  <si>
    <t>DA68-02567A</t>
  </si>
  <si>
    <t>w11550898</t>
  </si>
  <si>
    <t>DA97-16971C</t>
  </si>
  <si>
    <t>BN95-08389L</t>
  </si>
  <si>
    <t>W11335100</t>
  </si>
  <si>
    <t>W11768590</t>
  </si>
  <si>
    <t>W11726283</t>
  </si>
  <si>
    <t>W11414944</t>
  </si>
  <si>
    <t>WB27T10589</t>
  </si>
  <si>
    <t>WPW10448645</t>
  </si>
  <si>
    <t>DA81-06007B</t>
  </si>
  <si>
    <t>W11242945</t>
  </si>
  <si>
    <t>W11568984</t>
  </si>
  <si>
    <t>Out of Stock</t>
  </si>
  <si>
    <t>W10143759</t>
  </si>
  <si>
    <t>W11092533</t>
  </si>
  <si>
    <t>DC97-18439A</t>
  </si>
  <si>
    <t>4392067</t>
  </si>
  <si>
    <t>DC93-00101U</t>
  </si>
  <si>
    <t>W11104748</t>
  </si>
  <si>
    <t>DA97-12617A</t>
  </si>
  <si>
    <t>DC97-21472F</t>
  </si>
  <si>
    <t>W10909685</t>
  </si>
  <si>
    <t>WD34X28020</t>
  </si>
  <si>
    <t>W10843121</t>
  </si>
  <si>
    <t>ADJ74812544</t>
  </si>
  <si>
    <t xml:space="preserve"> W11708423</t>
  </si>
  <si>
    <t xml:space="preserve"> WPW10285512</t>
  </si>
  <si>
    <t>W11396033</t>
  </si>
  <si>
    <t>W10445975</t>
  </si>
  <si>
    <t>279973</t>
  </si>
  <si>
    <t xml:space="preserve">WPW10279831 </t>
  </si>
  <si>
    <t>W11542754</t>
  </si>
  <si>
    <t>W1150570</t>
  </si>
  <si>
    <t>DC31-00030E</t>
  </si>
  <si>
    <r>
      <rPr>
        <color rgb="FF1155CC"/>
        <u/>
      </rPr>
      <t>04-14325-10898</t>
    </r>
  </si>
  <si>
    <t>W10117655</t>
  </si>
  <si>
    <t>DD97-00256A</t>
  </si>
  <si>
    <t>W10529197</t>
  </si>
  <si>
    <t>DD97-00569D</t>
  </si>
  <si>
    <t>WP3397659</t>
  </si>
  <si>
    <t>W10359271</t>
  </si>
  <si>
    <t>WH02X24374</t>
  </si>
  <si>
    <t>W10528947</t>
  </si>
  <si>
    <t>WH03X29511</t>
  </si>
  <si>
    <t>W11724692</t>
  </si>
  <si>
    <t>WH19X24141</t>
  </si>
  <si>
    <t>DC92-03601E</t>
  </si>
  <si>
    <t>W11437973</t>
  </si>
  <si>
    <t>WH01X26190</t>
  </si>
  <si>
    <t>8577274</t>
  </si>
  <si>
    <t>W10695459</t>
  </si>
  <si>
    <t>WH08X32657</t>
  </si>
  <si>
    <t>W11221357</t>
  </si>
  <si>
    <t>WH02X24154</t>
  </si>
  <si>
    <t>WH03X28951</t>
  </si>
  <si>
    <t>W11211519</t>
  </si>
  <si>
    <t>W10359272</t>
  </si>
  <si>
    <t>WH02X24116</t>
  </si>
  <si>
    <t>KNOXVILLE</t>
  </si>
  <si>
    <t>Shipped</t>
  </si>
  <si>
    <t>WP2169142</t>
  </si>
  <si>
    <t>AEB76044903</t>
  </si>
  <si>
    <t>WP3977767</t>
  </si>
  <si>
    <t>AEQ73110219</t>
  </si>
  <si>
    <t>WPW10123444K</t>
  </si>
  <si>
    <t>W11456682</t>
  </si>
  <si>
    <t>W10165970</t>
  </si>
  <si>
    <t>W11316246</t>
  </si>
  <si>
    <t>W10847984</t>
  </si>
  <si>
    <t>W11679613</t>
  </si>
  <si>
    <t xml:space="preserve">W11568982 </t>
  </si>
  <si>
    <t>W11224292</t>
  </si>
  <si>
    <t>4040FR4051C</t>
  </si>
  <si>
    <t>W11569437</t>
  </si>
  <si>
    <t>WH03X34937</t>
  </si>
  <si>
    <t>W10316267</t>
  </si>
  <si>
    <t>WR09X44206</t>
  </si>
  <si>
    <t>W10754448</t>
  </si>
  <si>
    <t>WR01X48592</t>
  </si>
  <si>
    <t xml:space="preserve">WE08X38317 </t>
  </si>
  <si>
    <r>
      <rPr>
        <color rgb="FF1155CC"/>
        <u/>
      </rPr>
      <t>08-14322-73699</t>
    </r>
  </si>
  <si>
    <t>WB18X31193</t>
  </si>
  <si>
    <t>5304533840</t>
  </si>
  <si>
    <t>AHL72914401</t>
  </si>
  <si>
    <t>WH43X10057</t>
  </si>
  <si>
    <t>ACG73749403</t>
  </si>
  <si>
    <t>5304526057</t>
  </si>
  <si>
    <t>DA97-15765C</t>
  </si>
  <si>
    <t xml:space="preserve">MEE62385201 </t>
  </si>
  <si>
    <t>DG94-03952X</t>
  </si>
  <si>
    <t>DA92-00384K</t>
  </si>
  <si>
    <t>5304535039</t>
  </si>
  <si>
    <t>DC31-00098A</t>
  </si>
  <si>
    <t>MEE64286301</t>
  </si>
  <si>
    <t>BN59-01341A</t>
  </si>
  <si>
    <t>5304534663</t>
  </si>
  <si>
    <t>DC82-01097X</t>
  </si>
  <si>
    <t>5304530933</t>
  </si>
  <si>
    <t>5304536511</t>
  </si>
  <si>
    <t>DC97-17345B</t>
  </si>
  <si>
    <t>5304538838</t>
  </si>
  <si>
    <t>DC31-00054A</t>
  </si>
  <si>
    <t>5304536546</t>
  </si>
  <si>
    <t>DC96-01113G</t>
  </si>
  <si>
    <t>5304534537</t>
  </si>
  <si>
    <t>DA61-03734A</t>
  </si>
  <si>
    <t>DA61-11161A</t>
  </si>
  <si>
    <t>5304536592</t>
  </si>
  <si>
    <r>
      <rPr>
        <color rgb="FF1155CC"/>
        <u/>
      </rPr>
      <t>11-14317-69475</t>
    </r>
  </si>
  <si>
    <t>DA63-08761B</t>
  </si>
  <si>
    <t>5304533095</t>
  </si>
  <si>
    <t>A05843501</t>
  </si>
  <si>
    <t>DA63-09533A</t>
  </si>
  <si>
    <t>DC92-03076C</t>
  </si>
  <si>
    <t>AGL75512508</t>
  </si>
  <si>
    <t>SET OF 2</t>
  </si>
  <si>
    <t>DE92-03960L</t>
  </si>
  <si>
    <t>DA63-06410A</t>
  </si>
  <si>
    <t>DA63-06285A</t>
  </si>
  <si>
    <t>WPW10383615</t>
  </si>
  <si>
    <t>AEM73732901</t>
  </si>
  <si>
    <t>W10833885</t>
  </si>
  <si>
    <t>AGM30045804</t>
  </si>
  <si>
    <t>2B71165R</t>
  </si>
  <si>
    <t>W11676779</t>
  </si>
  <si>
    <t xml:space="preserve"> EBR-41531305</t>
  </si>
  <si>
    <t>BN96-39820H</t>
  </si>
  <si>
    <t>DA47-00301B</t>
  </si>
  <si>
    <t>AHA75853813</t>
  </si>
  <si>
    <t>BN39-02687A</t>
  </si>
  <si>
    <t xml:space="preserve">W11598120 </t>
  </si>
  <si>
    <t xml:space="preserve">EBJ60664621 </t>
  </si>
  <si>
    <t>BN96-53257A</t>
  </si>
  <si>
    <t>DA92-01199G</t>
  </si>
  <si>
    <t xml:space="preserve">DPWBFB276MRU0 </t>
  </si>
  <si>
    <t>BN96-39903C</t>
  </si>
  <si>
    <t xml:space="preserve"> EBR85194760</t>
  </si>
  <si>
    <t>W11513250</t>
  </si>
  <si>
    <t>BN96-52809A</t>
  </si>
  <si>
    <t>AGR75305503</t>
  </si>
  <si>
    <t>W10195091</t>
  </si>
  <si>
    <t>BN59-01341B</t>
  </si>
  <si>
    <t>BN96-50875A</t>
  </si>
  <si>
    <t>WP8269146</t>
  </si>
  <si>
    <t>EBR34134903</t>
  </si>
  <si>
    <t>BN96-39891B</t>
  </si>
  <si>
    <t>BN94-16104Z</t>
  </si>
  <si>
    <t>EBR86093733</t>
  </si>
  <si>
    <t>BN94-16115D</t>
  </si>
  <si>
    <t>W11457841</t>
  </si>
  <si>
    <t>EBR34134918</t>
  </si>
  <si>
    <t>BN96-52795A</t>
  </si>
  <si>
    <t xml:space="preserve"> CSP30021035</t>
  </si>
  <si>
    <t>W11249950</t>
  </si>
  <si>
    <t>AEQ75370501</t>
  </si>
  <si>
    <t>W11611126</t>
  </si>
  <si>
    <t>WE03X23875</t>
  </si>
  <si>
    <t>EBR75574996</t>
  </si>
  <si>
    <t>WH47X26702</t>
  </si>
  <si>
    <t>EBR77659110</t>
  </si>
  <si>
    <t>WR57X30890</t>
  </si>
  <si>
    <t>EBR80411804</t>
  </si>
  <si>
    <t>W11227944</t>
  </si>
  <si>
    <t>W11685945</t>
  </si>
  <si>
    <t>EBR40211904</t>
  </si>
  <si>
    <t>WP3387242</t>
  </si>
  <si>
    <t>EBR37437002</t>
  </si>
  <si>
    <t>W10446781</t>
  </si>
  <si>
    <t>ACM73720522</t>
  </si>
  <si>
    <t>WB27X45353</t>
  </si>
  <si>
    <t>ACM76192102</t>
  </si>
  <si>
    <t>W10316760</t>
  </si>
  <si>
    <t>W11561262</t>
  </si>
  <si>
    <t>WB27T11060</t>
  </si>
  <si>
    <t>5301EL1001S</t>
  </si>
  <si>
    <t>AJU75632518</t>
  </si>
  <si>
    <t xml:space="preserve">383EEL9001C </t>
  </si>
  <si>
    <t>W11676465</t>
  </si>
  <si>
    <t>6931EL3002M</t>
  </si>
  <si>
    <t>AJU75632513</t>
  </si>
  <si>
    <t>EAD61850521</t>
  </si>
  <si>
    <t>ADP73273402</t>
  </si>
  <si>
    <t>DC81-01253A</t>
  </si>
  <si>
    <t>EAF36358319</t>
  </si>
  <si>
    <t>EAF36358314</t>
  </si>
  <si>
    <t>DC96-00882F</t>
  </si>
  <si>
    <t>MGE39575306</t>
  </si>
  <si>
    <t>DD59-01002A</t>
  </si>
  <si>
    <t xml:space="preserve"> EBR38734201 For LG 55qned86t6a</t>
  </si>
  <si>
    <t>DA97-17296A</t>
  </si>
  <si>
    <t>6322W2A001S</t>
  </si>
  <si>
    <t>AGM30025905</t>
  </si>
  <si>
    <t>EAD64168638</t>
  </si>
  <si>
    <t>ACM72981018</t>
  </si>
  <si>
    <t>WR09X32669</t>
  </si>
  <si>
    <t>ACJ74110102</t>
  </si>
  <si>
    <t>WB30T10145</t>
  </si>
  <si>
    <t>set of 2</t>
  </si>
  <si>
    <t>ADH73150210 (2)</t>
  </si>
  <si>
    <t>DA41-00676J</t>
  </si>
  <si>
    <t>EAU43957801</t>
  </si>
  <si>
    <t>WR43X31240</t>
  </si>
  <si>
    <t>AEH73816904</t>
  </si>
  <si>
    <t>WR72X31836</t>
  </si>
  <si>
    <t xml:space="preserve">4681EA2001T </t>
  </si>
  <si>
    <t>MJX65082204</t>
  </si>
  <si>
    <t>WD21X31000</t>
  </si>
  <si>
    <t>W11314666</t>
  </si>
  <si>
    <t>DC47-00042A</t>
  </si>
  <si>
    <t>DG47-00065A</t>
  </si>
  <si>
    <t>W10823727</t>
  </si>
  <si>
    <t>5901JQ1007A</t>
  </si>
  <si>
    <t>4026EL3007B</t>
  </si>
  <si>
    <t>WH41X38919</t>
  </si>
  <si>
    <t>DA96-01002A</t>
  </si>
  <si>
    <t xml:space="preserve">AEJ74859414 </t>
  </si>
  <si>
    <t>WB27X4815</t>
  </si>
  <si>
    <t>AHA75693409</t>
  </si>
  <si>
    <t>EAD61048812</t>
  </si>
  <si>
    <t>MEF64885701</t>
  </si>
  <si>
    <t>EBR71326806</t>
  </si>
  <si>
    <t>ACV73730211</t>
  </si>
  <si>
    <t>K2464744</t>
  </si>
  <si>
    <t xml:space="preserve">MJX64711401 </t>
  </si>
  <si>
    <t>K2449668</t>
  </si>
  <si>
    <t>6500EL3001A</t>
  </si>
  <si>
    <t>MEJ62484609</t>
  </si>
  <si>
    <t>AEC74357401</t>
  </si>
  <si>
    <t>DD82-01376B</t>
  </si>
  <si>
    <t>EAU59551204</t>
  </si>
  <si>
    <t>5251JA3004P</t>
  </si>
  <si>
    <t>DA97-173994C</t>
  </si>
  <si>
    <t>5220FR2006Z</t>
  </si>
  <si>
    <t>EBG60663282</t>
  </si>
  <si>
    <t>ACQ91426146</t>
  </si>
  <si>
    <t>AJU73432816</t>
  </si>
  <si>
    <t>WE03X33640</t>
  </si>
  <si>
    <t>AKN72949003</t>
  </si>
  <si>
    <t>WB26X28953</t>
  </si>
  <si>
    <t>ACQ86045309</t>
  </si>
  <si>
    <t>WP2166037</t>
  </si>
  <si>
    <r>
      <rPr>
        <color rgb="FF1155CC"/>
        <u/>
      </rPr>
      <t>02-14341-01428</t>
    </r>
  </si>
  <si>
    <t>EAV63332108</t>
  </si>
  <si>
    <t>6500JB2002E</t>
  </si>
  <si>
    <t>WB27X47437</t>
  </si>
  <si>
    <t>6600JB3001C</t>
  </si>
  <si>
    <t>ABF73569703</t>
  </si>
  <si>
    <t>WE08X37197</t>
  </si>
  <si>
    <t>DA92-00624C</t>
  </si>
  <si>
    <t>EAD63748816</t>
  </si>
  <si>
    <t>EBR89076001</t>
  </si>
  <si>
    <t>K1430814</t>
  </si>
  <si>
    <t>WD21X29752</t>
  </si>
  <si>
    <t>EAU65058302</t>
  </si>
  <si>
    <t>K1485764</t>
  </si>
  <si>
    <t>AEH74556318</t>
  </si>
  <si>
    <t>K1870599</t>
  </si>
  <si>
    <t>EAF36358316</t>
  </si>
  <si>
    <t>EBR36063405</t>
  </si>
  <si>
    <t>K2092520</t>
  </si>
  <si>
    <t>ACG76384607</t>
  </si>
  <si>
    <t>ACG73766709</t>
  </si>
  <si>
    <t>218976443</t>
  </si>
  <si>
    <t>K1877336</t>
  </si>
  <si>
    <t>ACG76384508</t>
  </si>
  <si>
    <t>ACG76304501</t>
  </si>
  <si>
    <t>K1960962</t>
  </si>
  <si>
    <t>AED37133156</t>
  </si>
  <si>
    <t>ACG76304502</t>
  </si>
  <si>
    <t>W11038689</t>
  </si>
  <si>
    <t>(ACG73645004)</t>
  </si>
  <si>
    <t>134719300</t>
  </si>
  <si>
    <r>
      <rPr>
        <color rgb="FF1155CC"/>
        <u/>
      </rPr>
      <t>20-14314-62650</t>
    </r>
  </si>
  <si>
    <t>W11575003</t>
  </si>
  <si>
    <t xml:space="preserve">ACG73645007 </t>
  </si>
  <si>
    <t>WB26X26500</t>
  </si>
  <si>
    <t>218976829</t>
  </si>
  <si>
    <t>AEB73764536</t>
  </si>
  <si>
    <t>WE04X22654</t>
  </si>
  <si>
    <t>5220FR2006W</t>
  </si>
  <si>
    <t>WE22X36917</t>
  </si>
  <si>
    <t>EAU65058326</t>
  </si>
  <si>
    <t>DA97-11772B</t>
  </si>
  <si>
    <t>5221ER1003M</t>
  </si>
  <si>
    <t>5304538043</t>
  </si>
  <si>
    <t>EBR32881203</t>
  </si>
  <si>
    <t>WB56X49886</t>
  </si>
  <si>
    <t>AJU75837102</t>
  </si>
  <si>
    <t>WR14X32082</t>
  </si>
  <si>
    <r>
      <rPr>
        <color rgb="FF1155CC"/>
        <u/>
      </rPr>
      <t>27-14301-15298</t>
    </r>
  </si>
  <si>
    <t>WD21X35462</t>
  </si>
  <si>
    <t>SET OF 4</t>
  </si>
  <si>
    <t>WH22X37297</t>
  </si>
  <si>
    <t>5303918899</t>
  </si>
  <si>
    <t>5304524866</t>
  </si>
  <si>
    <t>A18493801</t>
  </si>
  <si>
    <t>WR55X46805</t>
  </si>
  <si>
    <t>W10721967</t>
  </si>
  <si>
    <t>5304523062</t>
  </si>
  <si>
    <t>WR30X10174</t>
  </si>
  <si>
    <t>WD28X35779</t>
  </si>
  <si>
    <t>316536612</t>
  </si>
  <si>
    <t>WD21X34758</t>
  </si>
  <si>
    <t>WB44X47311</t>
  </si>
  <si>
    <r>
      <rPr>
        <color rgb="FF1155CC"/>
        <u/>
      </rPr>
      <t>04-14345-45960</t>
    </r>
  </si>
  <si>
    <t>W11305308</t>
  </si>
  <si>
    <t>WR98X20</t>
  </si>
  <si>
    <t>DA97-22979A</t>
  </si>
  <si>
    <t>DB92-02860A</t>
  </si>
  <si>
    <t>DA61-13376A</t>
  </si>
  <si>
    <t>W10830162</t>
  </si>
  <si>
    <t>DD31-00024A</t>
  </si>
  <si>
    <t>DG94-01147B</t>
  </si>
  <si>
    <t>DC96-00887C</t>
  </si>
  <si>
    <t>5304531506</t>
  </si>
  <si>
    <t>DA32-00006E</t>
  </si>
  <si>
    <t>5304535289</t>
  </si>
  <si>
    <t>DG94-03500W</t>
  </si>
  <si>
    <t>5304532555</t>
  </si>
  <si>
    <t>DG94-00633A</t>
  </si>
  <si>
    <t>Buyer requested cancellation</t>
  </si>
  <si>
    <t>DD81-02239A</t>
  </si>
  <si>
    <t xml:space="preserve">DA32-00070C </t>
  </si>
  <si>
    <t>DG96-00888A</t>
  </si>
  <si>
    <t>DD61-00653A</t>
  </si>
  <si>
    <t xml:space="preserve">WR13X10159 </t>
  </si>
  <si>
    <t>DC64-00828B</t>
  </si>
  <si>
    <t xml:space="preserve"> DE47-20001A</t>
  </si>
  <si>
    <r>
      <rPr>
        <color rgb="FF1155CC"/>
        <u/>
      </rPr>
      <t>04-14325-10898</t>
    </r>
  </si>
  <si>
    <t xml:space="preserve">6021-001208 </t>
  </si>
  <si>
    <t>DE47-20010A</t>
  </si>
  <si>
    <t>DD34-00004A</t>
  </si>
  <si>
    <t>Returned</t>
  </si>
  <si>
    <t>5304524907</t>
  </si>
  <si>
    <t>Not as listed</t>
  </si>
  <si>
    <t>WE20X24556</t>
  </si>
  <si>
    <t xml:space="preserve">WB27X46646 </t>
  </si>
  <si>
    <t>WR14X41145</t>
  </si>
  <si>
    <r>
      <rPr>
        <color rgb="FF1155CC"/>
        <u/>
      </rPr>
      <t>15-14282-71484</t>
    </r>
  </si>
  <si>
    <t xml:space="preserve">WD27X22351 </t>
  </si>
  <si>
    <t>WR72X31834</t>
  </si>
  <si>
    <t>WH22X37158</t>
  </si>
  <si>
    <t xml:space="preserve">WH16X34317 </t>
  </si>
  <si>
    <t>WE15X26140</t>
  </si>
  <si>
    <t xml:space="preserve">WR17X26326 </t>
  </si>
  <si>
    <t>WE11M62</t>
  </si>
  <si>
    <t>WE49X27321</t>
  </si>
  <si>
    <t xml:space="preserve">WB26X35499 </t>
  </si>
  <si>
    <t>5304535239</t>
  </si>
  <si>
    <t>Delivered damaged</t>
  </si>
  <si>
    <t>WR55X29875</t>
  </si>
  <si>
    <t>WB27X48615</t>
  </si>
  <si>
    <t xml:space="preserve">Jackson MS </t>
  </si>
  <si>
    <r>
      <rPr>
        <color rgb="FF1155CC"/>
        <u/>
      </rPr>
      <t>10-14331-97957</t>
    </r>
  </si>
  <si>
    <t>WR30X30972</t>
  </si>
  <si>
    <t>WH22X38837</t>
  </si>
  <si>
    <t>WR55X47969</t>
  </si>
  <si>
    <t>WD21X32718</t>
  </si>
  <si>
    <t>DC97-16984C</t>
  </si>
  <si>
    <t>WR14X47587</t>
  </si>
  <si>
    <t>809069206</t>
  </si>
  <si>
    <t>242219302</t>
  </si>
  <si>
    <t>WR55X47305</t>
  </si>
  <si>
    <t>WR50X10069</t>
  </si>
  <si>
    <t>WD27X30353</t>
  </si>
  <si>
    <t>W11348032</t>
  </si>
  <si>
    <t>MGZ63447202</t>
  </si>
  <si>
    <t>WB44X47010</t>
  </si>
  <si>
    <t>WR24X20456</t>
  </si>
  <si>
    <t>5304519194</t>
  </si>
  <si>
    <t>ABQ75742505</t>
  </si>
  <si>
    <t>4738ER1002A</t>
  </si>
  <si>
    <t>W11524105</t>
  </si>
  <si>
    <r>
      <rPr>
        <color rgb="FF1155CC"/>
        <u/>
      </rPr>
      <t>17-14319-70656</t>
    </r>
  </si>
  <si>
    <t>EAV64632131</t>
  </si>
  <si>
    <t>A13097101</t>
  </si>
  <si>
    <t>DG96-00835A</t>
  </si>
  <si>
    <t>5304532451</t>
  </si>
  <si>
    <t>DC37-00203A</t>
  </si>
  <si>
    <t>WR60X39625</t>
  </si>
  <si>
    <t>W11712987</t>
  </si>
  <si>
    <t>W11176454</t>
  </si>
  <si>
    <r>
      <rPr>
        <color rgb="FF1155CC"/>
        <u/>
      </rPr>
      <t>24-14324-84572</t>
    </r>
  </si>
  <si>
    <t xml:space="preserve">W10359271 </t>
  </si>
  <si>
    <t xml:space="preserve">6931EL3002M </t>
  </si>
  <si>
    <t>DD81-04511A</t>
  </si>
  <si>
    <t>WD21X33549</t>
  </si>
  <si>
    <t>DC92-02401A</t>
  </si>
  <si>
    <t>EBR89296005</t>
  </si>
  <si>
    <t>DD62-00097B</t>
  </si>
  <si>
    <t>WD21X28978</t>
  </si>
  <si>
    <t>WB18X31213</t>
  </si>
  <si>
    <t>WD21X32680</t>
  </si>
  <si>
    <t>WD02X30956</t>
  </si>
  <si>
    <r>
      <rPr>
        <color rgb="FF1155CC"/>
        <u/>
      </rPr>
      <t>10-14330-32392</t>
    </r>
  </si>
  <si>
    <t>WB18X27488</t>
  </si>
  <si>
    <r>
      <rPr>
        <rFont val="&quot;Google Sans&quot;, Roboto, Arial, sans-serif"/>
        <color rgb="FF1155CC"/>
        <sz val="12.0"/>
        <u/>
      </rPr>
      <t>EAD62705314</t>
    </r>
    <r>
      <rPr>
        <rFont val="&quot;Google Sans&quot;, Roboto, Arial, sans-serif"/>
        <sz val="12.0"/>
      </rPr>
      <t xml:space="preserve"> is an OEM LG single wire harness part typically used in electric ranges.</t>
    </r>
  </si>
  <si>
    <t>WB18X33318</t>
  </si>
  <si>
    <t>WH01X24180</t>
  </si>
  <si>
    <t>W11239857</t>
  </si>
  <si>
    <t>PLEASE VERIFY YOUR APPLIANCE MODEL NUMBER FOR COMPATIBILITY BEFORE PURCHASING.</t>
  </si>
  <si>
    <t>W10006384</t>
  </si>
  <si>
    <t>WE4M137</t>
  </si>
  <si>
    <r>
      <rPr>
        <color rgb="FF1155CC"/>
        <u/>
      </rPr>
      <t>18-14327-36764</t>
    </r>
  </si>
  <si>
    <t>W10112954</t>
  </si>
  <si>
    <t>661570</t>
  </si>
  <si>
    <t>5303918645</t>
  </si>
  <si>
    <t>WE12X27300</t>
  </si>
  <si>
    <t>BN44-01167B</t>
  </si>
  <si>
    <t>W10849499</t>
  </si>
  <si>
    <t>WB18X35517</t>
  </si>
  <si>
    <t>W10195536</t>
  </si>
  <si>
    <t>240597220</t>
  </si>
  <si>
    <t>279318</t>
  </si>
  <si>
    <t>WR55X10025</t>
  </si>
  <si>
    <t>WB01K10037</t>
  </si>
  <si>
    <t>WPLW10913953</t>
  </si>
  <si>
    <t>W11596129</t>
  </si>
  <si>
    <r>
      <rPr>
        <color rgb="FF1155CC"/>
        <u/>
      </rPr>
      <t>24-14329-22692</t>
    </r>
  </si>
  <si>
    <t>DD81-02637A</t>
  </si>
  <si>
    <t xml:space="preserve">WE04X28977 </t>
  </si>
  <si>
    <t>WE01X36920</t>
  </si>
  <si>
    <t>W11290115</t>
  </si>
  <si>
    <t>WP3196548</t>
  </si>
  <si>
    <t>6930W1A003X</t>
  </si>
  <si>
    <t>WPW10327455</t>
  </si>
  <si>
    <t>DE47-20059B</t>
  </si>
  <si>
    <t>DE47-20034A</t>
  </si>
  <si>
    <t>DC31-20014U</t>
  </si>
  <si>
    <t>WB21X20262</t>
  </si>
  <si>
    <t>WH03X32217</t>
  </si>
  <si>
    <t>EBD48922821</t>
  </si>
  <si>
    <t>W10197428</t>
  </si>
  <si>
    <r>
      <rPr>
        <color rgb="FF1155CC"/>
        <u/>
      </rPr>
      <t>12-14331-67938</t>
    </r>
  </si>
  <si>
    <t>WH05X27185</t>
  </si>
  <si>
    <t>DE73-90027A</t>
  </si>
  <si>
    <t>W11259047</t>
  </si>
  <si>
    <t>DC62-00702A</t>
  </si>
  <si>
    <t>415107</t>
  </si>
  <si>
    <t>WB21X20260</t>
  </si>
  <si>
    <t>DG96-00790A</t>
  </si>
  <si>
    <t>MEE61841401</t>
  </si>
  <si>
    <t>WB20X10052</t>
  </si>
  <si>
    <t>W11665968</t>
  </si>
  <si>
    <t>WB20X10048</t>
  </si>
  <si>
    <t>EAD65617004</t>
  </si>
  <si>
    <t>W10701401</t>
  </si>
  <si>
    <t>WD02X31882</t>
  </si>
  <si>
    <t>WB26X35390</t>
  </si>
  <si>
    <t>EDR4RXD1</t>
  </si>
  <si>
    <t xml:space="preserve"> W11591637</t>
  </si>
  <si>
    <r>
      <rPr>
        <color rgb="FF1155CC"/>
        <u/>
      </rPr>
      <t>24-14336-39718</t>
    </r>
  </si>
  <si>
    <t>241639502</t>
  </si>
  <si>
    <t>W11666461</t>
  </si>
  <si>
    <t>15531000001944</t>
  </si>
  <si>
    <t>W10823511</t>
  </si>
  <si>
    <t>WD21X33545</t>
  </si>
  <si>
    <t>WD02X10067</t>
  </si>
  <si>
    <t>1</t>
  </si>
  <si>
    <t>WD01X22786</t>
  </si>
  <si>
    <t>WR57X26303</t>
  </si>
  <si>
    <t>WR17X25006</t>
  </si>
  <si>
    <r>
      <rPr>
        <color rgb="FF1155CC"/>
        <u/>
      </rPr>
      <t>16-14333-12658</t>
    </r>
  </si>
  <si>
    <t>WR60X32088</t>
  </si>
  <si>
    <t>WE04X26138</t>
  </si>
  <si>
    <t>MGZ63048101</t>
  </si>
  <si>
    <t xml:space="preserve">MGZ63047801 </t>
  </si>
  <si>
    <t xml:space="preserve">WD01X24246 </t>
  </si>
  <si>
    <t>WE04X24717</t>
  </si>
  <si>
    <t>WR57X32245</t>
  </si>
  <si>
    <t>WE4X448</t>
  </si>
  <si>
    <t>WB21X46234</t>
  </si>
  <si>
    <t>WH01X26970</t>
  </si>
  <si>
    <t>WB27X35382</t>
  </si>
  <si>
    <t>WR17X33825</t>
  </si>
  <si>
    <t>WR13X20430</t>
  </si>
  <si>
    <t>WE04X31007</t>
  </si>
  <si>
    <t>WR55X31994</t>
  </si>
  <si>
    <t>WR09X38951</t>
  </si>
  <si>
    <t>WR17X13069</t>
  </si>
  <si>
    <r>
      <rPr>
        <color rgb="FF1155CC"/>
        <u/>
      </rPr>
      <t>12-14342-90657</t>
    </r>
  </si>
  <si>
    <t>WR57X38936</t>
  </si>
  <si>
    <t>WB01X10002</t>
  </si>
  <si>
    <t>WE01X20423</t>
  </si>
  <si>
    <t xml:space="preserve">WB20K10015 </t>
  </si>
  <si>
    <t xml:space="preserve">WB07X47351 </t>
  </si>
  <si>
    <t xml:space="preserve">K1958594 </t>
  </si>
  <si>
    <t>WH18X28357</t>
  </si>
  <si>
    <t>12131000096027</t>
  </si>
  <si>
    <t>ACQ30450707</t>
  </si>
  <si>
    <t>WR87X32223</t>
  </si>
  <si>
    <r>
      <rPr>
        <color rgb="FF1155CC"/>
        <u/>
      </rPr>
      <t>22-14328-54658</t>
    </r>
  </si>
  <si>
    <t>WR87X32290</t>
  </si>
  <si>
    <t>W10779331</t>
  </si>
  <si>
    <t>W10779716</t>
  </si>
  <si>
    <t>MSV172AL1B/ASH</t>
  </si>
  <si>
    <t>W10830046</t>
  </si>
  <si>
    <t>DC93-00154A</t>
  </si>
  <si>
    <t>W11551301</t>
  </si>
  <si>
    <t>W11493414</t>
  </si>
  <si>
    <t>W11346197</t>
  </si>
  <si>
    <t>W11548749</t>
  </si>
  <si>
    <t>W11624941</t>
  </si>
  <si>
    <t>W11675701</t>
  </si>
  <si>
    <t>279838</t>
  </si>
  <si>
    <t>W11239666</t>
  </si>
  <si>
    <r>
      <rPr>
        <color rgb="FF1155CC"/>
        <u/>
      </rPr>
      <t>08-14322-73699</t>
    </r>
  </si>
  <si>
    <t>W11626077</t>
  </si>
  <si>
    <t>W11414079</t>
  </si>
  <si>
    <t>W11543997</t>
  </si>
  <si>
    <t>Missing control board piece</t>
  </si>
  <si>
    <t>W10248595</t>
  </si>
  <si>
    <t>WH49X27318</t>
  </si>
  <si>
    <t>W11158805</t>
  </si>
  <si>
    <t>W11557001</t>
  </si>
  <si>
    <t>W10890624</t>
  </si>
  <si>
    <r>
      <rPr>
        <color rgb="FF1155CC"/>
        <u/>
      </rPr>
      <t>18-14335-68295</t>
    </r>
  </si>
  <si>
    <t>A01078804</t>
  </si>
  <si>
    <t>W11678834</t>
  </si>
  <si>
    <t>5304504885</t>
  </si>
  <si>
    <t>WH03X31937</t>
  </si>
  <si>
    <t>W11481730</t>
  </si>
  <si>
    <t>5304533763</t>
  </si>
  <si>
    <t>W10750851</t>
  </si>
  <si>
    <t>WR87X23410</t>
  </si>
  <si>
    <t>W11449841</t>
  </si>
  <si>
    <t>2188433A</t>
  </si>
  <si>
    <t>5304530931</t>
  </si>
  <si>
    <r>
      <rPr>
        <color rgb="FF1155CC"/>
        <u/>
      </rPr>
      <t>27-14322-84177</t>
    </r>
  </si>
  <si>
    <t>5304533762</t>
  </si>
  <si>
    <t>AJU75152602</t>
  </si>
  <si>
    <t>5304537110</t>
  </si>
  <si>
    <t>WR55X43779</t>
  </si>
  <si>
    <t>243297608</t>
  </si>
  <si>
    <t>242294710</t>
  </si>
  <si>
    <t>W11780158</t>
  </si>
  <si>
    <t>5304530033</t>
  </si>
  <si>
    <t>WE04X25996</t>
  </si>
  <si>
    <r>
      <rPr>
        <color rgb="FF1155CC"/>
        <u/>
      </rPr>
      <t>25-14325-90157</t>
    </r>
  </si>
  <si>
    <t>EAU64283201</t>
  </si>
  <si>
    <t>5304534275</t>
  </si>
  <si>
    <t>242018301</t>
  </si>
  <si>
    <t>K2204133</t>
  </si>
  <si>
    <t>5304530683</t>
  </si>
  <si>
    <t>W10876537</t>
  </si>
  <si>
    <t>WB02X35865</t>
  </si>
  <si>
    <t>WR60X10209</t>
  </si>
  <si>
    <t>WR02X46586</t>
  </si>
  <si>
    <t>WB27X43240</t>
  </si>
  <si>
    <t>WB27X45315</t>
  </si>
  <si>
    <t>5304534515</t>
  </si>
  <si>
    <t>5304516133</t>
  </si>
  <si>
    <t>W10703867</t>
  </si>
  <si>
    <t>AEQ72909605</t>
  </si>
  <si>
    <r>
      <rPr>
        <color rgb="FF1155CC"/>
        <u/>
      </rPr>
      <t>25-14327-33843</t>
    </r>
  </si>
  <si>
    <t>WR60X37209</t>
  </si>
  <si>
    <t>WH22X37837</t>
  </si>
  <si>
    <t>DA97-08061A</t>
  </si>
  <si>
    <t>WB27X25722</t>
  </si>
  <si>
    <t>Part used with ripped gasket</t>
  </si>
  <si>
    <t>WH22X36638</t>
  </si>
  <si>
    <t>WB49X35794</t>
  </si>
  <si>
    <t>WB27X44890</t>
  </si>
  <si>
    <r>
      <rPr>
        <color rgb="FF1155CC"/>
        <u/>
      </rPr>
      <t>20-14314-62650</t>
    </r>
  </si>
  <si>
    <t>WB27X39638</t>
  </si>
  <si>
    <t>WR55X37669</t>
  </si>
  <si>
    <t>WB13K21</t>
  </si>
  <si>
    <t>WR55X43387</t>
  </si>
  <si>
    <t>WD21X32165</t>
  </si>
  <si>
    <t>DA97-117728</t>
  </si>
  <si>
    <t>WR09X30090</t>
  </si>
  <si>
    <t>WH03X33657</t>
  </si>
  <si>
    <t>WH03X37841</t>
  </si>
  <si>
    <t xml:space="preserve">Delivered Damaged. </t>
  </si>
  <si>
    <t>WD21X34978</t>
  </si>
  <si>
    <t>WE22X38277</t>
  </si>
  <si>
    <r>
      <rPr>
        <color rgb="FF1155CC"/>
        <u/>
      </rPr>
      <t>06-14355-59705</t>
    </r>
  </si>
  <si>
    <t>WR60X24993</t>
  </si>
  <si>
    <t>WR17X13060</t>
  </si>
  <si>
    <t>WD21X36478</t>
  </si>
  <si>
    <t>WB27X32624</t>
  </si>
  <si>
    <t>W11700548</t>
  </si>
  <si>
    <t>WB26X35089</t>
  </si>
  <si>
    <r>
      <rPr>
        <color rgb="FF1155CC"/>
        <u/>
      </rPr>
      <t>22-14331-96203</t>
    </r>
  </si>
  <si>
    <t>WD21X27139</t>
  </si>
  <si>
    <t>WD21X33546</t>
  </si>
  <si>
    <t>WD21X31908</t>
  </si>
  <si>
    <t>WD21X31799</t>
  </si>
  <si>
    <t>WR87X31725</t>
  </si>
  <si>
    <t>WR87X46025</t>
  </si>
  <si>
    <t>5304526188</t>
  </si>
  <si>
    <t>WR84X10115</t>
  </si>
  <si>
    <t>W11613294</t>
  </si>
  <si>
    <t>EBR34949610</t>
  </si>
  <si>
    <t>8/11/2026</t>
  </si>
  <si>
    <t>WE08X37278</t>
  </si>
  <si>
    <t>WB26X31060</t>
  </si>
  <si>
    <t>242018303</t>
  </si>
  <si>
    <r>
      <rPr>
        <color rgb="FF1155CC"/>
        <u/>
      </rPr>
      <t>07-14353-35252</t>
    </r>
  </si>
  <si>
    <t>WR86X10021</t>
  </si>
  <si>
    <t>DA97-18859A</t>
  </si>
  <si>
    <t>WR87X43267</t>
  </si>
  <si>
    <t>WR49X10322</t>
  </si>
  <si>
    <t>8/12/2026</t>
  </si>
  <si>
    <t>W11454734</t>
  </si>
  <si>
    <t>WR12X31076</t>
  </si>
  <si>
    <t>W11047722</t>
  </si>
  <si>
    <t>17431000044636</t>
  </si>
  <si>
    <t>NEED PHOTOS</t>
  </si>
  <si>
    <t>5304508096</t>
  </si>
  <si>
    <r>
      <rPr>
        <color rgb="FF1155CC"/>
        <u/>
      </rPr>
      <t>12-14345-08221</t>
    </r>
  </si>
  <si>
    <t>5304508097</t>
  </si>
  <si>
    <t>CHECK COUNT</t>
  </si>
  <si>
    <t>W11413965</t>
  </si>
  <si>
    <t>W11416457</t>
  </si>
  <si>
    <t>EBR86283112</t>
  </si>
  <si>
    <t>X0040WTA3X</t>
  </si>
  <si>
    <t>CHECK PART #</t>
  </si>
  <si>
    <t>DA47-00318V</t>
  </si>
  <si>
    <t>WD21X32125</t>
  </si>
  <si>
    <t>W11187709</t>
  </si>
  <si>
    <t>W11130356</t>
  </si>
  <si>
    <t>WD27X33119</t>
  </si>
  <si>
    <t>WB56X44659</t>
  </si>
  <si>
    <r>
      <rPr>
        <color rgb="FF1155CC"/>
        <u/>
      </rPr>
      <t>26-14327-53115</t>
    </r>
  </si>
  <si>
    <t>WD27X30346</t>
  </si>
  <si>
    <t>WB18X34686</t>
  </si>
  <si>
    <t>WB18X34729</t>
  </si>
  <si>
    <t>T409886</t>
  </si>
  <si>
    <t>WR55X38406</t>
  </si>
  <si>
    <t>WE22X36919</t>
  </si>
  <si>
    <t>WB27X47051</t>
  </si>
  <si>
    <t>WJ26X35458</t>
  </si>
  <si>
    <r>
      <rPr>
        <color rgb="FF1155CC"/>
        <u/>
      </rPr>
      <t>04-14360-06529</t>
    </r>
  </si>
  <si>
    <t>DC94-11888A</t>
  </si>
  <si>
    <r>
      <rPr>
        <color rgb="FF1155CC"/>
        <u/>
      </rPr>
      <t>13-14347-50742</t>
    </r>
  </si>
  <si>
    <r>
      <rPr>
        <color rgb="FF1155CC"/>
        <u/>
      </rPr>
      <t>10-14351-59185</t>
    </r>
  </si>
  <si>
    <t>DD82-01594B</t>
  </si>
  <si>
    <r>
      <rPr>
        <color rgb="FF1155CC"/>
        <u/>
      </rPr>
      <t>20-14337-20153</t>
    </r>
  </si>
  <si>
    <t>DA47-00424M</t>
  </si>
  <si>
    <t>Used part with damaged connector</t>
  </si>
  <si>
    <r>
      <rPr>
        <color rgb="FF1155CC"/>
        <u/>
      </rPr>
      <t>24-14346-48596</t>
    </r>
  </si>
  <si>
    <r>
      <rPr>
        <color rgb="FF1155CC"/>
        <u/>
      </rPr>
      <t>25-14330-29945</t>
    </r>
  </si>
  <si>
    <t>DC92-02394U</t>
  </si>
  <si>
    <r>
      <rPr>
        <color rgb="FF1155CC"/>
        <u/>
      </rPr>
      <t>07-14356-43892</t>
    </r>
  </si>
  <si>
    <t>W10308477</t>
  </si>
  <si>
    <t>warehouse_101</t>
  </si>
  <si>
    <t xml:space="preserve">Columbus </t>
  </si>
  <si>
    <t>MEE62306504</t>
  </si>
  <si>
    <t>28.96</t>
  </si>
  <si>
    <t>W11182108</t>
  </si>
  <si>
    <t>40.96</t>
  </si>
  <si>
    <t>WB44X48685</t>
  </si>
  <si>
    <t>38.96</t>
  </si>
  <si>
    <t>46.96</t>
  </si>
  <si>
    <t xml:space="preserve">WE03X20434 </t>
  </si>
  <si>
    <t>48.96</t>
  </si>
  <si>
    <t>DD61-00655A</t>
  </si>
  <si>
    <t>23.96</t>
  </si>
  <si>
    <t>WR13X41131</t>
  </si>
  <si>
    <t>26.96</t>
  </si>
  <si>
    <t>WP67006337</t>
  </si>
  <si>
    <t>24.96</t>
  </si>
  <si>
    <t>W11596046</t>
  </si>
  <si>
    <t>35.96</t>
  </si>
  <si>
    <t>WR02X12263</t>
  </si>
  <si>
    <t>45.96</t>
  </si>
  <si>
    <t>WH01X31220</t>
  </si>
  <si>
    <t>25.96</t>
  </si>
  <si>
    <t>DC96-01703M</t>
  </si>
  <si>
    <t>33.96</t>
  </si>
  <si>
    <t>53.96</t>
  </si>
  <si>
    <t>WR02X25443</t>
  </si>
  <si>
    <t>72.96</t>
  </si>
  <si>
    <t>WR02X31944</t>
  </si>
  <si>
    <t>55.96</t>
  </si>
  <si>
    <t>32.96</t>
  </si>
  <si>
    <t>87.96</t>
  </si>
  <si>
    <t>EBR80411805</t>
  </si>
  <si>
    <t>105.96</t>
  </si>
  <si>
    <t>93.96</t>
  </si>
  <si>
    <t>wd21x33701</t>
  </si>
  <si>
    <t>65.96</t>
  </si>
  <si>
    <t>WB27X33045</t>
  </si>
  <si>
    <t>90.96</t>
  </si>
  <si>
    <t>WR55X44126</t>
  </si>
  <si>
    <t>100.96</t>
  </si>
  <si>
    <t>225.96</t>
  </si>
  <si>
    <t>BRANCH</t>
  </si>
  <si>
    <t>83.96</t>
  </si>
  <si>
    <t>WR55X44505</t>
  </si>
  <si>
    <t>60.96</t>
  </si>
  <si>
    <t>CENT VALUE</t>
  </si>
  <si>
    <t>WB27X30534</t>
  </si>
  <si>
    <t>WB27X30533</t>
  </si>
  <si>
    <t>70.96</t>
  </si>
  <si>
    <t>COLUMBUS</t>
  </si>
  <si>
    <t>DD62-00043A</t>
  </si>
  <si>
    <t>JACKSON,TN</t>
  </si>
  <si>
    <t>50.96</t>
  </si>
  <si>
    <t>JONESBORO</t>
  </si>
  <si>
    <t>JACKSONVILLE</t>
  </si>
  <si>
    <t>125.96</t>
  </si>
  <si>
    <t>JACKSON,MS</t>
  </si>
  <si>
    <t>WD21X35478</t>
  </si>
  <si>
    <t>DD63-00315A</t>
  </si>
  <si>
    <t>95.96</t>
  </si>
  <si>
    <t>99.56</t>
  </si>
  <si>
    <t>DD67-00214A</t>
  </si>
  <si>
    <t>103.96</t>
  </si>
  <si>
    <t>WR55X32026</t>
  </si>
  <si>
    <t>92.96</t>
  </si>
  <si>
    <t>WR55438666</t>
  </si>
  <si>
    <t>W11481116</t>
  </si>
  <si>
    <t>DD97-00611A</t>
  </si>
  <si>
    <t>101.96</t>
  </si>
  <si>
    <t>BN81-25914A</t>
  </si>
  <si>
    <t>175.96</t>
  </si>
  <si>
    <t>EBR79950229</t>
  </si>
  <si>
    <t>289.96</t>
  </si>
  <si>
    <t>165.96</t>
  </si>
  <si>
    <t>DD97-00498D</t>
  </si>
  <si>
    <t>88.96</t>
  </si>
  <si>
    <t>DD81-02152A</t>
  </si>
  <si>
    <t>152.96</t>
  </si>
  <si>
    <t>WH22X38441</t>
  </si>
  <si>
    <t>98.96</t>
  </si>
  <si>
    <t>110.96</t>
  </si>
  <si>
    <t>116.96</t>
  </si>
  <si>
    <r>
      <rPr>
        <color rgb="FF1155CC"/>
        <u/>
      </rPr>
      <t>22-14337-35123</t>
    </r>
  </si>
  <si>
    <t>W10830278</t>
  </si>
  <si>
    <t>WB27X25692</t>
  </si>
  <si>
    <t>DG96-00542A</t>
  </si>
  <si>
    <t>94.96</t>
  </si>
  <si>
    <t xml:space="preserve">EBR88309756 </t>
  </si>
  <si>
    <t>EBR38163503</t>
  </si>
  <si>
    <t>86.96</t>
  </si>
  <si>
    <t>458.96</t>
  </si>
  <si>
    <t>78.96</t>
  </si>
  <si>
    <t>EBR86498823</t>
  </si>
  <si>
    <t>BN44-01109A</t>
  </si>
  <si>
    <t>DG96-00742A</t>
  </si>
  <si>
    <t>DG96-00789A</t>
  </si>
  <si>
    <t>DG96-00806B</t>
  </si>
  <si>
    <t>DG96-00843A</t>
  </si>
  <si>
    <t>DG47-00071C</t>
  </si>
  <si>
    <t>200.96</t>
  </si>
  <si>
    <t>DD82-02113A</t>
  </si>
  <si>
    <t>WB27X48610</t>
  </si>
  <si>
    <t>102.96</t>
  </si>
  <si>
    <t>85.96</t>
  </si>
  <si>
    <t>AEQ7350501</t>
  </si>
  <si>
    <t>DD97-00652K</t>
  </si>
  <si>
    <t>WPW10300024</t>
  </si>
  <si>
    <t>97.96</t>
  </si>
  <si>
    <t>80.96</t>
  </si>
  <si>
    <r>
      <rPr>
        <color rgb="FF1155CC"/>
        <u/>
      </rPr>
      <t>13-14352-59924</t>
    </r>
  </si>
  <si>
    <t>37.96</t>
  </si>
  <si>
    <t xml:space="preserve">WR30X28731 </t>
  </si>
  <si>
    <t>WR02X44226</t>
  </si>
  <si>
    <t>W10882923</t>
  </si>
  <si>
    <t>63.96</t>
  </si>
  <si>
    <t>WR60X35669</t>
  </si>
  <si>
    <t>WR29X44279</t>
  </si>
  <si>
    <t>79.96</t>
  </si>
  <si>
    <t>da97-17297c</t>
  </si>
  <si>
    <t>49.96</t>
  </si>
  <si>
    <t>da92-00384n</t>
  </si>
  <si>
    <t>99.96</t>
  </si>
  <si>
    <t>WB07X41926</t>
  </si>
  <si>
    <t>WB27X42529</t>
  </si>
  <si>
    <t>WR02X44191</t>
  </si>
  <si>
    <t>43.96</t>
  </si>
  <si>
    <t>WD19X33098</t>
  </si>
  <si>
    <t>WB27T10587</t>
  </si>
  <si>
    <t>27.96</t>
  </si>
  <si>
    <t>WR27X10098</t>
  </si>
  <si>
    <t>wr57x31999</t>
  </si>
  <si>
    <t>36.96</t>
  </si>
  <si>
    <t>WE02X24718</t>
  </si>
  <si>
    <t>WE1M735</t>
  </si>
  <si>
    <t>42.96</t>
  </si>
  <si>
    <t>a00126401</t>
  </si>
  <si>
    <t>wd19x27178</t>
  </si>
  <si>
    <t xml:space="preserve">WH23X29553 </t>
  </si>
  <si>
    <t xml:space="preserve">WH11X29539 </t>
  </si>
  <si>
    <t>WH23X35712</t>
  </si>
  <si>
    <t>wd19x25461</t>
  </si>
  <si>
    <t>21.96</t>
  </si>
  <si>
    <t>DC97-19289H</t>
  </si>
  <si>
    <t>WR55X11132</t>
  </si>
  <si>
    <t>52.96</t>
  </si>
  <si>
    <t>WD12X20108</t>
  </si>
  <si>
    <t>34.96</t>
  </si>
  <si>
    <t>W11399437</t>
  </si>
  <si>
    <t>W11434044</t>
  </si>
  <si>
    <t xml:space="preserve">A102281708 </t>
  </si>
  <si>
    <t>WD12X20109</t>
  </si>
  <si>
    <t>WD22X10090</t>
  </si>
  <si>
    <t>30.96</t>
  </si>
  <si>
    <t>75.96</t>
  </si>
  <si>
    <t>WD22X10094</t>
  </si>
  <si>
    <t>56.96</t>
  </si>
  <si>
    <t>WR60X32701</t>
  </si>
  <si>
    <t>WB36X192</t>
  </si>
  <si>
    <t>20.96</t>
  </si>
  <si>
    <t>69.96</t>
  </si>
  <si>
    <t>W11649995</t>
  </si>
  <si>
    <t>W11612327</t>
  </si>
  <si>
    <t xml:space="preserve">3108ER1001E </t>
  </si>
  <si>
    <t>5304514143</t>
  </si>
  <si>
    <r>
      <rPr>
        <color rgb="FF1155CC"/>
        <u/>
      </rPr>
      <t>09-14361-93478</t>
    </r>
  </si>
  <si>
    <t>66.96</t>
  </si>
  <si>
    <t>145.96</t>
  </si>
  <si>
    <t>WB63X29528</t>
  </si>
  <si>
    <t>WH03X36897</t>
  </si>
  <si>
    <t>WH03X29559</t>
  </si>
  <si>
    <t>WB18X40520</t>
  </si>
  <si>
    <t>WB18x39323</t>
  </si>
  <si>
    <t>WR60X29573</t>
  </si>
  <si>
    <t>wr55x30604</t>
  </si>
  <si>
    <t>DE92-04201B</t>
  </si>
  <si>
    <t>150.96</t>
  </si>
  <si>
    <t>54.96</t>
  </si>
  <si>
    <t>WB27X42806</t>
  </si>
  <si>
    <t>120.96</t>
  </si>
  <si>
    <t>WR17X31476</t>
  </si>
  <si>
    <t>73.96</t>
  </si>
  <si>
    <t>WB16X28656</t>
  </si>
  <si>
    <t>WE03X23956</t>
  </si>
  <si>
    <t>220.96</t>
  </si>
  <si>
    <t>22.96</t>
  </si>
  <si>
    <t>WD21X25474</t>
  </si>
  <si>
    <t>WB18X47434</t>
  </si>
  <si>
    <t xml:space="preserve">MAR62521901 </t>
  </si>
  <si>
    <t>WB18X31214</t>
  </si>
  <si>
    <t>WR17X13194</t>
  </si>
  <si>
    <t>WR01X41167</t>
  </si>
  <si>
    <t>WR17X13195</t>
  </si>
  <si>
    <t>WE08X34104</t>
  </si>
  <si>
    <t>WB18X26607</t>
  </si>
  <si>
    <t>w11419334</t>
  </si>
  <si>
    <t>WB03X39547</t>
  </si>
  <si>
    <t>W11397505</t>
  </si>
  <si>
    <t>58.96</t>
  </si>
  <si>
    <t>W11460960</t>
  </si>
  <si>
    <t>WR55X36090</t>
  </si>
  <si>
    <t>WJ76X29639</t>
  </si>
  <si>
    <r>
      <rPr>
        <color rgb="FF1155CC"/>
        <u/>
      </rPr>
      <t>07-14365-60938</t>
    </r>
  </si>
  <si>
    <t>WR49X37585</t>
  </si>
  <si>
    <t>EAD62887207</t>
  </si>
  <si>
    <t>WR23X23626</t>
  </si>
  <si>
    <t>MEE62805110</t>
  </si>
  <si>
    <t>5304530680</t>
  </si>
  <si>
    <t>DC97-16984B</t>
  </si>
  <si>
    <t>MEE62805308</t>
  </si>
  <si>
    <t>WR02X45805</t>
  </si>
  <si>
    <t>WB29X28253</t>
  </si>
  <si>
    <t>137412601</t>
  </si>
  <si>
    <t>WR60X46086</t>
  </si>
  <si>
    <t>wr55x32072</t>
  </si>
  <si>
    <t>5304522485</t>
  </si>
  <si>
    <t>WH03X33317</t>
  </si>
  <si>
    <t>AEZ75853756</t>
  </si>
  <si>
    <t>5304524493</t>
  </si>
  <si>
    <t>903097-9040</t>
  </si>
  <si>
    <t>WR55X32501 MAGNETIC SWITCH ASSY *</t>
  </si>
  <si>
    <t>WH03X29654</t>
  </si>
  <si>
    <t>EBF63534901</t>
  </si>
  <si>
    <t>WB27X42586</t>
  </si>
  <si>
    <t>WD03X20316</t>
  </si>
  <si>
    <t>EBF63054503</t>
  </si>
  <si>
    <t>47.96</t>
  </si>
  <si>
    <t>EBF62174907</t>
  </si>
  <si>
    <t>WR08X22874</t>
  </si>
  <si>
    <t>WH11X34299</t>
  </si>
  <si>
    <t>59.96</t>
  </si>
  <si>
    <t>WR55X32639</t>
  </si>
  <si>
    <t>W11565127</t>
  </si>
  <si>
    <t>WR57X26305</t>
  </si>
  <si>
    <t>WP8054980</t>
  </si>
  <si>
    <t>WR87X28340</t>
  </si>
  <si>
    <t>wb18x10287</t>
  </si>
  <si>
    <t>WE4M255</t>
  </si>
  <si>
    <t>WB25K10002</t>
  </si>
  <si>
    <t>WD21X10261</t>
  </si>
  <si>
    <t>A00040106</t>
  </si>
  <si>
    <t>4/10/2026</t>
  </si>
  <si>
    <t>WP3391914</t>
  </si>
  <si>
    <t>5304527039</t>
  </si>
  <si>
    <r>
      <rPr>
        <color rgb="FF1155CC"/>
        <u/>
      </rPr>
      <t>03-14372-12848</t>
    </r>
  </si>
  <si>
    <t>wb27x11210</t>
  </si>
  <si>
    <t>39.91</t>
  </si>
  <si>
    <t>WD21X28958</t>
  </si>
  <si>
    <t>5304517207</t>
  </si>
  <si>
    <t>WB24K5098</t>
  </si>
  <si>
    <t>WP35001193</t>
  </si>
  <si>
    <t>WP8318268</t>
  </si>
  <si>
    <t>4/13/2026</t>
  </si>
  <si>
    <t>5304536436</t>
  </si>
  <si>
    <t>WB21X10046</t>
  </si>
  <si>
    <t>59.91</t>
  </si>
  <si>
    <t>WH08X29310</t>
  </si>
  <si>
    <t>5304523018</t>
  </si>
  <si>
    <t>WR23X34250</t>
  </si>
  <si>
    <t>99.91</t>
  </si>
  <si>
    <t>5304534881</t>
  </si>
  <si>
    <t>WR13X10216</t>
  </si>
  <si>
    <t>WR13X24863</t>
  </si>
  <si>
    <t>4/14/2026</t>
  </si>
  <si>
    <t>5304521368</t>
  </si>
  <si>
    <t>WH01X29177</t>
  </si>
  <si>
    <t>169.91</t>
  </si>
  <si>
    <t xml:space="preserve">SET OF 4 </t>
  </si>
  <si>
    <t xml:space="preserve">Part was used but added to TS. </t>
  </si>
  <si>
    <t>5304532240</t>
  </si>
  <si>
    <t>29.96</t>
  </si>
  <si>
    <t>49.91</t>
  </si>
  <si>
    <t xml:space="preserve">WH03x29516 </t>
  </si>
  <si>
    <t>5304534551</t>
  </si>
  <si>
    <t>W10407279</t>
  </si>
  <si>
    <t>31.96</t>
  </si>
  <si>
    <t>69.91</t>
  </si>
  <si>
    <t>3</t>
  </si>
  <si>
    <t>41.96</t>
  </si>
  <si>
    <t>5304532629</t>
  </si>
  <si>
    <t>79.91</t>
  </si>
  <si>
    <t>ADH73150210</t>
  </si>
  <si>
    <t>5304533894</t>
  </si>
  <si>
    <t>24.91</t>
  </si>
  <si>
    <t>241854301</t>
  </si>
  <si>
    <t>242253002</t>
  </si>
  <si>
    <t>34.91</t>
  </si>
  <si>
    <t>WR98X70</t>
  </si>
  <si>
    <t>5304505209</t>
  </si>
  <si>
    <t>ADL76321002</t>
  </si>
  <si>
    <t>54.91</t>
  </si>
  <si>
    <t>WR72X39425</t>
  </si>
  <si>
    <r>
      <rPr>
        <color rgb="FF1155CC"/>
        <u/>
      </rPr>
      <t>26-14347-79297</t>
    </r>
  </si>
  <si>
    <t>5304522324</t>
  </si>
  <si>
    <t>WR72X39426</t>
  </si>
  <si>
    <t>5304524452</t>
  </si>
  <si>
    <t>wr51x10132</t>
  </si>
  <si>
    <t>44.91</t>
  </si>
  <si>
    <t>WB27X42539</t>
  </si>
  <si>
    <t>WB07X32831</t>
  </si>
  <si>
    <t>w11575359</t>
  </si>
  <si>
    <t>wb30x47091</t>
  </si>
  <si>
    <t>5304536437</t>
  </si>
  <si>
    <t>WB30X10035</t>
  </si>
  <si>
    <t>29.91</t>
  </si>
  <si>
    <t>DE72-00138D</t>
  </si>
  <si>
    <t>WB44X45497</t>
  </si>
  <si>
    <t>5304514792</t>
  </si>
  <si>
    <t>wpw10308477</t>
  </si>
  <si>
    <t>WR55X36087</t>
  </si>
  <si>
    <t>5304538005</t>
  </si>
  <si>
    <t>WR51X31995</t>
  </si>
  <si>
    <t>w11562215</t>
  </si>
  <si>
    <t>WD05X10017X</t>
  </si>
  <si>
    <t>4/15/2026</t>
  </si>
  <si>
    <t>5304536671</t>
  </si>
  <si>
    <t>5304536861</t>
  </si>
  <si>
    <t>A11147301</t>
  </si>
  <si>
    <t>DA97-11117A</t>
  </si>
  <si>
    <t>68.96</t>
  </si>
  <si>
    <t>ADQ73913310</t>
  </si>
  <si>
    <t>89.91</t>
  </si>
  <si>
    <t>5304532166</t>
  </si>
  <si>
    <t>wr71x42246</t>
  </si>
  <si>
    <t xml:space="preserve">WH13X30373 </t>
  </si>
  <si>
    <t>5304533431</t>
  </si>
  <si>
    <t>wd34x33758</t>
  </si>
  <si>
    <r>
      <rPr>
        <color rgb="FF1155CC"/>
        <u/>
      </rPr>
      <t>25-14344-24851</t>
    </r>
  </si>
  <si>
    <t>WB56X48650</t>
  </si>
  <si>
    <t>198.96</t>
  </si>
  <si>
    <t>5304535023</t>
  </si>
  <si>
    <t>ADX72930499</t>
  </si>
  <si>
    <t>5304535108</t>
  </si>
  <si>
    <t>5304535347</t>
  </si>
  <si>
    <t>WR14X31082</t>
  </si>
  <si>
    <t>wr14x41168</t>
  </si>
  <si>
    <t>2416757051</t>
  </si>
  <si>
    <t>MDS67714501</t>
  </si>
  <si>
    <t>115.96</t>
  </si>
  <si>
    <t>wh05x29521</t>
  </si>
  <si>
    <t>w11314648</t>
  </si>
  <si>
    <t>40.98</t>
  </si>
  <si>
    <t>4/16/2026</t>
  </si>
  <si>
    <t>DA97-20713A</t>
  </si>
  <si>
    <t>154723801</t>
  </si>
  <si>
    <t>76.96</t>
  </si>
  <si>
    <t>de96-00414d</t>
  </si>
  <si>
    <t>2</t>
  </si>
  <si>
    <t>DC97-20193B</t>
  </si>
  <si>
    <t>AJK72989710</t>
  </si>
  <si>
    <t>W10752283</t>
  </si>
  <si>
    <t>DC97-21487D</t>
  </si>
  <si>
    <t>195.96</t>
  </si>
  <si>
    <t>AEN74532608</t>
  </si>
  <si>
    <t>00631200</t>
  </si>
  <si>
    <t>215.96</t>
  </si>
  <si>
    <t xml:space="preserve">ACZ74070504 </t>
  </si>
  <si>
    <t>17171100003507</t>
  </si>
  <si>
    <t>AJK72909317</t>
  </si>
  <si>
    <t>WR49X10251</t>
  </si>
  <si>
    <t>113.96</t>
  </si>
  <si>
    <t>140152779025</t>
  </si>
  <si>
    <t>5/4/5/2026</t>
  </si>
  <si>
    <r>
      <rPr>
        <color rgb="FF1155CC"/>
        <u/>
      </rPr>
      <t>18-14357-27735</t>
    </r>
  </si>
  <si>
    <t>W11130362</t>
  </si>
  <si>
    <t>17171100002924</t>
  </si>
  <si>
    <t>39.96</t>
  </si>
  <si>
    <t>WH16X26909</t>
  </si>
  <si>
    <t>17176000040120</t>
  </si>
  <si>
    <t>WH16X26908</t>
  </si>
  <si>
    <t xml:space="preserve">WH03X33961 </t>
  </si>
  <si>
    <t>17176000A15107</t>
  </si>
  <si>
    <t>WH49X27322</t>
  </si>
  <si>
    <t>5304512102</t>
  </si>
  <si>
    <t>WH03X33732</t>
  </si>
  <si>
    <t>129.91</t>
  </si>
  <si>
    <t>5304537686</t>
  </si>
  <si>
    <t>da97-21002a</t>
  </si>
  <si>
    <t>dc97-22929b</t>
  </si>
  <si>
    <t>275.96</t>
  </si>
  <si>
    <t>17171100003504</t>
  </si>
  <si>
    <t>500.96</t>
  </si>
  <si>
    <t>we03x25314</t>
  </si>
  <si>
    <t>wh10x35297</t>
  </si>
  <si>
    <t>4/17/2026</t>
  </si>
  <si>
    <t xml:space="preserve">listed separately to show pictures </t>
  </si>
  <si>
    <t>279936</t>
  </si>
  <si>
    <t>WB44X45495</t>
  </si>
  <si>
    <t>wb44x45498</t>
  </si>
  <si>
    <t xml:space="preserve">AEG33121501, </t>
  </si>
  <si>
    <t>4/20/2026</t>
  </si>
  <si>
    <r>
      <rPr>
        <rFont val="Arial"/>
        <color rgb="FF1155CC"/>
        <u/>
      </rPr>
      <t>WB21X20471</t>
    </r>
  </si>
  <si>
    <t>Jackson TN</t>
  </si>
  <si>
    <t>23.86</t>
  </si>
  <si>
    <t>WE01X26494</t>
  </si>
  <si>
    <t>42.86</t>
  </si>
  <si>
    <r>
      <rPr>
        <color rgb="FF1155CC"/>
        <u/>
      </rPr>
      <t>18-14357-27735</t>
    </r>
  </si>
  <si>
    <t>5304530007</t>
  </si>
  <si>
    <t>AHA75673404</t>
  </si>
  <si>
    <t>W10297244</t>
  </si>
  <si>
    <r>
      <rPr>
        <rFont val="Arial"/>
        <color rgb="FF1155CC"/>
        <u/>
      </rPr>
      <t>WE11X21156</t>
    </r>
  </si>
  <si>
    <t>99.86</t>
  </si>
  <si>
    <t>W10491331</t>
  </si>
  <si>
    <t>40.86</t>
  </si>
  <si>
    <t>W10858105</t>
  </si>
  <si>
    <t>65.86</t>
  </si>
  <si>
    <r>
      <rPr>
        <rFont val="Arial"/>
        <color rgb="FF1155CC"/>
        <u/>
      </rPr>
      <t>K2204942</t>
    </r>
  </si>
  <si>
    <t>118.86</t>
  </si>
  <si>
    <t>W11084121</t>
  </si>
  <si>
    <t>30.86</t>
  </si>
  <si>
    <t>20.86</t>
  </si>
  <si>
    <t>W11165163</t>
  </si>
  <si>
    <t>EBR8669275</t>
  </si>
  <si>
    <t>150.86</t>
  </si>
  <si>
    <t>W11238426</t>
  </si>
  <si>
    <t>125.86</t>
  </si>
  <si>
    <t>98.86</t>
  </si>
  <si>
    <t>25.86</t>
  </si>
  <si>
    <t>22.86</t>
  </si>
  <si>
    <t>48.86</t>
  </si>
  <si>
    <t>W11596131</t>
  </si>
  <si>
    <t>28.86</t>
  </si>
  <si>
    <t>WH22X28676</t>
  </si>
  <si>
    <t>W11652038</t>
  </si>
  <si>
    <t>180.96</t>
  </si>
  <si>
    <t>70.86</t>
  </si>
  <si>
    <t>WPW10435242</t>
  </si>
  <si>
    <t xml:space="preserve">W11665967 </t>
  </si>
  <si>
    <t>95.86</t>
  </si>
  <si>
    <t xml:space="preserve">W11697034 </t>
  </si>
  <si>
    <t>K2010626</t>
  </si>
  <si>
    <t>53.86</t>
  </si>
  <si>
    <r>
      <rPr>
        <rFont val="Arial"/>
        <color rgb="FF1155CC"/>
        <u/>
      </rPr>
      <t>DA97-24415A</t>
    </r>
  </si>
  <si>
    <t>195.86</t>
  </si>
  <si>
    <t>W11643701</t>
  </si>
  <si>
    <t>Jonesboro AR</t>
  </si>
  <si>
    <t>24.82</t>
  </si>
  <si>
    <t>AEN74532611</t>
  </si>
  <si>
    <r>
      <rPr>
        <color rgb="FF1155CC"/>
        <u/>
      </rPr>
      <t>07-14377-68488</t>
    </r>
  </si>
  <si>
    <t>269.91</t>
  </si>
  <si>
    <t>20.82</t>
  </si>
  <si>
    <t>30.82</t>
  </si>
  <si>
    <t>32.82</t>
  </si>
  <si>
    <t>W11419051</t>
  </si>
  <si>
    <t>119.91</t>
  </si>
  <si>
    <t>22.82</t>
  </si>
  <si>
    <t>W11499658</t>
  </si>
  <si>
    <t>WH01X29652</t>
  </si>
  <si>
    <t>WR87X32914</t>
  </si>
  <si>
    <t>W11517959</t>
  </si>
  <si>
    <t>55.82</t>
  </si>
  <si>
    <t>WH08X38046</t>
  </si>
  <si>
    <t>DD82-01593A</t>
  </si>
  <si>
    <t>90.82</t>
  </si>
  <si>
    <t>WE04X22054</t>
  </si>
  <si>
    <t>21.82</t>
  </si>
  <si>
    <t>W11556727</t>
  </si>
  <si>
    <t>23.82</t>
  </si>
  <si>
    <t xml:space="preserve">WPW10624574 </t>
  </si>
  <si>
    <t>35.82</t>
  </si>
  <si>
    <t>58.82</t>
  </si>
  <si>
    <t>4/21/2026</t>
  </si>
  <si>
    <t>25.82</t>
  </si>
  <si>
    <t>38.82</t>
  </si>
  <si>
    <t xml:space="preserve"> WR55X24870</t>
  </si>
  <si>
    <t>65.82</t>
  </si>
  <si>
    <t>W11676909</t>
  </si>
  <si>
    <t>WJ26X29651</t>
  </si>
  <si>
    <t>75.82</t>
  </si>
  <si>
    <t xml:space="preserve">WP8566184 </t>
  </si>
  <si>
    <t>WH22X37221</t>
  </si>
  <si>
    <t>80.82</t>
  </si>
  <si>
    <t>DA97-12540G</t>
  </si>
  <si>
    <t>WPW10317991</t>
  </si>
  <si>
    <t>95.82</t>
  </si>
  <si>
    <t>DG96-00779B</t>
  </si>
  <si>
    <t>99.82</t>
  </si>
  <si>
    <t>DC93-00554E</t>
  </si>
  <si>
    <t>13-14369-76770</t>
  </si>
  <si>
    <t>195.82</t>
  </si>
  <si>
    <t>WPW10476828</t>
  </si>
  <si>
    <t>54.82</t>
  </si>
  <si>
    <t>WH16X26910/WH16X26911</t>
  </si>
  <si>
    <t>WPW10479155</t>
  </si>
  <si>
    <t>40.82</t>
  </si>
  <si>
    <t xml:space="preserve">combined in to 1 listing for a set of 4 </t>
  </si>
  <si>
    <t>WJ27X26677</t>
  </si>
  <si>
    <t>120.82</t>
  </si>
  <si>
    <t xml:space="preserve">WPW10642928 </t>
  </si>
  <si>
    <t>W10888146</t>
  </si>
  <si>
    <t>29.82</t>
  </si>
  <si>
    <t xml:space="preserve">11473128 </t>
  </si>
  <si>
    <t>100.82</t>
  </si>
  <si>
    <t xml:space="preserve">11539231 </t>
  </si>
  <si>
    <t>W10860984</t>
  </si>
  <si>
    <t>26.82</t>
  </si>
  <si>
    <t>WR14X40076</t>
  </si>
  <si>
    <t>DA82-01396A</t>
  </si>
  <si>
    <t>5301EL1001J</t>
  </si>
  <si>
    <t>ADL73762003</t>
  </si>
  <si>
    <t>98.82</t>
  </si>
  <si>
    <t>179.91</t>
  </si>
  <si>
    <t>dc97-22947v</t>
  </si>
  <si>
    <t>5304531730</t>
  </si>
  <si>
    <t>375.82</t>
  </si>
  <si>
    <t>ACG76164405</t>
  </si>
  <si>
    <t>70.82</t>
  </si>
  <si>
    <t>WR87X34174</t>
  </si>
  <si>
    <t>ADJ75472620</t>
  </si>
  <si>
    <t>300.82</t>
  </si>
  <si>
    <t>ADL73341411</t>
  </si>
  <si>
    <t>iM117000</t>
  </si>
  <si>
    <t>AEB76044915</t>
  </si>
  <si>
    <t>149.91</t>
  </si>
  <si>
    <t>140.82</t>
  </si>
  <si>
    <t>DA96-01281A</t>
  </si>
  <si>
    <t xml:space="preserve">Jacksonville FL </t>
  </si>
  <si>
    <t>21.80</t>
  </si>
  <si>
    <t>DA97-11823A</t>
  </si>
  <si>
    <t>199.91</t>
  </si>
  <si>
    <t>53.80</t>
  </si>
  <si>
    <t>DA97-15739A</t>
  </si>
  <si>
    <t>WR55X32501</t>
  </si>
  <si>
    <t>31.80</t>
  </si>
  <si>
    <t>189.91</t>
  </si>
  <si>
    <t>383EEL9001C</t>
  </si>
  <si>
    <t>DA97-16028B</t>
  </si>
  <si>
    <t>45.80</t>
  </si>
  <si>
    <t>38.80</t>
  </si>
  <si>
    <t>DA97-16028C</t>
  </si>
  <si>
    <t>AKN72949013</t>
  </si>
  <si>
    <t>85.80</t>
  </si>
  <si>
    <t>DA97-21004A</t>
  </si>
  <si>
    <t>WR97X10075</t>
  </si>
  <si>
    <t>DA97-21806A</t>
  </si>
  <si>
    <t>23.80</t>
  </si>
  <si>
    <t>DA97-22326A</t>
  </si>
  <si>
    <t>25.80</t>
  </si>
  <si>
    <t>WR87X38941</t>
  </si>
  <si>
    <t>DA97-22973B</t>
  </si>
  <si>
    <t>60.80</t>
  </si>
  <si>
    <t>4/22/2026</t>
  </si>
  <si>
    <t>WB27X41655</t>
  </si>
  <si>
    <t>EBR87519301</t>
  </si>
  <si>
    <t>340.80</t>
  </si>
  <si>
    <t>318647300</t>
  </si>
  <si>
    <t>ACQ91482424</t>
  </si>
  <si>
    <t>261.80</t>
  </si>
  <si>
    <t>4932JA3009R</t>
  </si>
  <si>
    <t>5304533958</t>
  </si>
  <si>
    <t>24.80</t>
  </si>
  <si>
    <t>28.80</t>
  </si>
  <si>
    <t>5304537689</t>
  </si>
  <si>
    <t>MJU39256413</t>
  </si>
  <si>
    <t>3501W1A019S</t>
  </si>
  <si>
    <t>807555203</t>
  </si>
  <si>
    <t>WPW10277958</t>
  </si>
  <si>
    <t>30.80</t>
  </si>
  <si>
    <t>MGZ63047502</t>
  </si>
  <si>
    <t xml:space="preserve">WJ26X29654 </t>
  </si>
  <si>
    <t>MGZ63447201</t>
  </si>
  <si>
    <t>WE22X39117</t>
  </si>
  <si>
    <t>MGZ63847301</t>
  </si>
  <si>
    <t>MGZ63447001</t>
  </si>
  <si>
    <t>A04368602</t>
  </si>
  <si>
    <t>55.80</t>
  </si>
  <si>
    <t>WB18X32920</t>
  </si>
  <si>
    <t>TCA35931727</t>
  </si>
  <si>
    <t>205.80</t>
  </si>
  <si>
    <t>TCA37091607</t>
  </si>
  <si>
    <t>220.80</t>
  </si>
  <si>
    <t>TCA37071511</t>
  </si>
  <si>
    <t>218.80</t>
  </si>
  <si>
    <t>TCA38091801</t>
  </si>
  <si>
    <t xml:space="preserve">WH16X27178 </t>
  </si>
  <si>
    <t>250.80</t>
  </si>
  <si>
    <t>WH13X30347</t>
  </si>
  <si>
    <t>1 PACK OF 4</t>
  </si>
  <si>
    <t>119.80</t>
  </si>
  <si>
    <t xml:space="preserve">WX05X24267 </t>
  </si>
  <si>
    <r>
      <rPr>
        <color rgb="FF1155CC"/>
        <u/>
      </rPr>
      <t>02-14387-77262</t>
    </r>
  </si>
  <si>
    <t>100.80</t>
  </si>
  <si>
    <t>W11546692</t>
  </si>
  <si>
    <t xml:space="preserve">WD21X33703 </t>
  </si>
  <si>
    <t>5304531227</t>
  </si>
  <si>
    <t>K2002258</t>
  </si>
  <si>
    <t>50.80</t>
  </si>
  <si>
    <t>MDS66290801</t>
  </si>
  <si>
    <t>150.80</t>
  </si>
  <si>
    <t>AAP74271311</t>
  </si>
  <si>
    <t>WD34X28033</t>
  </si>
  <si>
    <t>DC47-0019A</t>
  </si>
  <si>
    <t>35.80</t>
  </si>
  <si>
    <t>241862904</t>
  </si>
  <si>
    <t>40.80</t>
  </si>
  <si>
    <t>WH22X36738</t>
  </si>
  <si>
    <t>80.80</t>
  </si>
  <si>
    <t>5304536167</t>
  </si>
  <si>
    <t>106.80</t>
  </si>
  <si>
    <t>DG92-01035A</t>
  </si>
  <si>
    <t>54.80</t>
  </si>
  <si>
    <t>WH22X38558</t>
  </si>
  <si>
    <t>5304526872</t>
  </si>
  <si>
    <t>EBR40211903</t>
  </si>
  <si>
    <t>5304533024</t>
  </si>
  <si>
    <t>DG94-00449A</t>
  </si>
  <si>
    <t>105.80</t>
  </si>
  <si>
    <t>5303918284</t>
  </si>
  <si>
    <t>130.80</t>
  </si>
  <si>
    <t>WR14X29300</t>
  </si>
  <si>
    <t>WD05X30818</t>
  </si>
  <si>
    <t>IM116000</t>
  </si>
  <si>
    <t>65.80</t>
  </si>
  <si>
    <t>383EER3001J</t>
  </si>
  <si>
    <t>DA97-12683A</t>
  </si>
  <si>
    <t>200.80</t>
  </si>
  <si>
    <t>K2106832</t>
  </si>
  <si>
    <t>155.80</t>
  </si>
  <si>
    <t>DA97-13015C</t>
  </si>
  <si>
    <t>K2250406</t>
  </si>
  <si>
    <t>DA97-14049G</t>
  </si>
  <si>
    <t>DA97-21938A</t>
  </si>
  <si>
    <t>225.80</t>
  </si>
  <si>
    <t>DA97-14978D</t>
  </si>
  <si>
    <t>DC93-00101N</t>
  </si>
  <si>
    <r>
      <rPr>
        <color rgb="FF1155CC"/>
        <u/>
      </rPr>
      <t>24-14370-99855</t>
    </r>
  </si>
  <si>
    <t>WPW10211896</t>
  </si>
  <si>
    <t>DA97-17723L</t>
  </si>
  <si>
    <t>12638100002341</t>
  </si>
  <si>
    <t>51.80</t>
  </si>
  <si>
    <t>DA97-21797A</t>
  </si>
  <si>
    <t>DA97-20072F</t>
  </si>
  <si>
    <t>275.80</t>
  </si>
  <si>
    <t>90.80</t>
  </si>
  <si>
    <t>DA97-23012A</t>
  </si>
  <si>
    <t>DA32-02870A</t>
  </si>
  <si>
    <t>DA97-23074A</t>
  </si>
  <si>
    <t>WR87X41965</t>
  </si>
  <si>
    <t>DA97-23074C</t>
  </si>
  <si>
    <t>5304527036</t>
  </si>
  <si>
    <t>120.80</t>
  </si>
  <si>
    <t>5304525994</t>
  </si>
  <si>
    <t>DA97-24428B</t>
  </si>
  <si>
    <t>5304530878</t>
  </si>
  <si>
    <t>5304526772</t>
  </si>
  <si>
    <t>DG94-03952R</t>
  </si>
  <si>
    <t>298.80</t>
  </si>
  <si>
    <t>6738888</t>
  </si>
  <si>
    <t>230.80</t>
  </si>
  <si>
    <t>Wh22x38441</t>
  </si>
  <si>
    <t>DA97-05037D</t>
  </si>
  <si>
    <t>123.80</t>
  </si>
  <si>
    <t>17171100006485</t>
  </si>
  <si>
    <t>WB18T10411</t>
  </si>
  <si>
    <t>129.80</t>
  </si>
  <si>
    <t>WE49X37037</t>
  </si>
  <si>
    <t>48.80</t>
  </si>
  <si>
    <t>ACG76164401</t>
  </si>
  <si>
    <t>ACG76384503</t>
  </si>
  <si>
    <t>ACG76384609</t>
  </si>
  <si>
    <t>K2190855</t>
  </si>
  <si>
    <t>WR30X28682</t>
  </si>
  <si>
    <t>70.80</t>
  </si>
  <si>
    <t>WD49X25081</t>
  </si>
  <si>
    <t>241675707</t>
  </si>
  <si>
    <t>29.80</t>
  </si>
  <si>
    <t>241675705</t>
  </si>
  <si>
    <t>K2117219</t>
  </si>
  <si>
    <t>FFS-BA045WRKZ</t>
  </si>
  <si>
    <t>22.80</t>
  </si>
  <si>
    <t>5304536495</t>
  </si>
  <si>
    <r>
      <rPr>
        <color rgb="FF1155CC"/>
        <u/>
      </rPr>
      <t>05-14383-44662</t>
    </r>
  </si>
  <si>
    <t>10246912</t>
  </si>
  <si>
    <t>790.80</t>
  </si>
  <si>
    <t>5304524817</t>
  </si>
  <si>
    <t>MSV488AL1R/ASH</t>
  </si>
  <si>
    <t>w11134845</t>
  </si>
  <si>
    <t>WB44X48675</t>
  </si>
  <si>
    <t>AJK73309707</t>
  </si>
  <si>
    <t>318178110</t>
  </si>
  <si>
    <t>NF54K9151AMTT3</t>
  </si>
  <si>
    <t>36.80</t>
  </si>
  <si>
    <t>5304521777</t>
  </si>
  <si>
    <t>NF54M7151ANASH</t>
  </si>
  <si>
    <t>DA97-13192B</t>
  </si>
  <si>
    <t>TCA36811409</t>
  </si>
  <si>
    <t>W10309988</t>
  </si>
  <si>
    <t>218976439</t>
  </si>
  <si>
    <t>242220119</t>
  </si>
  <si>
    <t>218976447</t>
  </si>
  <si>
    <t>WB63X35500</t>
  </si>
  <si>
    <t>12131000091868</t>
  </si>
  <si>
    <t>12231000007012</t>
  </si>
  <si>
    <t>RELIST</t>
  </si>
  <si>
    <t>WH05X29514</t>
  </si>
  <si>
    <t>WH23X29553</t>
  </si>
  <si>
    <t>WR98X45</t>
  </si>
  <si>
    <t>5304528835</t>
  </si>
  <si>
    <t>ACG73645004</t>
  </si>
  <si>
    <t>44.80</t>
  </si>
  <si>
    <t>134813664</t>
  </si>
  <si>
    <t>ACM76192202</t>
  </si>
  <si>
    <t>215.80</t>
  </si>
  <si>
    <t>ACG73645007</t>
  </si>
  <si>
    <t>5304536701</t>
  </si>
  <si>
    <t>5304516837</t>
  </si>
  <si>
    <t>75.80</t>
  </si>
  <si>
    <t>5304536707</t>
  </si>
  <si>
    <t>5304535182</t>
  </si>
  <si>
    <t>99.80</t>
  </si>
  <si>
    <r>
      <rPr>
        <color rgb="FF1155CC"/>
        <u/>
      </rPr>
      <t>7-14364-69946</t>
    </r>
  </si>
  <si>
    <t>20.80</t>
  </si>
  <si>
    <t>27.80</t>
  </si>
  <si>
    <t>DC96-00790G</t>
  </si>
  <si>
    <t>180.80</t>
  </si>
  <si>
    <t>5304526307</t>
  </si>
  <si>
    <t>125.80</t>
  </si>
  <si>
    <t>5304523741</t>
  </si>
  <si>
    <t>26.80</t>
  </si>
  <si>
    <t>5308000010</t>
  </si>
  <si>
    <t>5304521331</t>
  </si>
  <si>
    <t>43.80</t>
  </si>
  <si>
    <t>64.80</t>
  </si>
  <si>
    <t>5304534824</t>
  </si>
  <si>
    <t>52.80</t>
  </si>
  <si>
    <t>DA82-01397A</t>
  </si>
  <si>
    <t>135.80</t>
  </si>
  <si>
    <t>DA97-14504D</t>
  </si>
  <si>
    <t>IMKTTM0018</t>
  </si>
  <si>
    <t>115.80</t>
  </si>
  <si>
    <t>5304538523</t>
  </si>
  <si>
    <t>DA97-14504E</t>
  </si>
  <si>
    <t>5304532613</t>
  </si>
  <si>
    <t>WB18X32781</t>
  </si>
  <si>
    <t>DA97-17285A</t>
  </si>
  <si>
    <t>5304532614</t>
  </si>
  <si>
    <t>DA97-20157B</t>
  </si>
  <si>
    <t>5304529495</t>
  </si>
  <si>
    <t>41.80</t>
  </si>
  <si>
    <t>WH16X26911/WH16X26910</t>
  </si>
  <si>
    <t>DA97-21215D</t>
  </si>
  <si>
    <t xml:space="preserve">LISTED AS A BUNDLE 2 OF EACH </t>
  </si>
  <si>
    <r>
      <rPr>
        <color rgb="FF1155CC"/>
        <u/>
      </rPr>
      <t>27-14354-11236</t>
    </r>
  </si>
  <si>
    <t>140184940033</t>
  </si>
  <si>
    <t>110.80</t>
  </si>
  <si>
    <t>154825001</t>
  </si>
  <si>
    <t>33.80</t>
  </si>
  <si>
    <t>8583165300028</t>
  </si>
  <si>
    <t>78.80</t>
  </si>
  <si>
    <t>49.80</t>
  </si>
  <si>
    <t xml:space="preserve">ABF74369707 </t>
  </si>
  <si>
    <t>AEM74512902</t>
  </si>
  <si>
    <t>387404870</t>
  </si>
  <si>
    <t>WB07X33620</t>
  </si>
  <si>
    <t>EAD60756917</t>
  </si>
  <si>
    <t>EAD65965006</t>
  </si>
  <si>
    <t>EBF64395104</t>
  </si>
  <si>
    <t>EBG63944101</t>
  </si>
  <si>
    <t>EBR80757417</t>
  </si>
  <si>
    <t>WPW10259855</t>
  </si>
  <si>
    <t>K2413835</t>
  </si>
  <si>
    <t>DD67-00131E</t>
  </si>
  <si>
    <r>
      <rPr>
        <color rgb="FF1155CC"/>
        <u/>
      </rPr>
      <t>27-14354-65233</t>
    </r>
  </si>
  <si>
    <t>DA82-02524C</t>
  </si>
  <si>
    <t>DA82-02692Y</t>
  </si>
  <si>
    <t>DA82-03216S</t>
  </si>
  <si>
    <t>DA82-03291Q</t>
  </si>
  <si>
    <t>DA82-03292R</t>
  </si>
  <si>
    <t>DA82-03321A</t>
  </si>
  <si>
    <t>DA82-03364L</t>
  </si>
  <si>
    <t>DA82-03399B</t>
  </si>
  <si>
    <t>DA82-03399C</t>
  </si>
  <si>
    <t>DC97-21446D</t>
  </si>
  <si>
    <t xml:space="preserve">DC97-21510J        </t>
  </si>
  <si>
    <t>DD97-00605A</t>
  </si>
  <si>
    <t>DE94-03237R</t>
  </si>
  <si>
    <t>DE94-03942D</t>
  </si>
  <si>
    <t>DE94-04094C</t>
  </si>
  <si>
    <t>DG90-01359C</t>
  </si>
  <si>
    <t>DG94-03925D</t>
  </si>
  <si>
    <t>W10860912</t>
  </si>
  <si>
    <t>WD27X34702</t>
  </si>
  <si>
    <t>WD27X34718</t>
  </si>
  <si>
    <t>WD28X30221</t>
  </si>
  <si>
    <t>WD28X34741</t>
  </si>
  <si>
    <t>WP695737</t>
  </si>
  <si>
    <t>WR32X10910</t>
  </si>
  <si>
    <t>WR32X10911</t>
  </si>
  <si>
    <t>WR78X31899</t>
  </si>
  <si>
    <t>WR78X38547</t>
  </si>
  <si>
    <t>WR78X48793</t>
  </si>
  <si>
    <t>379,91</t>
  </si>
  <si>
    <t>ADD73697421</t>
  </si>
  <si>
    <r>
      <rPr>
        <color rgb="FF1155CC"/>
        <u/>
      </rPr>
      <t>27-14358-34102</t>
    </r>
  </si>
  <si>
    <t>AEB75844605</t>
  </si>
  <si>
    <t>returned</t>
  </si>
  <si>
    <t>AGU76970502</t>
  </si>
  <si>
    <t>DA91-04694B</t>
  </si>
  <si>
    <t>DD97-00603J</t>
  </si>
  <si>
    <t>DD97-00607B</t>
  </si>
  <si>
    <t>DG94-04117A</t>
  </si>
  <si>
    <t>WB62X26651</t>
  </si>
  <si>
    <t>WE13X29593</t>
  </si>
  <si>
    <t>WR17X31977</t>
  </si>
  <si>
    <t>WR78X37452</t>
  </si>
  <si>
    <t>WB07X28824</t>
  </si>
  <si>
    <t>WB34X31515</t>
  </si>
  <si>
    <t>WB35X23552</t>
  </si>
  <si>
    <t>WB44X45499</t>
  </si>
  <si>
    <t>WD12X34182</t>
  </si>
  <si>
    <r>
      <rPr>
        <color rgb="FF1155CC"/>
        <u/>
      </rPr>
      <t>09-14383-32413</t>
    </r>
  </si>
  <si>
    <t>WB27X42509</t>
  </si>
  <si>
    <t>WB27X47048</t>
  </si>
  <si>
    <t>WB27X47052</t>
  </si>
  <si>
    <t>WB27X48966</t>
  </si>
  <si>
    <t>WH22X34918</t>
  </si>
  <si>
    <t>WR85X40009</t>
  </si>
  <si>
    <t>WB26X32571</t>
  </si>
  <si>
    <t>WB27X45306</t>
  </si>
  <si>
    <t>WE11X29438</t>
  </si>
  <si>
    <t>WR14X40082</t>
  </si>
  <si>
    <t>WR17X12881</t>
  </si>
  <si>
    <t>WB27X10876</t>
  </si>
  <si>
    <t>WD14X22896</t>
  </si>
  <si>
    <t>WD21X24676</t>
  </si>
  <si>
    <t>WD21X35463</t>
  </si>
  <si>
    <t>WD27X34579</t>
  </si>
  <si>
    <t>WD34X28025</t>
  </si>
  <si>
    <t xml:space="preserve">WR55X46125 </t>
  </si>
  <si>
    <t>WB27X41887</t>
  </si>
  <si>
    <t>WD21X25381</t>
  </si>
  <si>
    <r>
      <rPr>
        <color rgb="FF1155CC"/>
        <u/>
      </rPr>
      <t>14-14379-56031</t>
    </r>
  </si>
  <si>
    <t>WD21X34759</t>
  </si>
  <si>
    <t>WB27X33085</t>
  </si>
  <si>
    <t>WD21X30998</t>
  </si>
  <si>
    <t>WE41X39157</t>
  </si>
  <si>
    <t>WB24T10164</t>
  </si>
  <si>
    <t>WE1X21975</t>
  </si>
  <si>
    <t>WR09X30949</t>
  </si>
  <si>
    <t>WE08X38317</t>
  </si>
  <si>
    <r>
      <rPr>
        <color rgb="FF1155CC"/>
        <u/>
      </rPr>
      <t>02-14395-52648</t>
    </r>
  </si>
  <si>
    <t>WB10X21659</t>
  </si>
  <si>
    <t>WD12X10456</t>
  </si>
  <si>
    <t>WD19X25466</t>
  </si>
  <si>
    <t>WE01X34338</t>
  </si>
  <si>
    <t>WE03X33642</t>
  </si>
  <si>
    <t>WR02X24874</t>
  </si>
  <si>
    <t>WR02X24876</t>
  </si>
  <si>
    <t>WR1X2027</t>
  </si>
  <si>
    <r>
      <rPr>
        <color rgb="FF1155CC"/>
        <u/>
      </rPr>
      <t>14-14381-19309</t>
    </r>
  </si>
  <si>
    <t xml:space="preserve">WB27X50606 </t>
  </si>
  <si>
    <t>WB15X33429</t>
  </si>
  <si>
    <t>WB27X42528</t>
  </si>
  <si>
    <t>WD21X25374</t>
  </si>
  <si>
    <t>WE16X29713</t>
  </si>
  <si>
    <t>WB18X46485</t>
  </si>
  <si>
    <t>WB26X23813</t>
  </si>
  <si>
    <t>WB27T11249</t>
  </si>
  <si>
    <t>WB27X35131</t>
  </si>
  <si>
    <t>WD22X25463</t>
  </si>
  <si>
    <r>
      <rPr>
        <color rgb="FF1155CC"/>
        <u/>
      </rPr>
      <t>07-14365-60938</t>
    </r>
  </si>
  <si>
    <t>WR13X24929</t>
  </si>
  <si>
    <t>WR17X36026</t>
  </si>
  <si>
    <t>WB27X32767</t>
  </si>
  <si>
    <t>WB56X34974</t>
  </si>
  <si>
    <t>WD21X28718</t>
  </si>
  <si>
    <t>WD21X32561</t>
  </si>
  <si>
    <t>CX stated "Changed my mind"</t>
  </si>
  <si>
    <t>WR17X12323</t>
  </si>
  <si>
    <t>WR17X30426</t>
  </si>
  <si>
    <t>WB02X11200</t>
  </si>
  <si>
    <t>WB18X27245</t>
  </si>
  <si>
    <t>WB18X39634</t>
  </si>
  <si>
    <t>WB24X39677</t>
  </si>
  <si>
    <r>
      <rPr>
        <color rgb="FF1155CC"/>
        <u/>
      </rPr>
      <t>10-14387-72152</t>
    </r>
  </si>
  <si>
    <t>WD21X27141</t>
  </si>
  <si>
    <t>WR17X13241</t>
  </si>
  <si>
    <t>WR55X38950</t>
  </si>
  <si>
    <t>WR55X41026</t>
  </si>
  <si>
    <t>WB02X27207</t>
  </si>
  <si>
    <t>WB34K10037</t>
  </si>
  <si>
    <t>WE13X29716</t>
  </si>
  <si>
    <t>DA97-18245C</t>
  </si>
  <si>
    <t>DC93-00371B</t>
  </si>
  <si>
    <t>DC93-00678A</t>
  </si>
  <si>
    <t>DC98-00679A</t>
  </si>
  <si>
    <t>DA92-00593M</t>
  </si>
  <si>
    <r>
      <rPr>
        <color rgb="FF1155CC"/>
        <u/>
      </rPr>
      <t>15-14383-77790</t>
    </r>
  </si>
  <si>
    <t>DC92-02388S</t>
  </si>
  <si>
    <t>DC97-21502F</t>
  </si>
  <si>
    <t>DE94-05151A</t>
  </si>
  <si>
    <t>DG47-00037B</t>
  </si>
  <si>
    <t>WH22X35837</t>
  </si>
  <si>
    <t>DE47-00066A</t>
  </si>
  <si>
    <t>DE96-01096A</t>
  </si>
  <si>
    <t>DE96-01124A</t>
  </si>
  <si>
    <t>DG94-05034A</t>
  </si>
  <si>
    <t>2501-001011</t>
  </si>
  <si>
    <t>DC97-18154A</t>
  </si>
  <si>
    <t>DC97-19291B</t>
  </si>
  <si>
    <t>DC92-02394P</t>
  </si>
  <si>
    <t>DC93-00736A</t>
  </si>
  <si>
    <t>DC97-20020A</t>
  </si>
  <si>
    <t>DC33-01011D</t>
  </si>
  <si>
    <t>DC33-01012B</t>
  </si>
  <si>
    <t>DC33-01002A</t>
  </si>
  <si>
    <t>DC92-02388K</t>
  </si>
  <si>
    <t>DC92-02965F</t>
  </si>
  <si>
    <r>
      <rPr>
        <color rgb="FF1155CC"/>
        <u/>
      </rPr>
      <t>26-14365-96945</t>
    </r>
  </si>
  <si>
    <t>DC29-00015K</t>
  </si>
  <si>
    <t>DC64-03824A</t>
  </si>
  <si>
    <t>DC90-10128N</t>
  </si>
  <si>
    <t>DC97-17417A</t>
  </si>
  <si>
    <t>DG94-03797P</t>
  </si>
  <si>
    <t>DG94-04396N</t>
  </si>
  <si>
    <t>DG96-00809B</t>
  </si>
  <si>
    <t>DG96-00848A</t>
  </si>
  <si>
    <t>DC82-01097Y</t>
  </si>
  <si>
    <t>DD82-01882A</t>
  </si>
  <si>
    <t>DD31-00005A</t>
  </si>
  <si>
    <t>DD81-02635A</t>
  </si>
  <si>
    <t>DC97-12534Q</t>
  </si>
  <si>
    <t>DD81-02208A</t>
  </si>
  <si>
    <t>DD81-02216A</t>
  </si>
  <si>
    <t>DD81-02265A</t>
  </si>
  <si>
    <t>DD62-00097E</t>
  </si>
  <si>
    <t>DD81-03119A</t>
  </si>
  <si>
    <t>DD82-01436A</t>
  </si>
  <si>
    <t>DD82-01588A</t>
  </si>
  <si>
    <t>DD81-02144A</t>
  </si>
  <si>
    <t>DD82-01756B</t>
  </si>
  <si>
    <t>DD82-01988A</t>
  </si>
  <si>
    <t>DD97-00604A</t>
  </si>
  <si>
    <t>DD97-00604D</t>
  </si>
  <si>
    <t>MDS66290828</t>
  </si>
  <si>
    <r>
      <rPr>
        <color rgb="FF1155CC"/>
        <u/>
      </rPr>
      <t>23-14379-03592</t>
    </r>
  </si>
  <si>
    <t>ADJ74812524</t>
  </si>
  <si>
    <t>DE94-02905G</t>
  </si>
  <si>
    <t>DG94-03979A</t>
  </si>
  <si>
    <t>WB56X44696</t>
  </si>
  <si>
    <t>WD28X26099</t>
  </si>
  <si>
    <t>WE21X23868</t>
  </si>
  <si>
    <t>WE21X29724</t>
  </si>
  <si>
    <t>WH01X35746</t>
  </si>
  <si>
    <t>WR49X40245</t>
  </si>
  <si>
    <t>WR87X41927</t>
  </si>
  <si>
    <t>WD35X32358</t>
  </si>
  <si>
    <t>WH08X36340</t>
  </si>
  <si>
    <t>WB07X26702</t>
  </si>
  <si>
    <r>
      <rPr>
        <color rgb="FF1155CC"/>
        <u/>
      </rPr>
      <t>15-14388-20244</t>
    </r>
  </si>
  <si>
    <t>WB18X28761</t>
  </si>
  <si>
    <t>WB18X31210</t>
  </si>
  <si>
    <t>WB18X39318</t>
  </si>
  <si>
    <t>WB18X47341</t>
  </si>
  <si>
    <t>WB21K10127</t>
  </si>
  <si>
    <t>WB25X31222</t>
  </si>
  <si>
    <t>WD12X24598</t>
  </si>
  <si>
    <t>WD15X26140</t>
  </si>
  <si>
    <t>WD21X27402</t>
  </si>
  <si>
    <t>34,91</t>
  </si>
  <si>
    <t>WD21X27706</t>
  </si>
  <si>
    <t xml:space="preserve">WD21X29755 </t>
  </si>
  <si>
    <t>WD21X30238</t>
  </si>
  <si>
    <r>
      <rPr>
        <color rgb="FF1155CC"/>
        <u/>
      </rPr>
      <t>04-14412-66765</t>
    </r>
  </si>
  <si>
    <t>WE4M525</t>
  </si>
  <si>
    <t>WR02X11941</t>
  </si>
  <si>
    <t>WR02X35925</t>
  </si>
  <si>
    <t>WR13X31786</t>
  </si>
  <si>
    <t>WR13X32502</t>
  </si>
  <si>
    <t>WR50X10108</t>
  </si>
  <si>
    <r>
      <rPr>
        <color rgb="FF1155CC"/>
        <u/>
      </rPr>
      <t>09-14403-82155</t>
    </r>
  </si>
  <si>
    <t>WR57X27527</t>
  </si>
  <si>
    <t>WR57X39965</t>
  </si>
  <si>
    <t>WR60X24484</t>
  </si>
  <si>
    <t>WR74X38949</t>
  </si>
  <si>
    <t>WR02X46587</t>
  </si>
  <si>
    <t>WR14X29279</t>
  </si>
  <si>
    <t>WD12X23316</t>
  </si>
  <si>
    <t>WE03X33639</t>
  </si>
  <si>
    <t>12176000A85893</t>
  </si>
  <si>
    <t>DPWBFB315MRU0</t>
  </si>
  <si>
    <r>
      <rPr>
        <color rgb="FF1155CC"/>
        <u/>
      </rPr>
      <t>20-14385-67943</t>
    </r>
  </si>
  <si>
    <t>4561EL3002A</t>
  </si>
  <si>
    <t>6323EL2001B</t>
  </si>
  <si>
    <t>BN39-02470A</t>
  </si>
  <si>
    <t>BN59-01333A</t>
  </si>
  <si>
    <t>BN59-01400A</t>
  </si>
  <si>
    <t xml:space="preserve">EAD65025201 </t>
  </si>
  <si>
    <t>MEG64418901</t>
  </si>
  <si>
    <r>
      <rPr>
        <color rgb="FF1155CC"/>
        <u/>
      </rPr>
      <t>19-14384-64205</t>
    </r>
  </si>
  <si>
    <t xml:space="preserve">WR57X26305 </t>
  </si>
  <si>
    <t>W11656227</t>
  </si>
  <si>
    <r>
      <rPr>
        <color rgb="FF1155CC"/>
        <u/>
      </rPr>
      <t>24-14390-24723</t>
    </r>
  </si>
  <si>
    <t>WH11X39237</t>
  </si>
  <si>
    <t>DA97-20047B</t>
  </si>
  <si>
    <t xml:space="preserve">17176000A11328 </t>
  </si>
  <si>
    <r>
      <rPr>
        <color rgb="FF1155CC"/>
        <u/>
      </rPr>
      <t>02-14416-16101</t>
    </r>
  </si>
  <si>
    <t>WE30X24111</t>
  </si>
  <si>
    <t>DA97-16028A</t>
  </si>
  <si>
    <t>DA97-20712A</t>
  </si>
  <si>
    <t>A10281701</t>
  </si>
  <si>
    <r>
      <rPr>
        <color rgb="FF1155CC"/>
        <u/>
      </rPr>
      <t>17-14394-54144</t>
    </r>
  </si>
  <si>
    <t>W11305297</t>
  </si>
  <si>
    <t>W10435242</t>
  </si>
  <si>
    <t>WP697772</t>
  </si>
  <si>
    <t>W10350564</t>
  </si>
  <si>
    <t>AGM76889602</t>
  </si>
  <si>
    <r>
      <rPr>
        <color rgb="FF1155CC"/>
        <u/>
      </rPr>
      <t>25-14325-90157</t>
    </r>
  </si>
  <si>
    <t>WPW10316428</t>
  </si>
  <si>
    <t>12831000A05449</t>
  </si>
  <si>
    <t xml:space="preserve">AAN73232111 </t>
  </si>
  <si>
    <t>DA96-01610A</t>
  </si>
  <si>
    <t>CX stated "Just didn't like it"</t>
  </si>
  <si>
    <t>WB16X20448</t>
  </si>
  <si>
    <t>WD21X27140</t>
  </si>
  <si>
    <t>WD35X10382</t>
  </si>
  <si>
    <t>WE13M39</t>
  </si>
  <si>
    <t xml:space="preserve">ACQ30350702 </t>
  </si>
  <si>
    <t>WH11X29552</t>
  </si>
  <si>
    <t>WP3355458</t>
  </si>
  <si>
    <t>4561EL3002D</t>
  </si>
  <si>
    <t xml:space="preserve">AGM75510754 </t>
  </si>
  <si>
    <t>K2412398</t>
  </si>
  <si>
    <t>K2438804</t>
  </si>
  <si>
    <t xml:space="preserve">WD21X36098 </t>
  </si>
  <si>
    <r>
      <rPr>
        <color rgb="FF1155CC"/>
        <u/>
      </rPr>
      <t>06-14414-60970</t>
    </r>
  </si>
  <si>
    <r>
      <rPr>
        <color rgb="FF1155CC"/>
        <u/>
      </rPr>
      <t>03-14417-32784</t>
    </r>
  </si>
  <si>
    <r>
      <rPr>
        <color rgb="FF1155CC"/>
        <u/>
      </rPr>
      <t>08-14408-71312</t>
    </r>
  </si>
  <si>
    <r>
      <rPr>
        <color rgb="FF1155CC"/>
        <u/>
      </rPr>
      <t>25-14330-29945</t>
    </r>
  </si>
  <si>
    <t>Buyer stated "Doesn't work/ Defective"</t>
  </si>
  <si>
    <r>
      <rPr>
        <color rgb="FF1155CC"/>
        <u/>
      </rPr>
      <t>11-14408-01202</t>
    </r>
  </si>
  <si>
    <t>DA97-06317G</t>
  </si>
  <si>
    <t xml:space="preserve">Part incomplete, missing component. </t>
  </si>
  <si>
    <r>
      <rPr>
        <color rgb="FF1155CC"/>
        <u/>
      </rPr>
      <t>17-14319-70656</t>
    </r>
  </si>
  <si>
    <r>
      <rPr>
        <color rgb="FF1155CC"/>
        <u/>
      </rPr>
      <t>06-14418-39049</t>
    </r>
  </si>
  <si>
    <r>
      <rPr>
        <color rgb="FF1155CC"/>
        <u/>
      </rPr>
      <t>11-14317-69475</t>
    </r>
  </si>
  <si>
    <r>
      <rPr>
        <color rgb="FF1155CC"/>
        <u/>
      </rPr>
      <t>16-14404-67774</t>
    </r>
  </si>
  <si>
    <r>
      <rPr>
        <color rgb="FF1155CC"/>
        <u/>
      </rPr>
      <t>15-14388-20244</t>
    </r>
  </si>
  <si>
    <r>
      <rPr>
        <color rgb="FF1155CC"/>
        <u/>
      </rPr>
      <t>08-14417-20222</t>
    </r>
  </si>
  <si>
    <r>
      <rPr>
        <color rgb="FF1155CC"/>
        <u/>
      </rPr>
      <t>14-14408-98424</t>
    </r>
  </si>
  <si>
    <t>DG92-01232C</t>
  </si>
  <si>
    <t>Out of Stock at all Branches</t>
  </si>
  <si>
    <r>
      <rPr>
        <color rgb="FF1155CC"/>
        <u/>
      </rPr>
      <t>20-14402-01348</t>
    </r>
  </si>
  <si>
    <r>
      <rPr>
        <color rgb="FF1155CC"/>
        <u/>
      </rPr>
      <t>09-14416-45646</t>
    </r>
  </si>
  <si>
    <t>W11298156110</t>
  </si>
  <si>
    <r>
      <rPr>
        <color rgb="FF1155CC"/>
        <u/>
      </rPr>
      <t>09-14419-15561</t>
    </r>
  </si>
  <si>
    <r>
      <rPr>
        <color rgb="FF1155CC"/>
        <u/>
      </rPr>
      <t>17-14407-94914</t>
    </r>
  </si>
  <si>
    <r>
      <rPr>
        <color rgb="FF1155CC"/>
        <u/>
      </rPr>
      <t>07-14423-93363</t>
    </r>
  </si>
  <si>
    <r>
      <rPr>
        <color rgb="FF1155CC"/>
        <u/>
      </rPr>
      <t>14-14415-39052</t>
    </r>
  </si>
  <si>
    <t>DE92-03559B</t>
  </si>
  <si>
    <r>
      <rPr>
        <color rgb="FF1155CC"/>
        <u/>
      </rPr>
      <t>13-14418-02055</t>
    </r>
  </si>
  <si>
    <r>
      <rPr>
        <color rgb="FF1155CC"/>
        <u/>
      </rPr>
      <t>03-14431-97830</t>
    </r>
  </si>
  <si>
    <t>WB27X29501</t>
  </si>
  <si>
    <r>
      <rPr>
        <color rgb="FF1155CC"/>
        <u/>
      </rPr>
      <t>08-14422-71129</t>
    </r>
  </si>
  <si>
    <r>
      <rPr>
        <color rgb="FF1155CC"/>
        <u/>
      </rPr>
      <t>11-14421-44985</t>
    </r>
  </si>
  <si>
    <r>
      <rPr>
        <color rgb="FF1155CC"/>
        <u/>
      </rPr>
      <t>16-14414-40275</t>
    </r>
  </si>
  <si>
    <r>
      <rPr>
        <color rgb="FF1155CC"/>
        <u/>
      </rPr>
      <t>24-14418-03099</t>
    </r>
  </si>
  <si>
    <t>DA92-00768D</t>
  </si>
  <si>
    <r>
      <rPr>
        <color rgb="FF1155CC"/>
        <u/>
      </rPr>
      <t>18-14423-71355</t>
    </r>
  </si>
  <si>
    <t>LSTPPB082MRFO</t>
  </si>
  <si>
    <t>23-14408-27824</t>
  </si>
  <si>
    <t>Part was used but added to TS. Out of Stock at all Branches</t>
  </si>
  <si>
    <r>
      <rPr>
        <color rgb="FF1155CC"/>
        <u/>
      </rPr>
      <t>10-14435-40922</t>
    </r>
  </si>
  <si>
    <r>
      <rPr>
        <color rgb="FF1155CC"/>
        <u/>
      </rPr>
      <t>02-14436-45507</t>
    </r>
  </si>
  <si>
    <r>
      <rPr>
        <color rgb="FF1155CC"/>
        <u/>
      </rPr>
      <t>17-14423-42408</t>
    </r>
  </si>
  <si>
    <t>WH03X32157</t>
  </si>
  <si>
    <r>
      <rPr>
        <color rgb="FF1155CC"/>
        <u/>
      </rPr>
      <t>08-14438-03219</t>
    </r>
  </si>
  <si>
    <r>
      <rPr>
        <color rgb="FF1155CC"/>
        <u/>
      </rPr>
      <t>02-14440-97772</t>
    </r>
  </si>
  <si>
    <r>
      <rPr>
        <color rgb="FF1155CC"/>
        <u/>
      </rPr>
      <t>19-14413-35202</t>
    </r>
  </si>
  <si>
    <r>
      <rPr>
        <color rgb="FF1155CC"/>
        <u/>
      </rPr>
      <t>10-14436-79112</t>
    </r>
  </si>
  <si>
    <r>
      <rPr>
        <color rgb="FF1155CC"/>
        <u/>
      </rPr>
      <t>09-14441-94473</t>
    </r>
  </si>
  <si>
    <t>WD21X33685</t>
  </si>
  <si>
    <t>14-14379-56031</t>
  </si>
  <si>
    <t>CX stated "Doesn't match description or photos"</t>
  </si>
  <si>
    <r>
      <rPr>
        <color rgb="FF1155CC"/>
        <u/>
      </rPr>
      <t>27-14358-34102</t>
    </r>
  </si>
  <si>
    <t>CX stated "Doesn't fit"</t>
  </si>
  <si>
    <r>
      <rPr>
        <color rgb="FF1155CC"/>
        <u/>
      </rPr>
      <t>11-14438-91385</t>
    </r>
  </si>
  <si>
    <t>DC97-14545S</t>
  </si>
  <si>
    <r>
      <rPr>
        <color rgb="FF1155CC"/>
        <u/>
      </rPr>
      <t>25-14419-92821</t>
    </r>
  </si>
  <si>
    <t>WR57X29339</t>
  </si>
  <si>
    <r>
      <rPr>
        <color rgb="FF1155CC"/>
        <u/>
      </rPr>
      <t>26-14420-00346</t>
    </r>
  </si>
  <si>
    <r>
      <rPr>
        <color rgb="FF1155CC"/>
        <u/>
      </rPr>
      <t>15-14436-25835</t>
    </r>
  </si>
  <si>
    <t>DA97-08434E</t>
  </si>
  <si>
    <r>
      <rPr>
        <color rgb="FF1155CC"/>
        <u/>
      </rPr>
      <t>21-14425-64863</t>
    </r>
  </si>
  <si>
    <t>WH22X35597</t>
  </si>
  <si>
    <r>
      <rPr>
        <color rgb="FF1155CC"/>
        <u/>
      </rPr>
      <t>24-14437-25045</t>
    </r>
  </si>
  <si>
    <r>
      <rPr>
        <color rgb="FF1155CC"/>
        <u/>
      </rPr>
      <t>26-14419-00255</t>
    </r>
  </si>
  <si>
    <t>DG47-00074A</t>
  </si>
  <si>
    <r>
      <rPr>
        <color rgb="FF1155CC"/>
        <u/>
      </rPr>
      <t>27-14417-34037</t>
    </r>
  </si>
  <si>
    <t>DA97-21040A</t>
  </si>
  <si>
    <r>
      <rPr>
        <color rgb="FF1155CC"/>
        <u/>
      </rPr>
      <t>20-14427-26908</t>
    </r>
  </si>
  <si>
    <t>DA97-20156B</t>
  </si>
  <si>
    <t>CX Order 2. MP ship 1; ATL ship 1</t>
  </si>
  <si>
    <r>
      <rPr>
        <color rgb="FF1155CC"/>
        <u/>
      </rPr>
      <t>18-14433-34126</t>
    </r>
  </si>
  <si>
    <r>
      <rPr>
        <color rgb="FF1155CC"/>
        <u/>
      </rPr>
      <t>17-14394-54144</t>
    </r>
  </si>
  <si>
    <r>
      <rPr>
        <color rgb="FF1155CC"/>
        <u/>
      </rPr>
      <t>22-14432-47770</t>
    </r>
  </si>
  <si>
    <r>
      <rPr>
        <color rgb="FF1155CC"/>
        <u/>
      </rPr>
      <t>05-14457-58764</t>
    </r>
  </si>
  <si>
    <r>
      <rPr>
        <color rgb="FF1155CC"/>
        <u/>
      </rPr>
      <t>17-14439-07212</t>
    </r>
  </si>
  <si>
    <t>DA32-00029X</t>
  </si>
  <si>
    <r>
      <rPr>
        <color rgb="FF1155CC"/>
        <u/>
      </rPr>
      <t>24-14446-44283</t>
    </r>
  </si>
  <si>
    <r>
      <rPr>
        <color rgb="FF1155CC"/>
        <u/>
      </rPr>
      <t>20-14438-45433</t>
    </r>
  </si>
  <si>
    <r>
      <rPr>
        <color rgb="FF1155CC"/>
        <u/>
      </rPr>
      <t>12-14448-90599</t>
    </r>
  </si>
  <si>
    <t>DE92-03624B</t>
  </si>
  <si>
    <r>
      <rPr>
        <color rgb="FF1155CC"/>
        <u/>
      </rPr>
      <t>10-14387-72152</t>
    </r>
  </si>
  <si>
    <r>
      <rPr>
        <color rgb="FF1155CC"/>
        <u/>
      </rPr>
      <t>27-14433-57569</t>
    </r>
  </si>
  <si>
    <t>CX stated "Order placed by mistake"</t>
  </si>
  <si>
    <r>
      <rPr>
        <color rgb="FF1155CC"/>
        <u/>
      </rPr>
      <t>23-14436-87442</t>
    </r>
  </si>
  <si>
    <r>
      <rPr>
        <color rgb="FF1155CC"/>
        <u/>
      </rPr>
      <t>10-14387-72152</t>
    </r>
  </si>
  <si>
    <r>
      <rPr>
        <color rgb="FF1155CC"/>
        <u/>
      </rPr>
      <t>13-14461-80520</t>
    </r>
  </si>
  <si>
    <r>
      <rPr>
        <color rgb="FF1155CC"/>
        <u/>
      </rPr>
      <t>04-14479-08707</t>
    </r>
  </si>
  <si>
    <t>DC92-02388F</t>
  </si>
  <si>
    <r>
      <rPr>
        <color rgb="FF1155CC"/>
        <u/>
      </rPr>
      <t>26-14444-66437</t>
    </r>
  </si>
  <si>
    <r>
      <rPr>
        <color rgb="FF1155CC"/>
        <u/>
      </rPr>
      <t>12-14448-90599</t>
    </r>
  </si>
  <si>
    <r>
      <rPr>
        <color rgb="FF1155CC"/>
        <u/>
      </rPr>
      <t>03-14482-43510</t>
    </r>
  </si>
  <si>
    <r>
      <rPr>
        <color rgb="FF1155CC"/>
        <u/>
      </rPr>
      <t>09-14470-24713</t>
    </r>
  </si>
  <si>
    <r>
      <rPr>
        <color rgb="FF1155CC"/>
        <u/>
      </rPr>
      <t>05-14473-38155</t>
    </r>
  </si>
  <si>
    <r>
      <rPr>
        <color rgb="FF1155CC"/>
        <u/>
      </rPr>
      <t>03-14474-48345</t>
    </r>
  </si>
  <si>
    <r>
      <rPr>
        <color rgb="FF1155CC"/>
        <u/>
      </rPr>
      <t>11-14461-32574</t>
    </r>
  </si>
  <si>
    <r>
      <rPr>
        <color rgb="FF1155CC"/>
        <u/>
      </rPr>
      <t>20-14438-45433</t>
    </r>
  </si>
  <si>
    <t>14-14467-17246</t>
  </si>
  <si>
    <r>
      <rPr>
        <color rgb="FF1155CC"/>
        <u/>
      </rPr>
      <t>17-14466-05694</t>
    </r>
  </si>
  <si>
    <r>
      <rPr>
        <color rgb="FF1155CC"/>
        <u/>
      </rPr>
      <t>14-14470-27279</t>
    </r>
  </si>
  <si>
    <t>DA97-23546A</t>
  </si>
  <si>
    <r>
      <rPr>
        <color rgb="FF1155CC"/>
        <u/>
      </rPr>
      <t>27-14417-34037</t>
    </r>
  </si>
  <si>
    <t>CX stated "Arrived damaged"</t>
  </si>
  <si>
    <r>
      <rPr>
        <color rgb="FF1155CC"/>
        <u/>
      </rPr>
      <t>12-14474-64556</t>
    </r>
  </si>
  <si>
    <r>
      <rPr>
        <color rgb="FF1155CC"/>
        <u/>
      </rPr>
      <t>25-14458-27783</t>
    </r>
  </si>
  <si>
    <t>Shipped by NV</t>
  </si>
  <si>
    <r>
      <rPr>
        <color rgb="FF1155CC"/>
        <u/>
      </rPr>
      <t>26-14457-25240</t>
    </r>
  </si>
  <si>
    <r>
      <rPr>
        <color rgb="FF1155CC"/>
        <u/>
      </rPr>
      <t>12-14479-25900</t>
    </r>
  </si>
  <si>
    <r>
      <rPr>
        <color rgb="FF1155CC"/>
        <u/>
      </rPr>
      <t>25-14463-83786</t>
    </r>
  </si>
  <si>
    <t>WB18X32610</t>
  </si>
  <si>
    <r>
      <rPr>
        <color rgb="FF1155CC"/>
        <u/>
      </rPr>
      <t>13-14482-01106</t>
    </r>
  </si>
  <si>
    <t>WR85X39480</t>
  </si>
  <si>
    <r>
      <rPr>
        <color rgb="FF1155CC"/>
        <u/>
      </rPr>
      <t>09-14487-49074</t>
    </r>
  </si>
  <si>
    <t>DC97-21786A</t>
  </si>
  <si>
    <r>
      <rPr>
        <color rgb="FF1155CC"/>
        <u/>
      </rPr>
      <t>02-14440-97772</t>
    </r>
  </si>
  <si>
    <t xml:space="preserve">refunded </t>
  </si>
  <si>
    <r>
      <rPr>
        <color rgb="FF1155CC"/>
        <u/>
      </rPr>
      <t>17-14394-54144</t>
    </r>
  </si>
  <si>
    <t>08-14490-23414</t>
  </si>
  <si>
    <t>24-14484-63269</t>
  </si>
  <si>
    <t>21-14472-57502</t>
  </si>
  <si>
    <t>24-14484-63195</t>
  </si>
  <si>
    <r>
      <rPr>
        <color rgb="FF1155CC"/>
        <u/>
      </rPr>
      <t>02-14513-03768</t>
    </r>
  </si>
  <si>
    <t>DC64-02762A</t>
  </si>
  <si>
    <r>
      <rPr>
        <color rgb="FF1155CC"/>
        <u/>
      </rPr>
      <t>14-14492-55020</t>
    </r>
  </si>
  <si>
    <t>Part components broke off but added to TS</t>
  </si>
  <si>
    <r>
      <rPr>
        <color rgb="FF1155CC"/>
        <u/>
      </rPr>
      <t>16-14488-83992</t>
    </r>
  </si>
  <si>
    <t>DE34-00429B</t>
  </si>
  <si>
    <r>
      <rPr>
        <color rgb="FF1155CC"/>
        <u/>
      </rPr>
      <t>21-14481-70869</t>
    </r>
  </si>
  <si>
    <r>
      <rPr>
        <color rgb="FF1155CC"/>
        <u/>
      </rPr>
      <t>18-14478-04328</t>
    </r>
  </si>
  <si>
    <t>11-14501-48910</t>
  </si>
  <si>
    <t>06-14506-94545</t>
  </si>
  <si>
    <t>10-14500-22768</t>
  </si>
  <si>
    <r>
      <rPr>
        <color rgb="FF1155CC"/>
        <u/>
      </rPr>
      <t>17-14466-05694</t>
    </r>
  </si>
  <si>
    <t>CX stated "Doesn't work or defective"</t>
  </si>
  <si>
    <t>23-14486-25225</t>
  </si>
  <si>
    <t>24-14501-96629</t>
  </si>
  <si>
    <t>06-14515-54754</t>
  </si>
  <si>
    <t>02-14524-82534</t>
  </si>
  <si>
    <t>DA-92-01199R</t>
  </si>
  <si>
    <r>
      <rPr>
        <color rgb="FF1155CC"/>
        <u/>
      </rPr>
      <t>14-14507-39092</t>
    </r>
  </si>
  <si>
    <r>
      <rPr>
        <color rgb="FF1155CC"/>
        <u/>
      </rPr>
      <t>20-14496-41166</t>
    </r>
  </si>
  <si>
    <t>14-14502-64144</t>
  </si>
  <si>
    <t>DA94-04603G</t>
  </si>
  <si>
    <t>04-14518-03704</t>
  </si>
  <si>
    <t>01-14523-89370</t>
  </si>
  <si>
    <r>
      <rPr>
        <color rgb="FF1155CC"/>
        <u/>
      </rPr>
      <t>04-14526-13439</t>
    </r>
  </si>
  <si>
    <t>NF94R9151ATASH</t>
  </si>
  <si>
    <t xml:space="preserve">Out of stock. </t>
  </si>
  <si>
    <t>item could not be located, cx was refunded</t>
  </si>
  <si>
    <t>14-14507-39092</t>
  </si>
  <si>
    <t>06-14523-78580</t>
  </si>
  <si>
    <t>25-14494-00295</t>
  </si>
  <si>
    <t>21-14497-56629</t>
  </si>
  <si>
    <r>
      <rPr>
        <color rgb="FF1155CC"/>
        <u/>
      </rPr>
      <t>17-14516-60280</t>
    </r>
  </si>
  <si>
    <t>WB26X32629</t>
  </si>
  <si>
    <r>
      <rPr>
        <color rgb="FF1155CC"/>
        <u/>
      </rPr>
      <t>15-14514-60106</t>
    </r>
  </si>
  <si>
    <r>
      <rPr>
        <color rgb="FF1155CC"/>
        <u/>
      </rPr>
      <t>15-14518-51652</t>
    </r>
  </si>
  <si>
    <r>
      <rPr>
        <color rgb="FF1155CC"/>
        <u/>
      </rPr>
      <t>13-14347-50742</t>
    </r>
  </si>
  <si>
    <r>
      <rPr>
        <color rgb="FF1155CC"/>
        <u/>
      </rPr>
      <t>22-14513-19713</t>
    </r>
  </si>
  <si>
    <r>
      <rPr>
        <color rgb="FF1155CC"/>
        <u/>
      </rPr>
      <t>10-14530-74824</t>
    </r>
  </si>
  <si>
    <r>
      <rPr>
        <color rgb="FF1155CC"/>
        <u/>
      </rPr>
      <t>26-14503-85388</t>
    </r>
  </si>
  <si>
    <t>05-14531-13069</t>
  </si>
  <si>
    <t xml:space="preserve">item could not be located, cx was refunded </t>
  </si>
  <si>
    <t>15-14514-60106</t>
  </si>
  <si>
    <t>11-14516-88226</t>
  </si>
  <si>
    <t>05-14537-67288</t>
  </si>
  <si>
    <t>DA97-23545A</t>
  </si>
  <si>
    <t>07-14526-74040</t>
  </si>
  <si>
    <t>07-14534-10086</t>
  </si>
  <si>
    <t xml:space="preserve">COLUMBUS </t>
  </si>
  <si>
    <t>$61.52</t>
  </si>
  <si>
    <r>
      <rPr>
        <color rgb="FF1155CC"/>
        <u/>
      </rPr>
      <t>27-14511-91579</t>
    </r>
  </si>
  <si>
    <r>
      <rPr>
        <color rgb="FF1155CC"/>
        <u/>
      </rPr>
      <t>16-14528-13253</t>
    </r>
  </si>
  <si>
    <r>
      <rPr>
        <color rgb="FF1155CC"/>
        <u/>
      </rPr>
      <t>14-14534-68904</t>
    </r>
  </si>
  <si>
    <t>DC47-00027F</t>
  </si>
  <si>
    <r>
      <rPr>
        <color rgb="FF1155CC"/>
        <u/>
      </rPr>
      <t>14-14531-70050</t>
    </r>
  </si>
  <si>
    <t>DE64-02777A</t>
  </si>
  <si>
    <t xml:space="preserve">Part damaged. No branch has stock. </t>
  </si>
  <si>
    <t>10-14536-40162</t>
  </si>
  <si>
    <t>07-14541-10799</t>
  </si>
  <si>
    <t>16-14522-85769</t>
  </si>
  <si>
    <t>22-14512-91475</t>
  </si>
  <si>
    <t>20-14514-48811</t>
  </si>
  <si>
    <t>10-14540-65912</t>
  </si>
  <si>
    <t xml:space="preserve">WPW10300022 </t>
  </si>
  <si>
    <t>12-14549-33673</t>
  </si>
  <si>
    <t>10-14536-28814</t>
  </si>
  <si>
    <t>21-14518-83845</t>
  </si>
  <si>
    <t>27-14517-02915</t>
  </si>
  <si>
    <t>10-14544-32727</t>
  </si>
  <si>
    <r>
      <rPr>
        <color rgb="FF1155CC"/>
        <u/>
      </rPr>
      <t>01-14556-25710</t>
    </r>
  </si>
  <si>
    <t>DG94-03578Q</t>
  </si>
  <si>
    <t>Part was used. No stock all Branch</t>
  </si>
  <si>
    <t>15-14537-19275</t>
  </si>
  <si>
    <r>
      <rPr>
        <color rgb="FF1155CC"/>
        <u/>
      </rPr>
      <t>18-14533-93697</t>
    </r>
  </si>
  <si>
    <r>
      <rPr>
        <color rgb="FF1155CC"/>
        <u/>
      </rPr>
      <t>19-14531-80124</t>
    </r>
  </si>
  <si>
    <t>DA94-02679J</t>
  </si>
  <si>
    <r>
      <rPr>
        <color rgb="FF1155CC"/>
        <u/>
      </rPr>
      <t>14-14539-09052</t>
    </r>
  </si>
  <si>
    <t>DC97-2149X</t>
  </si>
  <si>
    <t>Out of stock in MP. MB Shipped</t>
  </si>
  <si>
    <r>
      <rPr>
        <color rgb="FF1155CC"/>
        <u/>
      </rPr>
      <t>16-14536-04291</t>
    </r>
  </si>
  <si>
    <r>
      <rPr>
        <color rgb="FF1155CC"/>
        <u/>
      </rPr>
      <t>21-14527-11915</t>
    </r>
  </si>
  <si>
    <r>
      <rPr>
        <color rgb="FF1155CC"/>
        <u/>
      </rPr>
      <t>18-14537-44577</t>
    </r>
  </si>
  <si>
    <t>16-14537-82382</t>
  </si>
  <si>
    <t>19-14535-08248</t>
  </si>
  <si>
    <r>
      <rPr>
        <color rgb="FF1155CC"/>
        <u/>
      </rPr>
      <t>02-14564-51686</t>
    </r>
  </si>
  <si>
    <r>
      <rPr>
        <color rgb="FF1155CC"/>
        <u/>
      </rPr>
      <t>22-14542-49830</t>
    </r>
  </si>
  <si>
    <t>DC92-01802Q</t>
  </si>
  <si>
    <r>
      <rPr>
        <color rgb="FF1155CC"/>
        <u/>
      </rPr>
      <t>26-14532-29999</t>
    </r>
  </si>
  <si>
    <t>DD32-00004A</t>
  </si>
  <si>
    <r>
      <rPr>
        <color rgb="FF1155CC"/>
        <u/>
      </rPr>
      <t>15-14547-26431</t>
    </r>
  </si>
  <si>
    <t>WR14X36194</t>
  </si>
  <si>
    <r>
      <rPr>
        <color rgb="FF1155CC"/>
        <u/>
      </rPr>
      <t>27-14526-56928</t>
    </r>
  </si>
  <si>
    <t>DD97-00572D</t>
  </si>
  <si>
    <r>
      <rPr>
        <color rgb="FF1155CC"/>
        <u/>
      </rPr>
      <t>20-14496-41166</t>
    </r>
  </si>
  <si>
    <t>CX stated "Wrong item sent"</t>
  </si>
  <si>
    <r>
      <rPr>
        <color rgb="FF1155CC"/>
        <u/>
      </rPr>
      <t>20-14427-26908</t>
    </r>
  </si>
  <si>
    <t>CX Order 2. MP ship 1; ATL ship 1 CX Stated "Delayed order delivery." Ebay issued refund</t>
  </si>
  <si>
    <t xml:space="preserve">Partial REFUND $35 for item not being as described </t>
  </si>
  <si>
    <t>09-14562-44601</t>
  </si>
  <si>
    <t>WE03X39037</t>
  </si>
  <si>
    <t>25-14529-16198</t>
  </si>
  <si>
    <t>25-14538-88594</t>
  </si>
  <si>
    <t>23-14531-00449</t>
  </si>
  <si>
    <r>
      <rPr>
        <color rgb="FF1155CC"/>
        <u/>
      </rPr>
      <t>22-14546-77340</t>
    </r>
  </si>
  <si>
    <r>
      <rPr>
        <color rgb="FF1155CC"/>
        <u/>
      </rPr>
      <t>05-14571-06498</t>
    </r>
  </si>
  <si>
    <r>
      <rPr>
        <color rgb="FF1155CC"/>
        <u/>
      </rPr>
      <t>27-14511-91579</t>
    </r>
  </si>
  <si>
    <t>12-14559-98485</t>
  </si>
  <si>
    <t>25-14542-22005</t>
  </si>
  <si>
    <t>TCA36811432</t>
  </si>
  <si>
    <t>08-14568-53001</t>
  </si>
  <si>
    <r>
      <rPr>
        <color rgb="FF1155CC"/>
        <u/>
      </rPr>
      <t>24-14562-72425</t>
    </r>
  </si>
  <si>
    <t>WR55X30124</t>
  </si>
  <si>
    <t>15-14562-61991</t>
  </si>
  <si>
    <t>07-14576-32617</t>
  </si>
  <si>
    <t>DA92-01199K</t>
  </si>
  <si>
    <t>05-14582-98538</t>
  </si>
  <si>
    <t>WP8566184</t>
  </si>
  <si>
    <t>23-14555-92299</t>
  </si>
  <si>
    <t>26-14547-92917</t>
  </si>
  <si>
    <r>
      <rPr>
        <color rgb="FF1155CC"/>
        <u/>
      </rPr>
      <t>09-14580-83013</t>
    </r>
  </si>
  <si>
    <t>15-14569-15527</t>
  </si>
  <si>
    <t>15-14568-20478</t>
  </si>
  <si>
    <t>24-14568-87256</t>
  </si>
  <si>
    <r>
      <rPr>
        <color rgb="FF1155CC"/>
        <u/>
      </rPr>
      <t>17-14566-55440</t>
    </r>
  </si>
  <si>
    <t>14-14571-85551</t>
  </si>
  <si>
    <t>06-14583-96482</t>
  </si>
  <si>
    <r>
      <rPr>
        <color rgb="FF1155CC"/>
        <u/>
      </rPr>
      <t>10-14578-99050</t>
    </r>
  </si>
  <si>
    <r>
      <rPr>
        <rFont val="Roboto"/>
        <color rgb="FF1155CC"/>
        <sz val="10.0"/>
        <u/>
      </rPr>
      <t>18-14571-66772</t>
    </r>
  </si>
  <si>
    <r>
      <rPr>
        <color rgb="FF1155CC"/>
        <u/>
      </rPr>
      <t>25-14557-78352</t>
    </r>
  </si>
  <si>
    <r>
      <rPr>
        <color rgb="FF1155CC"/>
        <u/>
      </rPr>
      <t>02-14595-26815</t>
    </r>
  </si>
  <si>
    <t>WR29X24766</t>
  </si>
  <si>
    <r>
      <rPr>
        <color rgb="FF1155CC"/>
        <u/>
      </rPr>
      <t>19-14570-82590</t>
    </r>
  </si>
  <si>
    <r>
      <rPr>
        <color rgb="FF1155CC"/>
        <u/>
      </rPr>
      <t>18-14571-97040</t>
    </r>
  </si>
  <si>
    <t>DG94-03672A</t>
  </si>
  <si>
    <r>
      <rPr>
        <color rgb="FF1155CC"/>
        <u/>
      </rPr>
      <t>15-14583-83070</t>
    </r>
  </si>
  <si>
    <r>
      <rPr>
        <color rgb="FF1155CC"/>
        <u/>
      </rPr>
      <t>26-14563-87760</t>
    </r>
  </si>
  <si>
    <t>DA62-0104A</t>
  </si>
  <si>
    <r>
      <rPr>
        <color rgb="FF1155CC"/>
        <u/>
      </rPr>
      <t>19-14577-94204</t>
    </r>
  </si>
  <si>
    <t>DC97-19313R</t>
  </si>
  <si>
    <r>
      <rPr>
        <color rgb="FF1155CC"/>
        <u/>
      </rPr>
      <t>01-14605-91296</t>
    </r>
  </si>
  <si>
    <t>DG94-04105A</t>
  </si>
  <si>
    <r>
      <rPr>
        <color rgb="FF1155CC"/>
        <u/>
      </rPr>
      <t>07-14594-10528</t>
    </r>
  </si>
  <si>
    <r>
      <rPr>
        <color rgb="FF1155CC"/>
        <u/>
      </rPr>
      <t>27-14511-91579</t>
    </r>
  </si>
  <si>
    <t>Refunded</t>
  </si>
  <si>
    <t>CX State "Doesn't work or defective"</t>
  </si>
  <si>
    <r>
      <rPr>
        <color rgb="FF1155CC"/>
        <u/>
      </rPr>
      <t>13-14587-68351</t>
    </r>
  </si>
  <si>
    <r>
      <rPr>
        <color rgb="FF1155CC"/>
        <u/>
      </rPr>
      <t>21-14566-24927</t>
    </r>
  </si>
  <si>
    <r>
      <rPr>
        <color rgb="FF1155CC"/>
        <u/>
      </rPr>
      <t>26-14562-78903</t>
    </r>
  </si>
  <si>
    <r>
      <rPr>
        <color rgb="FF1155CC"/>
        <u/>
      </rPr>
      <t>06-14598-19589</t>
    </r>
  </si>
  <si>
    <r>
      <rPr>
        <color rgb="FF1155CC"/>
        <u/>
      </rPr>
      <t>25-14538-88594</t>
    </r>
  </si>
  <si>
    <t>CX State "Arrived damaged"</t>
  </si>
  <si>
    <r>
      <rPr>
        <color rgb="FF1155CC"/>
        <u/>
      </rPr>
      <t>12-14590-91349</t>
    </r>
  </si>
  <si>
    <r>
      <rPr>
        <color rgb="FF1155CC"/>
        <u/>
      </rPr>
      <t>26-14569-38120</t>
    </r>
  </si>
  <si>
    <t>WD26X10053</t>
  </si>
  <si>
    <r>
      <rPr>
        <color rgb="FF1155CC"/>
        <u/>
      </rPr>
      <t>25-14571-55754</t>
    </r>
  </si>
  <si>
    <r>
      <rPr>
        <color rgb="FF1155CC"/>
        <u/>
      </rPr>
      <t>15-14586-18137</t>
    </r>
  </si>
  <si>
    <t>DA59-00294B</t>
  </si>
  <si>
    <r>
      <rPr>
        <color rgb="FF1155CC"/>
        <u/>
      </rPr>
      <t>12-14590-74233</t>
    </r>
  </si>
  <si>
    <t>DA97-12664A</t>
  </si>
  <si>
    <t>CX Stated "Order placed by mistake."</t>
  </si>
  <si>
    <r>
      <rPr>
        <color rgb="FF1155CC"/>
        <u/>
      </rPr>
      <t>21-14497-56629</t>
    </r>
  </si>
  <si>
    <t>CX Stated "Doesn't work or defective."</t>
  </si>
  <si>
    <r>
      <rPr>
        <color rgb="FF1155CC"/>
        <u/>
      </rPr>
      <t>15-14589-58988</t>
    </r>
  </si>
  <si>
    <r>
      <rPr>
        <color rgb="FF1155CC"/>
        <u/>
      </rPr>
      <t>15-14589-02083</t>
    </r>
  </si>
  <si>
    <r>
      <rPr>
        <color rgb="FF1155CC"/>
        <u/>
      </rPr>
      <t>06-14601-77896</t>
    </r>
  </si>
  <si>
    <r>
      <rPr>
        <color rgb="FF1155CC"/>
        <u/>
      </rPr>
      <t>02-14609-21256</t>
    </r>
  </si>
  <si>
    <r>
      <rPr>
        <color rgb="FF1155CC"/>
        <u/>
      </rPr>
      <t>09-14603-01696</t>
    </r>
  </si>
  <si>
    <r>
      <rPr>
        <color rgb="FF1155CC"/>
        <u/>
      </rPr>
      <t>06-14605-33382</t>
    </r>
  </si>
  <si>
    <r>
      <rPr>
        <color rgb="FF1155CC"/>
        <u/>
      </rPr>
      <t>08-14600-79854</t>
    </r>
  </si>
  <si>
    <r>
      <rPr>
        <color rgb="FF1155CC"/>
        <u/>
      </rPr>
      <t>06-14608-24174</t>
    </r>
  </si>
  <si>
    <r>
      <rPr>
        <color rgb="FF1155CC"/>
        <u/>
      </rPr>
      <t>20-14586-95776</t>
    </r>
  </si>
  <si>
    <r>
      <rPr>
        <color rgb="FF1155CC"/>
        <u/>
      </rPr>
      <t>23-14584-57784</t>
    </r>
  </si>
  <si>
    <r>
      <rPr>
        <color rgb="FF1155CC"/>
        <u/>
      </rPr>
      <t>07-14608-92034</t>
    </r>
  </si>
  <si>
    <r>
      <rPr>
        <color rgb="FF1155CC"/>
        <u/>
      </rPr>
      <t>17-14594-60258</t>
    </r>
  </si>
  <si>
    <t>AEQ72909604</t>
  </si>
  <si>
    <r>
      <rPr>
        <color rgb="FF1155CC"/>
        <u/>
      </rPr>
      <t>18-14592-24629</t>
    </r>
  </si>
  <si>
    <t>DC97-15459D</t>
  </si>
  <si>
    <r>
      <rPr>
        <color rgb="FF1155CC"/>
        <u/>
      </rPr>
      <t>12-14600-79197</t>
    </r>
  </si>
  <si>
    <r>
      <rPr>
        <color rgb="FF1155CC"/>
        <u/>
      </rPr>
      <t>11-14601-86379</t>
    </r>
  </si>
  <si>
    <r>
      <rPr>
        <color rgb="FF1155CC"/>
        <u/>
      </rPr>
      <t>05-14611-52622</t>
    </r>
  </si>
  <si>
    <r>
      <rPr>
        <color rgb="FF1155CC"/>
        <u/>
      </rPr>
      <t>20-14514-48811</t>
    </r>
  </si>
  <si>
    <t>WR55X35485</t>
  </si>
  <si>
    <t xml:space="preserve">CX ORDERED BY MISTAKE </t>
  </si>
  <si>
    <r>
      <rPr>
        <color rgb="FF1155CC"/>
        <u/>
      </rPr>
      <t>13-14604-62023</t>
    </r>
  </si>
  <si>
    <r>
      <rPr>
        <color rgb="FF1155CC"/>
        <u/>
      </rPr>
      <t>05-14615-97206</t>
    </r>
  </si>
  <si>
    <r>
      <rPr>
        <color rgb="FF1155CC"/>
        <u/>
      </rPr>
      <t>17-14597-99383</t>
    </r>
  </si>
  <si>
    <r>
      <rPr>
        <color rgb="FF1155CC"/>
        <u/>
      </rPr>
      <t>19-14593-18920</t>
    </r>
  </si>
  <si>
    <r>
      <rPr>
        <color rgb="FF1155CC"/>
        <u/>
      </rPr>
      <t>14-14603-77183</t>
    </r>
  </si>
  <si>
    <t>DC92-02394W</t>
  </si>
  <si>
    <r>
      <rPr>
        <color rgb="FF1155CC"/>
        <u/>
      </rPr>
      <t>22-14589-81084</t>
    </r>
  </si>
  <si>
    <t>Used part. Out of stock all branches</t>
  </si>
  <si>
    <r>
      <rPr>
        <color rgb="FF1155CC"/>
        <u/>
      </rPr>
      <t>22-14591-58687</t>
    </r>
  </si>
  <si>
    <r>
      <rPr>
        <color rgb="FF1155CC"/>
        <u/>
      </rPr>
      <t>03-14622-25218</t>
    </r>
  </si>
  <si>
    <t>WD21X34838</t>
  </si>
  <si>
    <r>
      <rPr>
        <color rgb="FF1155CC"/>
        <u/>
      </rPr>
      <t>06-14623-11130</t>
    </r>
  </si>
  <si>
    <t>WR30X352870</t>
  </si>
  <si>
    <r>
      <rPr>
        <rFont val="&quot;Market Sans&quot;, &quot;Helvetica Neue&quot;, Helvetica, Arial, Roboto, sans-serif"/>
        <color rgb="FF1155CC"/>
        <sz val="9.0"/>
        <u/>
      </rPr>
      <t>07-14619-90684</t>
    </r>
  </si>
  <si>
    <r>
      <rPr>
        <color rgb="FF1155CC"/>
        <u/>
      </rPr>
      <t>01-14630-55389</t>
    </r>
  </si>
  <si>
    <t>SANANNAH</t>
  </si>
  <si>
    <r>
      <rPr>
        <color rgb="FF1155CC"/>
        <u/>
      </rPr>
      <t>26-14596-77740</t>
    </r>
  </si>
  <si>
    <r>
      <rPr>
        <color rgb="FF1155CC"/>
        <u/>
      </rPr>
      <t>21-14602-79575</t>
    </r>
  </si>
  <si>
    <t>DG94-03574B</t>
  </si>
  <si>
    <t>C.X Has not confirmed delivery address</t>
  </si>
  <si>
    <r>
      <rPr>
        <color rgb="FF1155CC"/>
        <u/>
      </rPr>
      <t>24-14607-38517</t>
    </r>
  </si>
  <si>
    <r>
      <rPr>
        <rFont val="&quot;Market Sans&quot;, &quot;Helvetica Neue&quot;, Helvetica, Arial, Roboto, sans-serif"/>
        <color rgb="FF1155CC"/>
        <sz val="9.0"/>
        <u/>
      </rPr>
      <t>27-14597-01551</t>
    </r>
  </si>
  <si>
    <r>
      <rPr>
        <color rgb="FF1155CC"/>
        <u/>
      </rPr>
      <t>24-14617-23199</t>
    </r>
  </si>
  <si>
    <r>
      <rPr>
        <color rgb="FF1155CC"/>
        <u/>
      </rPr>
      <t>25-14529-16198</t>
    </r>
  </si>
  <si>
    <t>USPS failed to deliver in time. Will be returned by them.</t>
  </si>
  <si>
    <r>
      <rPr>
        <color rgb="FF1155CC"/>
        <u/>
      </rPr>
      <t>11-14622-45899</t>
    </r>
  </si>
  <si>
    <r>
      <rPr>
        <color rgb="FF1155CC"/>
        <u/>
      </rPr>
      <t>14-14571-85551</t>
    </r>
  </si>
  <si>
    <t xml:space="preserve">CX claims defective </t>
  </si>
  <si>
    <r>
      <rPr>
        <color rgb="FF1155CC"/>
        <u/>
      </rPr>
      <t>19-14609-14559</t>
    </r>
  </si>
  <si>
    <r>
      <rPr>
        <color rgb="FF1155CC"/>
        <u/>
      </rPr>
      <t>14-14616-72700</t>
    </r>
  </si>
  <si>
    <r>
      <rPr>
        <color rgb="FF1155CC"/>
        <u/>
      </rPr>
      <t>13-14606-77868</t>
    </r>
  </si>
  <si>
    <r>
      <rPr>
        <color rgb="FF1155CC"/>
        <u/>
      </rPr>
      <t>12-14619-50844</t>
    </r>
  </si>
  <si>
    <r>
      <rPr>
        <color rgb="FF1155CC"/>
        <u/>
      </rPr>
      <t>12-14612-39952</t>
    </r>
  </si>
  <si>
    <r>
      <rPr>
        <color rgb="FF1155CC"/>
        <u/>
      </rPr>
      <t>14-14618-74195</t>
    </r>
  </si>
  <si>
    <r>
      <rPr>
        <color rgb="FF1155CC"/>
        <u/>
      </rPr>
      <t>24-14617-80810</t>
    </r>
  </si>
  <si>
    <r>
      <rPr>
        <color rgb="FF1155CC"/>
        <u/>
      </rPr>
      <t>05-14632-43770</t>
    </r>
  </si>
  <si>
    <r>
      <rPr>
        <color rgb="FF1155CC"/>
        <u/>
      </rPr>
      <t>24-14618-65234</t>
    </r>
  </si>
  <si>
    <r>
      <rPr>
        <color rgb="FF1155CC"/>
        <u/>
      </rPr>
      <t>13-14625-37065</t>
    </r>
  </si>
  <si>
    <r>
      <rPr>
        <color rgb="FF1155CC"/>
        <u/>
      </rPr>
      <t>17-14619-04479</t>
    </r>
  </si>
  <si>
    <r>
      <rPr>
        <color rgb="FF1155CC"/>
        <u/>
      </rPr>
      <t>23-14486-25225</t>
    </r>
  </si>
  <si>
    <t>ARRIVED DAMAGED</t>
  </si>
  <si>
    <r>
      <rPr>
        <color rgb="FF1155CC"/>
        <u/>
      </rPr>
      <t>14-14626-40983</t>
    </r>
  </si>
  <si>
    <t xml:space="preserve">JACKSONVILLE </t>
  </si>
  <si>
    <r>
      <rPr>
        <color rgb="FF1155CC"/>
        <u/>
      </rPr>
      <t>01-14647-20844</t>
    </r>
  </si>
  <si>
    <t>WE03X25314</t>
  </si>
  <si>
    <r>
      <rPr>
        <color rgb="FF1155CC"/>
        <u/>
      </rPr>
      <t>12-14630-16168</t>
    </r>
  </si>
  <si>
    <r>
      <rPr>
        <color rgb="FF1155CC"/>
        <u/>
      </rPr>
      <t>25-14611-53714</t>
    </r>
  </si>
  <si>
    <r>
      <rPr>
        <color rgb="FF1155CC"/>
        <u/>
      </rPr>
      <t>11-14635-97918</t>
    </r>
  </si>
  <si>
    <r>
      <rPr>
        <color rgb="FF1155CC"/>
        <u/>
      </rPr>
      <t>12-14634-75162</t>
    </r>
  </si>
  <si>
    <r>
      <rPr>
        <color rgb="FF1155CC"/>
        <u/>
      </rPr>
      <t>03-14648-26115</t>
    </r>
  </si>
  <si>
    <t>DE07-00134A</t>
  </si>
  <si>
    <r>
      <rPr>
        <color rgb="FF1155CC"/>
        <u/>
      </rPr>
      <t>09-14636-81964</t>
    </r>
  </si>
  <si>
    <r>
      <rPr>
        <color rgb="FF1155CC"/>
        <u/>
      </rPr>
      <t>01-14648-38792</t>
    </r>
  </si>
  <si>
    <r>
      <rPr>
        <color rgb="FF1155CC"/>
        <u/>
      </rPr>
      <t>07-14642-45748</t>
    </r>
  </si>
  <si>
    <r>
      <rPr>
        <color rgb="FF1155CC"/>
        <u/>
      </rPr>
      <t>27-14613-26162</t>
    </r>
  </si>
  <si>
    <t>DA82-02874A</t>
  </si>
  <si>
    <r>
      <rPr>
        <color rgb="FF1155CC"/>
        <u/>
      </rPr>
      <t>05-14646-74905</t>
    </r>
  </si>
  <si>
    <t>EAU63923602</t>
  </si>
  <si>
    <r>
      <rPr>
        <color rgb="FF1155CC"/>
        <u/>
      </rPr>
      <t>01-14652-99189</t>
    </r>
  </si>
  <si>
    <r>
      <rPr>
        <color rgb="FF1155CC"/>
        <u/>
      </rPr>
      <t>02-14654-34123</t>
    </r>
  </si>
  <si>
    <r>
      <rPr>
        <color rgb="FF1155CC"/>
        <u/>
      </rPr>
      <t>01-14657-35819</t>
    </r>
  </si>
  <si>
    <r>
      <rPr>
        <color rgb="FF1155CC"/>
        <u/>
      </rPr>
      <t>08-14654-47335</t>
    </r>
  </si>
  <si>
    <t>WR09X44278</t>
  </si>
  <si>
    <r>
      <rPr>
        <color rgb="FF1155CC"/>
        <u/>
      </rPr>
      <t>05-14654-24581</t>
    </r>
  </si>
  <si>
    <r>
      <rPr>
        <color rgb="FF1155CC"/>
        <u/>
      </rPr>
      <t>17-14631-98968</t>
    </r>
  </si>
  <si>
    <r>
      <rPr>
        <color rgb="FF1155CC"/>
        <u/>
      </rPr>
      <t>06-14659-71265</t>
    </r>
  </si>
  <si>
    <r>
      <rPr>
        <color rgb="FF1155CC"/>
        <u/>
      </rPr>
      <t>02-14660-59379</t>
    </r>
  </si>
  <si>
    <r>
      <rPr>
        <color rgb="FF1155CC"/>
        <u/>
      </rPr>
      <t>05-14654-13676</t>
    </r>
  </si>
  <si>
    <r>
      <rPr>
        <color rgb="FF1155CC"/>
        <u/>
      </rPr>
      <t>01-14660-12131</t>
    </r>
  </si>
  <si>
    <t>DA82-03292X</t>
  </si>
  <si>
    <r>
      <rPr>
        <color rgb="FF1155CC"/>
        <u/>
      </rPr>
      <t>20-14629-17141</t>
    </r>
  </si>
  <si>
    <t>DG94-01650A</t>
  </si>
  <si>
    <r>
      <rPr>
        <color rgb="FF1155CC"/>
        <u/>
      </rPr>
      <t>03-14622-25218</t>
    </r>
  </si>
  <si>
    <t>CX Stated "Just didn't like it"</t>
  </si>
  <si>
    <r>
      <rPr>
        <color rgb="FF1155CC"/>
        <u/>
      </rPr>
      <t>08-14656-35349</t>
    </r>
  </si>
  <si>
    <t>Part was used.</t>
  </si>
  <si>
    <r>
      <rPr>
        <color rgb="FF1155CC"/>
        <u/>
      </rPr>
      <t>11-14645-62310</t>
    </r>
  </si>
  <si>
    <r>
      <rPr>
        <color rgb="FF1155CC"/>
        <u/>
      </rPr>
      <t>12-14643-46201</t>
    </r>
  </si>
  <si>
    <r>
      <rPr>
        <color rgb="FF1155CC"/>
        <u/>
      </rPr>
      <t>17-14635-12767</t>
    </r>
  </si>
  <si>
    <r>
      <rPr>
        <color rgb="FF1155CC"/>
        <u/>
      </rPr>
      <t>18-14634-15967</t>
    </r>
  </si>
  <si>
    <r>
      <rPr>
        <rFont val="&quot;Market Sans&quot;, &quot;Helvetica Neue&quot;, Helvetica, Arial, Roboto, sans-serif"/>
        <color rgb="FF1155CC"/>
        <sz val="11.0"/>
        <u/>
      </rPr>
      <t>17-14646-46418</t>
    </r>
    <r>
      <rPr>
        <rFont val="&quot;Market Sans&quot;, &quot;Helvetica Neue&quot;, Helvetica, Arial, Roboto, sans-serif"/>
        <sz val="11.0"/>
      </rPr>
      <t>View order details</t>
    </r>
  </si>
  <si>
    <t xml:space="preserve">JACKSON TN </t>
  </si>
  <si>
    <r>
      <rPr>
        <rFont val="&quot;Market Sans&quot;, &quot;Helvetica Neue&quot;, Helvetica, Arial, Roboto, sans-serif"/>
        <color rgb="FF1155CC"/>
        <sz val="11.0"/>
        <u/>
      </rPr>
      <t>14-14649-80222</t>
    </r>
    <r>
      <rPr>
        <rFont val="&quot;Market Sans&quot;, &quot;Helvetica Neue&quot;, Helvetica, Arial, Roboto, sans-serif"/>
        <sz val="11.0"/>
      </rPr>
      <t>View order details</t>
    </r>
  </si>
  <si>
    <t>wh16x27251</t>
  </si>
  <si>
    <r>
      <rPr>
        <color rgb="FF1155CC"/>
        <u/>
      </rPr>
      <t>25-14635-56626</t>
    </r>
  </si>
  <si>
    <t>WD26X10013</t>
  </si>
  <si>
    <r>
      <rPr>
        <color rgb="FF1155CC"/>
        <u/>
      </rPr>
      <t>08-14657-21342</t>
    </r>
  </si>
  <si>
    <r>
      <rPr>
        <color rgb="FF1155CC"/>
        <u/>
      </rPr>
      <t>20-14640-79042</t>
    </r>
  </si>
  <si>
    <r>
      <rPr>
        <color rgb="FF1155CC"/>
        <u/>
      </rPr>
      <t>17-14645-77541</t>
    </r>
  </si>
  <si>
    <r>
      <rPr>
        <color rgb="FF1155CC"/>
        <u/>
      </rPr>
      <t>10-14656-45054</t>
    </r>
  </si>
  <si>
    <r>
      <rPr>
        <color rgb="FF1155CC"/>
        <u/>
      </rPr>
      <t>01-14670-45756</t>
    </r>
  </si>
  <si>
    <r>
      <rPr>
        <color rgb="FF1155CC"/>
        <u/>
      </rPr>
      <t>25-14631-62450</t>
    </r>
  </si>
  <si>
    <t>02-14675-10563</t>
  </si>
  <si>
    <t>WE11M10001</t>
  </si>
  <si>
    <r>
      <rPr>
        <color rgb="FF1155CC"/>
        <u/>
      </rPr>
      <t>14-14653-50781</t>
    </r>
  </si>
  <si>
    <r>
      <rPr>
        <color rgb="FF1155CC"/>
        <u/>
      </rPr>
      <t>09-14663-59277</t>
    </r>
  </si>
  <si>
    <r>
      <rPr>
        <color rgb="FF1155CC"/>
        <u/>
      </rPr>
      <t>25-14635-93853</t>
    </r>
  </si>
  <si>
    <r>
      <rPr>
        <color rgb="FF1155CC"/>
        <u/>
      </rPr>
      <t>03-14671-98730</t>
    </r>
  </si>
  <si>
    <r>
      <rPr>
        <color rgb="FF1155CC"/>
        <u/>
      </rPr>
      <t>05-14615-97206</t>
    </r>
  </si>
  <si>
    <t xml:space="preserve">CX did not think they received correct item but it was right. </t>
  </si>
  <si>
    <r>
      <rPr>
        <color rgb="FF1155CC"/>
        <u/>
      </rPr>
      <t>20-14647-39887</t>
    </r>
  </si>
  <si>
    <r>
      <rPr>
        <color rgb="FF1155CC"/>
        <u/>
      </rPr>
      <t>11-14661-05946</t>
    </r>
  </si>
  <si>
    <r>
      <rPr>
        <color rgb="FF1155CC"/>
        <u/>
      </rPr>
      <t>24-14655-72085</t>
    </r>
  </si>
  <si>
    <r>
      <rPr>
        <color rgb="FF1155CC"/>
        <u/>
      </rPr>
      <t>22-14642-25721</t>
    </r>
  </si>
  <si>
    <r>
      <rPr>
        <color rgb="FF1155CC"/>
        <u/>
      </rPr>
      <t>02-14673-18170</t>
    </r>
  </si>
  <si>
    <t>WB30X47329</t>
  </si>
  <si>
    <r>
      <rPr>
        <color rgb="FF1155CC"/>
        <u/>
      </rPr>
      <t>04-14673-27894</t>
    </r>
  </si>
  <si>
    <t>DC93-00466C</t>
  </si>
  <si>
    <r>
      <rPr>
        <color rgb="FF1155CC"/>
        <u/>
      </rPr>
      <t>04-14673-29820</t>
    </r>
  </si>
  <si>
    <t>DC97-20041A</t>
  </si>
  <si>
    <r>
      <rPr>
        <color rgb="FF1155CC"/>
        <u/>
      </rPr>
      <t>20-14648-82032</t>
    </r>
  </si>
  <si>
    <t xml:space="preserve">ATL COULD NOT LOCATE, NO OTHER BRANCHES HAD IN STOCK </t>
  </si>
  <si>
    <r>
      <rPr>
        <color rgb="FF1155CC"/>
        <u/>
      </rPr>
      <t>20-14650-99856</t>
    </r>
  </si>
  <si>
    <r>
      <rPr>
        <color rgb="FF1155CC"/>
        <u/>
      </rPr>
      <t>21-14649-73475</t>
    </r>
  </si>
  <si>
    <r>
      <rPr>
        <color rgb="FF1155CC"/>
        <u/>
      </rPr>
      <t>14-14661-16369</t>
    </r>
  </si>
  <si>
    <r>
      <rPr>
        <color rgb="FF1155CC"/>
        <u/>
      </rPr>
      <t>02-14680-44820</t>
    </r>
  </si>
  <si>
    <r>
      <rPr>
        <color rgb="FF1155CC"/>
        <u/>
      </rPr>
      <t>06-14674-61165</t>
    </r>
  </si>
  <si>
    <r>
      <rPr>
        <color rgb="FF1155CC"/>
        <u/>
      </rPr>
      <t>01-14683-06588</t>
    </r>
  </si>
  <si>
    <r>
      <rPr>
        <color rgb="FF1155CC"/>
        <u/>
      </rPr>
      <t>11-14668-25048</t>
    </r>
  </si>
  <si>
    <t>WR55X45225</t>
  </si>
  <si>
    <r>
      <rPr>
        <rFont val="&quot;Market Sans&quot;, &quot;Helvetica Neue&quot;, Helvetica, Arial, Roboto, sans-serif"/>
        <color rgb="FF1155CC"/>
        <sz val="9.0"/>
        <u/>
      </rPr>
      <t>24-14663-47250</t>
    </r>
  </si>
  <si>
    <r>
      <rPr>
        <color rgb="FF1155CC"/>
        <u/>
      </rPr>
      <t>12-14665-29445</t>
    </r>
  </si>
  <si>
    <r>
      <rPr>
        <color rgb="FF1155CC"/>
        <u/>
      </rPr>
      <t>03-14680-03802</t>
    </r>
  </si>
  <si>
    <r>
      <rPr>
        <color rgb="FF1155CC"/>
        <u/>
      </rPr>
      <t>04-14678-15625</t>
    </r>
  </si>
  <si>
    <r>
      <rPr>
        <color rgb="FF1155CC"/>
        <u/>
      </rPr>
      <t>13-14666-81599</t>
    </r>
  </si>
  <si>
    <r>
      <rPr>
        <color rgb="FF1155CC"/>
        <u/>
      </rPr>
      <t>05-14582-98538</t>
    </r>
  </si>
  <si>
    <t>BUYER CHANGED THEIR MIND.</t>
  </si>
  <si>
    <r>
      <rPr>
        <color rgb="FF1155CC"/>
        <u/>
      </rPr>
      <t>11-14601-86379</t>
    </r>
  </si>
  <si>
    <t>PART WAS USED.</t>
  </si>
  <si>
    <r>
      <rPr>
        <color rgb="FF1155CC"/>
        <u/>
      </rPr>
      <t>09-14672-47878</t>
    </r>
  </si>
  <si>
    <t>WB28X28781</t>
  </si>
  <si>
    <t>17-14665-65163</t>
  </si>
  <si>
    <t>18-14672-89923</t>
  </si>
  <si>
    <r>
      <rPr>
        <color rgb="FF1155CC"/>
        <u/>
      </rPr>
      <t>17-14661-91767</t>
    </r>
  </si>
  <si>
    <r>
      <rPr>
        <color rgb="FF1155CC"/>
        <u/>
      </rPr>
      <t>24-14679-60159</t>
    </r>
  </si>
  <si>
    <r>
      <rPr>
        <color rgb="FF1155CC"/>
        <u/>
      </rPr>
      <t>06-14689-46758</t>
    </r>
  </si>
  <si>
    <r>
      <rPr>
        <color rgb="FF1155CC"/>
        <u/>
      </rPr>
      <t>14-14671-52180</t>
    </r>
  </si>
  <si>
    <r>
      <rPr>
        <color rgb="FF1155CC"/>
        <u/>
      </rPr>
      <t>16-14662-11951</t>
    </r>
  </si>
  <si>
    <r>
      <rPr>
        <color rgb="FF1155CC"/>
        <u/>
      </rPr>
      <t>20-14656-35009</t>
    </r>
  </si>
  <si>
    <t>WD21X24901</t>
  </si>
  <si>
    <r>
      <rPr>
        <color rgb="FF1155CC"/>
        <u/>
      </rPr>
      <t>18-14674-65307</t>
    </r>
  </si>
  <si>
    <t>No stock all Branches</t>
  </si>
  <si>
    <r>
      <rPr>
        <color rgb="FF1155CC"/>
        <u/>
      </rPr>
      <t>22-14658-46555</t>
    </r>
  </si>
  <si>
    <t>DA97-17068Z</t>
  </si>
  <si>
    <t>Part physically appears used with stains. No Stock all branches</t>
  </si>
  <si>
    <r>
      <rPr>
        <color rgb="FF1155CC"/>
        <u/>
      </rPr>
      <t>27-14650-69974</t>
    </r>
  </si>
  <si>
    <t>BN44-01052B</t>
  </si>
  <si>
    <r>
      <rPr>
        <color rgb="FF1155CC"/>
        <u/>
      </rPr>
      <t>07-14695-20193</t>
    </r>
  </si>
  <si>
    <r>
      <rPr>
        <color rgb="FF1155CC"/>
        <u/>
      </rPr>
      <t>10-14690-05570</t>
    </r>
  </si>
  <si>
    <r>
      <rPr>
        <color rgb="FF1155CC"/>
        <u/>
      </rPr>
      <t>26-14664-72462</t>
    </r>
  </si>
  <si>
    <r>
      <rPr>
        <color rgb="FF1155CC"/>
        <u/>
      </rPr>
      <t>20-14673-48877</t>
    </r>
  </si>
  <si>
    <r>
      <rPr>
        <color rgb="FF1155CC"/>
        <u/>
      </rPr>
      <t>13-14686-99816</t>
    </r>
  </si>
  <si>
    <t>WD34X28030</t>
  </si>
  <si>
    <t>22-14671-01019</t>
  </si>
  <si>
    <r>
      <rPr>
        <color rgb="FF1155CC"/>
        <u/>
      </rPr>
      <t>14-14684-88821</t>
    </r>
  </si>
  <si>
    <t>DA97-08680G</t>
  </si>
  <si>
    <r>
      <rPr>
        <color rgb="FF1155CC"/>
        <u/>
      </rPr>
      <t>06-14698-91610</t>
    </r>
  </si>
  <si>
    <r>
      <rPr>
        <color rgb="FF1155CC"/>
        <u/>
      </rPr>
      <t>26-14643-32582</t>
    </r>
  </si>
  <si>
    <t xml:space="preserve">Shipped 5/28 </t>
  </si>
  <si>
    <r>
      <rPr>
        <color rgb="FF1155CC"/>
        <u/>
      </rPr>
      <t>14-14676-74405</t>
    </r>
  </si>
  <si>
    <t xml:space="preserve">part was used...Zakraya inspected and sent pictures. Order will be canceled </t>
  </si>
  <si>
    <r>
      <rPr>
        <color rgb="FF1155CC"/>
        <u/>
      </rPr>
      <t>03-14696-83775</t>
    </r>
  </si>
  <si>
    <r>
      <rPr>
        <color rgb="FF1155CC"/>
        <u/>
      </rPr>
      <t>07-14698-12146</t>
    </r>
  </si>
  <si>
    <r>
      <rPr>
        <color rgb="FF1155CC"/>
        <u/>
      </rPr>
      <t>09-14694-34385</t>
    </r>
  </si>
  <si>
    <r>
      <rPr>
        <color rgb="FF1155CC"/>
        <u/>
      </rPr>
      <t>08-14697-34074</t>
    </r>
  </si>
  <si>
    <r>
      <rPr>
        <color rgb="FF1155CC"/>
        <u/>
      </rPr>
      <t>05-14705-26166</t>
    </r>
  </si>
  <si>
    <t>DG94-01120A</t>
  </si>
  <si>
    <t xml:space="preserve">Jackson TN </t>
  </si>
  <si>
    <t xml:space="preserve">Could not be located in anyone's TS </t>
  </si>
  <si>
    <r>
      <rPr>
        <color rgb="FF1155CC"/>
        <u/>
      </rPr>
      <t>26-14672-27648</t>
    </r>
  </si>
  <si>
    <r>
      <rPr>
        <color rgb="FF1155CC"/>
        <u/>
      </rPr>
      <t>23-14678-09126</t>
    </r>
  </si>
  <si>
    <t>12-14693-73453</t>
  </si>
  <si>
    <t>No stock all branches.</t>
  </si>
  <si>
    <r>
      <rPr>
        <color rgb="FF1155CC"/>
        <u/>
      </rPr>
      <t>14-14695-67844</t>
    </r>
  </si>
  <si>
    <r>
      <rPr>
        <color rgb="FF1155CC"/>
        <u/>
      </rPr>
      <t>08-14714-24260</t>
    </r>
  </si>
  <si>
    <t>DA92-011996</t>
  </si>
  <si>
    <r>
      <rPr>
        <color rgb="FF1155CC"/>
        <u/>
      </rPr>
      <t>07-14713-77557</t>
    </r>
  </si>
  <si>
    <r>
      <rPr>
        <color rgb="FF1155CC"/>
        <u/>
      </rPr>
      <t>10-14705-48734</t>
    </r>
  </si>
  <si>
    <r>
      <rPr>
        <color rgb="FF1155CC"/>
        <u/>
      </rPr>
      <t>08-14708-48661</t>
    </r>
  </si>
  <si>
    <t>DC92-02869M</t>
  </si>
  <si>
    <r>
      <rPr>
        <color rgb="FF1155CC"/>
        <u/>
      </rPr>
      <t>06-14710-73276</t>
    </r>
  </si>
  <si>
    <t>WB4445495</t>
  </si>
  <si>
    <r>
      <rPr>
        <rFont val="&quot;Market Sans&quot;, &quot;Helvetica Neue&quot;, Helvetica, Arial, Roboto, sans-serif"/>
        <color rgb="FF1155CC"/>
        <sz val="11.0"/>
        <u/>
      </rPr>
      <t>16-14692-63555</t>
    </r>
    <r>
      <rPr>
        <rFont val="&quot;Market Sans&quot;, &quot;Helvetica Neue&quot;, Helvetica, Arial, Roboto, sans-serif"/>
        <sz val="11.0"/>
      </rPr>
      <t>View order details</t>
    </r>
  </si>
  <si>
    <r>
      <rPr>
        <color rgb="FF1155CC"/>
        <u/>
      </rPr>
      <t>06-14704-54308</t>
    </r>
  </si>
  <si>
    <r>
      <rPr>
        <color rgb="FF1155CC"/>
        <u/>
      </rPr>
      <t>25-14680-70382</t>
    </r>
  </si>
  <si>
    <r>
      <rPr>
        <color rgb="FF1155CC"/>
        <u/>
      </rPr>
      <t>23-14681-70746</t>
    </r>
  </si>
  <si>
    <r>
      <rPr>
        <color rgb="FF1155CC"/>
        <u/>
      </rPr>
      <t>05-14715-82269</t>
    </r>
  </si>
  <si>
    <r>
      <rPr>
        <color rgb="FF1155CC"/>
        <u/>
      </rPr>
      <t>18-14697-46965</t>
    </r>
  </si>
  <si>
    <r>
      <rPr>
        <color rgb="FF1155CC"/>
        <u/>
      </rPr>
      <t>27-14685-70554</t>
    </r>
  </si>
  <si>
    <r>
      <rPr>
        <color rgb="FF1155CC"/>
        <u/>
      </rPr>
      <t>14-14653-50781</t>
    </r>
  </si>
  <si>
    <r>
      <rPr>
        <color rgb="FF1155CC"/>
        <u/>
      </rPr>
      <t>20-14700-22057</t>
    </r>
  </si>
  <si>
    <r>
      <rPr>
        <color rgb="FF1155CC"/>
        <u/>
      </rPr>
      <t>27-14687-51912</t>
    </r>
  </si>
  <si>
    <r>
      <rPr>
        <color rgb="FF1155CC"/>
        <u/>
      </rPr>
      <t>03-14671-98730</t>
    </r>
  </si>
  <si>
    <t xml:space="preserve">buyer did not like the item </t>
  </si>
  <si>
    <r>
      <rPr>
        <color rgb="FF1155CC"/>
        <u/>
      </rPr>
      <t>12-14634-75162</t>
    </r>
  </si>
  <si>
    <t xml:space="preserve">buyer said defective </t>
  </si>
  <si>
    <r>
      <rPr>
        <color rgb="FF1155CC"/>
        <u/>
      </rPr>
      <t>02-14673-18170</t>
    </r>
  </si>
  <si>
    <r>
      <rPr>
        <color rgb="FF1155CC"/>
        <u/>
      </rPr>
      <t>04-14729-27209</t>
    </r>
  </si>
  <si>
    <r>
      <rPr>
        <color rgb="FF1155CC"/>
        <u/>
      </rPr>
      <t>07-14710-45134</t>
    </r>
  </si>
  <si>
    <r>
      <rPr>
        <color rgb="FF1155CC"/>
        <u/>
      </rPr>
      <t>03-14730-63589</t>
    </r>
  </si>
  <si>
    <r>
      <rPr>
        <color rgb="FF1155CC"/>
        <u/>
      </rPr>
      <t>14-14713-22102</t>
    </r>
  </si>
  <si>
    <r>
      <rPr>
        <color rgb="FF1155CC"/>
        <u/>
      </rPr>
      <t>01-14735-54775</t>
    </r>
  </si>
  <si>
    <r>
      <rPr>
        <color rgb="FF1155CC"/>
        <u/>
      </rPr>
      <t>19-14708-86374</t>
    </r>
  </si>
  <si>
    <r>
      <rPr>
        <color rgb="FF1155CC"/>
        <u/>
      </rPr>
      <t>25-14699-50276</t>
    </r>
  </si>
  <si>
    <r>
      <rPr>
        <color rgb="FF1155CC"/>
        <u/>
      </rPr>
      <t>10-14719-95524</t>
    </r>
  </si>
  <si>
    <r>
      <rPr>
        <color rgb="FF1155CC"/>
        <u/>
      </rPr>
      <t>10-14723-91618</t>
    </r>
  </si>
  <si>
    <r>
      <rPr>
        <color rgb="FF1155CC"/>
        <u/>
      </rPr>
      <t>04-14736-78019</t>
    </r>
  </si>
  <si>
    <r>
      <rPr>
        <color rgb="FF1155CC"/>
        <u/>
      </rPr>
      <t>05-14733-29395</t>
    </r>
  </si>
  <si>
    <r>
      <rPr>
        <color rgb="FF1155CC"/>
        <u/>
      </rPr>
      <t>12-14721-30130</t>
    </r>
  </si>
  <si>
    <t>4709-002748</t>
  </si>
  <si>
    <r>
      <rPr>
        <color rgb="FFFF0000"/>
        <u/>
      </rPr>
      <t>24-14617-80810</t>
    </r>
  </si>
  <si>
    <t xml:space="preserve">cx said it was defective </t>
  </si>
  <si>
    <r>
      <rPr>
        <color rgb="FF1155CC"/>
        <u/>
      </rPr>
      <t>17-14716-21969</t>
    </r>
  </si>
  <si>
    <r>
      <rPr>
        <color rgb="FF1155CC"/>
        <u/>
      </rPr>
      <t>06-14734-29121</t>
    </r>
  </si>
  <si>
    <r>
      <rPr>
        <color rgb="FF1155CC"/>
        <u/>
      </rPr>
      <t>12-14630-16168</t>
    </r>
  </si>
  <si>
    <t>DA92-02965f</t>
  </si>
  <si>
    <t xml:space="preserve">cx did not like </t>
  </si>
  <si>
    <r>
      <rPr>
        <color rgb="FF1155CC"/>
        <u/>
      </rPr>
      <t>12-14725-25143</t>
    </r>
  </si>
  <si>
    <r>
      <rPr>
        <color rgb="FF1155CC"/>
        <u/>
      </rPr>
      <t>01-14744-93902</t>
    </r>
  </si>
  <si>
    <r>
      <rPr>
        <color rgb="FF1155CC"/>
        <u/>
      </rPr>
      <t>26-14703-40391</t>
    </r>
  </si>
  <si>
    <t>4400EL2001F</t>
  </si>
  <si>
    <r>
      <rPr>
        <color rgb="FF1155CC"/>
        <u/>
      </rPr>
      <t>18-14718-55136</t>
    </r>
  </si>
  <si>
    <t>WE22X37340</t>
  </si>
  <si>
    <r>
      <rPr>
        <color rgb="FF1155CC"/>
        <u/>
      </rPr>
      <t>10-14656-45054</t>
    </r>
  </si>
  <si>
    <t>Buyer just didn't like it.</t>
  </si>
  <si>
    <r>
      <rPr>
        <color rgb="FF1155CC"/>
        <u/>
      </rPr>
      <t>16-14720-32513</t>
    </r>
  </si>
  <si>
    <r>
      <rPr>
        <color rgb="FF1155CC"/>
        <u/>
      </rPr>
      <t>06-14689-46758</t>
    </r>
  </si>
  <si>
    <t xml:space="preserve">buyer claims defective </t>
  </si>
  <si>
    <r>
      <rPr>
        <color rgb="FF1155CC"/>
        <u/>
      </rPr>
      <t>26-14702-80369</t>
    </r>
  </si>
  <si>
    <r>
      <rPr>
        <color rgb="FF1155CC"/>
        <u/>
      </rPr>
      <t>12-14727-86466</t>
    </r>
  </si>
  <si>
    <t>all 4 shipped from CB</t>
  </si>
  <si>
    <r>
      <rPr>
        <color rgb="FF1155CC"/>
        <u/>
      </rPr>
      <t>23-14710-23618</t>
    </r>
  </si>
  <si>
    <r>
      <rPr>
        <color rgb="FF1155CC"/>
        <u/>
      </rPr>
      <t>01-14748-04308</t>
    </r>
  </si>
  <si>
    <r>
      <rPr>
        <color rgb="FF1155CC"/>
        <u/>
      </rPr>
      <t>10-14742-69002</t>
    </r>
  </si>
  <si>
    <r>
      <rPr>
        <color rgb="FF1155CC"/>
        <u/>
      </rPr>
      <t>24-14731-29213</t>
    </r>
  </si>
  <si>
    <r>
      <rPr>
        <color rgb="FF1155CC"/>
        <u/>
      </rPr>
      <t>22-14714-30982</t>
    </r>
  </si>
  <si>
    <r>
      <rPr>
        <color rgb="FF1155CC"/>
        <u/>
      </rPr>
      <t>07-14746-14056</t>
    </r>
  </si>
  <si>
    <t>wh23x28418</t>
  </si>
  <si>
    <r>
      <rPr>
        <color rgb="FF1155CC"/>
        <u/>
      </rPr>
      <t>27-14709-53821</t>
    </r>
  </si>
  <si>
    <r>
      <rPr>
        <color rgb="FF1155CC"/>
        <u/>
      </rPr>
      <t>09-14736-62248</t>
    </r>
  </si>
  <si>
    <r>
      <rPr>
        <color rgb="FF1155CC"/>
        <u/>
      </rPr>
      <t>02-14746-69526</t>
    </r>
  </si>
  <si>
    <t>DA97-15217D</t>
  </si>
  <si>
    <r>
      <rPr>
        <color rgb="FF1155CC"/>
        <u/>
      </rPr>
      <t>07-14737-72664</t>
    </r>
  </si>
  <si>
    <r>
      <rPr>
        <color rgb="FF1155CC"/>
        <u/>
      </rPr>
      <t>24-14617-80810</t>
    </r>
  </si>
  <si>
    <t xml:space="preserve">cx says does not work, defective </t>
  </si>
  <si>
    <r>
      <rPr>
        <color rgb="FF1155CC"/>
        <u/>
      </rPr>
      <t>12-14733-80786</t>
    </r>
  </si>
  <si>
    <r>
      <rPr>
        <color rgb="FF1155CC"/>
        <u/>
      </rPr>
      <t>10-14739-38659</t>
    </r>
  </si>
  <si>
    <t>WH04X25737</t>
  </si>
  <si>
    <r>
      <rPr>
        <color rgb="FF1155CC"/>
        <u/>
      </rPr>
      <t>18-14722-44826</t>
    </r>
  </si>
  <si>
    <r>
      <rPr>
        <color rgb="FF1155CC"/>
        <u/>
      </rPr>
      <t>01-14751-63211</t>
    </r>
  </si>
  <si>
    <r>
      <rPr>
        <color rgb="FF1155CC"/>
        <u/>
      </rPr>
      <t>16-14728-25516</t>
    </r>
  </si>
  <si>
    <r>
      <rPr>
        <color rgb="FF1155CC"/>
        <u/>
      </rPr>
      <t>04-14749-66327</t>
    </r>
  </si>
  <si>
    <r>
      <rPr>
        <color rgb="FF1155CC"/>
        <u/>
      </rPr>
      <t>10-14739-40160</t>
    </r>
  </si>
  <si>
    <r>
      <rPr>
        <color rgb="FF1155CC"/>
        <u/>
      </rPr>
      <t>24-14737-73334</t>
    </r>
  </si>
  <si>
    <r>
      <rPr>
        <color rgb="FF1155CC"/>
        <u/>
      </rPr>
      <t>17-14734-96000</t>
    </r>
  </si>
  <si>
    <r>
      <rPr>
        <rFont val="&quot;Market Sans&quot;, &quot;Helvetica Neue&quot;, Helvetica, Arial, Roboto, sans-serif"/>
        <color rgb="FF1155CC"/>
        <sz val="11.0"/>
        <u/>
      </rPr>
      <t>09-14745-50491</t>
    </r>
    <r>
      <rPr>
        <rFont val="&quot;Market Sans&quot;, &quot;Helvetica Neue&quot;, Helvetica, Arial, Roboto, sans-serif"/>
        <sz val="11.0"/>
      </rPr>
      <t>View order details</t>
    </r>
  </si>
  <si>
    <r>
      <rPr>
        <color rgb="FF1155CC"/>
        <u/>
      </rPr>
      <t>26-14722-32131</t>
    </r>
  </si>
  <si>
    <r>
      <rPr>
        <color rgb="FF1155CC"/>
        <u/>
      </rPr>
      <t>14-14740-94811</t>
    </r>
  </si>
  <si>
    <r>
      <rPr>
        <color rgb="FF1155CC"/>
        <u/>
      </rPr>
      <t>25-14725-34873</t>
    </r>
  </si>
  <si>
    <r>
      <rPr>
        <color rgb="FF1155CC"/>
        <u/>
      </rPr>
      <t>07-14710-45134</t>
    </r>
  </si>
  <si>
    <t xml:space="preserve">Order would not arrive in time. </t>
  </si>
  <si>
    <r>
      <rPr>
        <color rgb="FF1155CC"/>
        <u/>
      </rPr>
      <t>21-14732-85304</t>
    </r>
  </si>
  <si>
    <t>wr30x39266</t>
  </si>
  <si>
    <r>
      <rPr>
        <color rgb="FF1155CC"/>
        <u/>
      </rPr>
      <t>01-14767-04912</t>
    </r>
  </si>
  <si>
    <r>
      <rPr>
        <color rgb="FF1155CC"/>
        <u/>
      </rPr>
      <t>11-14751-42846</t>
    </r>
  </si>
  <si>
    <r>
      <rPr>
        <color rgb="FF1155CC"/>
        <u/>
      </rPr>
      <t>10-14751-19612</t>
    </r>
  </si>
  <si>
    <t>DA97-15014A</t>
  </si>
  <si>
    <r>
      <rPr>
        <color rgb="FF1155CC"/>
        <u/>
      </rPr>
      <t>05-14759-80461</t>
    </r>
  </si>
  <si>
    <t>DA97-17216A</t>
  </si>
  <si>
    <r>
      <rPr>
        <color rgb="FF1155CC"/>
        <u/>
      </rPr>
      <t>06-14757-25203</t>
    </r>
  </si>
  <si>
    <r>
      <rPr>
        <color rgb="FF1155CC"/>
        <u/>
      </rPr>
      <t>17-14742-27305</t>
    </r>
  </si>
  <si>
    <t>24-14655-72085</t>
  </si>
  <si>
    <t>USPS failed to deliver.</t>
  </si>
  <si>
    <r>
      <rPr>
        <color rgb="FF1155CC"/>
        <u/>
      </rPr>
      <t>07-14759-18709</t>
    </r>
  </si>
  <si>
    <r>
      <rPr>
        <color rgb="FF1155CC"/>
        <u/>
      </rPr>
      <t>13-14748-12783</t>
    </r>
  </si>
  <si>
    <r>
      <rPr>
        <color rgb="FF1155CC"/>
        <u/>
      </rPr>
      <t>03-14762-90487</t>
    </r>
  </si>
  <si>
    <t>DA97-13718C</t>
  </si>
  <si>
    <r>
      <rPr>
        <color rgb="FF1155CC"/>
        <u/>
      </rPr>
      <t>07-14759-52446</t>
    </r>
  </si>
  <si>
    <r>
      <rPr>
        <color rgb="FF1155CC"/>
        <u/>
      </rPr>
      <t>25-14732-81157</t>
    </r>
  </si>
  <si>
    <r>
      <rPr>
        <color rgb="FF1155CC"/>
        <u/>
      </rPr>
      <t>02-14767-09654</t>
    </r>
  </si>
  <si>
    <r>
      <rPr>
        <color rgb="FF1155CC"/>
        <u/>
      </rPr>
      <t>07-14760-87207</t>
    </r>
  </si>
  <si>
    <r>
      <rPr>
        <color rgb="FF1155CC"/>
        <u/>
      </rPr>
      <t>08-14758-94079</t>
    </r>
  </si>
  <si>
    <r>
      <rPr>
        <color rgb="FF1155CC"/>
        <u/>
      </rPr>
      <t>22-14735-80269</t>
    </r>
  </si>
  <si>
    <r>
      <rPr>
        <color rgb="FF1155CC"/>
        <u/>
      </rPr>
      <t>18-14741-13995</t>
    </r>
  </si>
  <si>
    <r>
      <rPr>
        <color rgb="FF1155CC"/>
        <u/>
      </rPr>
      <t>27-14726-80077</t>
    </r>
  </si>
  <si>
    <r>
      <rPr>
        <color rgb="FF1155CC"/>
        <u/>
      </rPr>
      <t>17-14746-65781</t>
    </r>
  </si>
  <si>
    <r>
      <rPr>
        <color rgb="FF1155CC"/>
        <u/>
      </rPr>
      <t>05-14766-76997</t>
    </r>
  </si>
  <si>
    <r>
      <rPr>
        <color rgb="FF1155CC"/>
        <u/>
      </rPr>
      <t>05-14761-54878</t>
    </r>
  </si>
  <si>
    <t>25-14737-24095</t>
  </si>
  <si>
    <r>
      <rPr>
        <color rgb="FF1155CC"/>
        <u/>
      </rPr>
      <t>27-14687-51912</t>
    </r>
  </si>
  <si>
    <t>Defective part.</t>
  </si>
  <si>
    <r>
      <rPr>
        <color rgb="FF1155CC"/>
        <u/>
      </rPr>
      <t>10-14759-02189</t>
    </r>
  </si>
  <si>
    <r>
      <rPr>
        <color rgb="FF1155CC"/>
        <u/>
      </rPr>
      <t>27-14733-72761</t>
    </r>
  </si>
  <si>
    <t>Out of stock all branches.</t>
  </si>
  <si>
    <r>
      <rPr>
        <color rgb="FF1155CC"/>
        <u/>
      </rPr>
      <t>27-14731-89047</t>
    </r>
  </si>
  <si>
    <r>
      <rPr>
        <color rgb="FF1155CC"/>
        <u/>
      </rPr>
      <t>03-14770-70423</t>
    </r>
  </si>
  <si>
    <r>
      <rPr>
        <color rgb="FF1155CC"/>
        <u/>
      </rPr>
      <t>06-14704-54308</t>
    </r>
  </si>
  <si>
    <t>Buyer didn't need.</t>
  </si>
  <si>
    <r>
      <rPr>
        <color rgb="FF1155CC"/>
        <u/>
      </rPr>
      <t>26-14736-68985</t>
    </r>
  </si>
  <si>
    <r>
      <rPr>
        <color rgb="FF1155CC"/>
        <u/>
      </rPr>
      <t>25-14740-04290</t>
    </r>
  </si>
  <si>
    <r>
      <rPr>
        <color rgb="FF1155CC"/>
        <u/>
      </rPr>
      <t>27-14735-75119</t>
    </r>
  </si>
  <si>
    <r>
      <rPr>
        <color rgb="FF1155CC"/>
        <u/>
      </rPr>
      <t>08-14773-49979</t>
    </r>
  </si>
  <si>
    <t>Part was used. No stock at all Brances</t>
  </si>
  <si>
    <r>
      <rPr>
        <color rgb="FF1155CC"/>
        <u/>
      </rPr>
      <t>21-14751-89008</t>
    </r>
  </si>
  <si>
    <t>DC97-21487A</t>
  </si>
  <si>
    <r>
      <rPr>
        <color rgb="FF1155CC"/>
        <u/>
      </rPr>
      <t>02-14784-23572</t>
    </r>
  </si>
  <si>
    <t>EAD65025201</t>
  </si>
  <si>
    <r>
      <rPr>
        <color rgb="FF1155CC"/>
        <u/>
      </rPr>
      <t>12-14770-67578</t>
    </r>
  </si>
  <si>
    <r>
      <rPr>
        <color rgb="FF1155CC"/>
        <u/>
      </rPr>
      <t>21-14749-18798</t>
    </r>
  </si>
  <si>
    <r>
      <rPr>
        <color rgb="FF1155CC"/>
        <u/>
      </rPr>
      <t>23-14742-60102</t>
    </r>
  </si>
  <si>
    <r>
      <rPr>
        <color rgb="FF1155CC"/>
        <u/>
      </rPr>
      <t>23-14752-89895</t>
    </r>
  </si>
  <si>
    <t>EBR62707645</t>
  </si>
  <si>
    <t xml:space="preserve">WILL NOT SHIP UNTIL TOMORROW WAITING ON CONFIRMATION THAT THEY HAVE </t>
  </si>
  <si>
    <r>
      <rPr>
        <color rgb="FF1155CC"/>
        <u/>
      </rPr>
      <t>11-14777-69800</t>
    </r>
  </si>
  <si>
    <t xml:space="preserve">said it was previously sent out no other branch has </t>
  </si>
  <si>
    <r>
      <rPr>
        <color rgb="FF1155CC"/>
        <u/>
      </rPr>
      <t>23-14743-66911</t>
    </r>
  </si>
  <si>
    <r>
      <rPr>
        <color rgb="FF1155CC"/>
        <u/>
      </rPr>
      <t>22-14754-55183</t>
    </r>
  </si>
  <si>
    <r>
      <rPr>
        <color rgb="FF1155CC"/>
        <u/>
      </rPr>
      <t>06-14774-42810</t>
    </r>
  </si>
  <si>
    <t>WPW10384183</t>
  </si>
  <si>
    <r>
      <rPr>
        <color rgb="FF1155CC"/>
        <u/>
      </rPr>
      <t>16-14752-83733</t>
    </r>
  </si>
  <si>
    <t>shipped from MB</t>
  </si>
  <si>
    <r>
      <rPr>
        <color rgb="FF1155CC"/>
        <u/>
      </rPr>
      <t>02-14780-43796</t>
    </r>
  </si>
  <si>
    <r>
      <rPr>
        <color rgb="FF1155CC"/>
        <u/>
      </rPr>
      <t>07-14783-61208</t>
    </r>
  </si>
  <si>
    <t>wr57x45267</t>
  </si>
  <si>
    <r>
      <rPr>
        <color rgb="FF1155CC"/>
        <u/>
      </rPr>
      <t>25-14752-66518</t>
    </r>
  </si>
  <si>
    <t>DG94-05220B</t>
  </si>
  <si>
    <r>
      <rPr>
        <color rgb="FF1155CC"/>
        <u/>
      </rPr>
      <t>09-14777-11406</t>
    </r>
  </si>
  <si>
    <r>
      <rPr>
        <color rgb="FF1155CC"/>
        <u/>
      </rPr>
      <t>07-14783-61209</t>
    </r>
  </si>
  <si>
    <t>25-14755-05173</t>
  </si>
  <si>
    <r>
      <rPr>
        <color rgb="FF1155CC"/>
        <u/>
      </rPr>
      <t>12-14776-58986</t>
    </r>
  </si>
  <si>
    <r>
      <rPr>
        <color rgb="FF1155CC"/>
        <u/>
      </rPr>
      <t>04-14787-01743</t>
    </r>
  </si>
  <si>
    <r>
      <rPr>
        <color rgb="FF1155CC"/>
        <u/>
      </rPr>
      <t>04-14775-83589</t>
    </r>
  </si>
  <si>
    <r>
      <rPr>
        <color rgb="FF1155CC"/>
        <u/>
      </rPr>
      <t>13-14774-95052</t>
    </r>
  </si>
  <si>
    <r>
      <rPr>
        <color rgb="FF1155CC"/>
        <u/>
      </rPr>
      <t>19-14767-89687</t>
    </r>
  </si>
  <si>
    <r>
      <rPr>
        <rFont val="Arial"/>
        <color rgb="FF434343"/>
        <sz val="10.0"/>
      </rPr>
      <t>DD81-02638A</t>
    </r>
  </si>
  <si>
    <r>
      <rPr>
        <color rgb="FF1155CC"/>
        <u/>
      </rPr>
      <t>14-14774-19211</t>
    </r>
  </si>
  <si>
    <r>
      <rPr>
        <color rgb="FF1155CC"/>
        <u/>
      </rPr>
      <t>02-14794-28811</t>
    </r>
  </si>
  <si>
    <r>
      <rPr>
        <rFont val="Arial"/>
        <color rgb="FF434343"/>
        <sz val="10.0"/>
      </rPr>
      <t>WR30X28731</t>
    </r>
  </si>
  <si>
    <r>
      <rPr>
        <color rgb="FF1155CC"/>
        <u/>
      </rPr>
      <t>06-14698-91610</t>
    </r>
  </si>
  <si>
    <r>
      <rPr>
        <rFont val="Arial"/>
        <color rgb="FF434343"/>
        <sz val="10.0"/>
      </rPr>
      <t>WH03X34937</t>
    </r>
  </si>
  <si>
    <t>24-14774-21342</t>
  </si>
  <si>
    <t>wb27x50046</t>
  </si>
  <si>
    <r>
      <rPr>
        <color rgb="FF1155CC"/>
        <u/>
      </rPr>
      <t>20-14765-73850</t>
    </r>
  </si>
  <si>
    <r>
      <rPr>
        <color rgb="FF1155CC"/>
        <u/>
      </rPr>
      <t>03-14792-97493</t>
    </r>
  </si>
  <si>
    <r>
      <rPr>
        <color rgb="FF1155CC"/>
        <u/>
      </rPr>
      <t>25-14757-96691</t>
    </r>
  </si>
  <si>
    <r>
      <rPr>
        <color rgb="FF1155CC"/>
        <u/>
      </rPr>
      <t>20-14765-47684</t>
    </r>
  </si>
  <si>
    <r>
      <rPr>
        <color rgb="FF1155CC"/>
        <u/>
      </rPr>
      <t>02-14795-29524</t>
    </r>
  </si>
  <si>
    <t xml:space="preserve">PROBABLY WILL NOT GO OUT UNTIL THURSDAY. Z HAS BEEN NOTIFIED OF SALE </t>
  </si>
  <si>
    <r>
      <rPr>
        <color rgb="FF1155CC"/>
        <u/>
      </rPr>
      <t>06-14792-50452</t>
    </r>
  </si>
  <si>
    <t>wb18x39323</t>
  </si>
  <si>
    <r>
      <rPr>
        <color rgb="FF1155CC"/>
        <u/>
      </rPr>
      <t>17-14773-27991</t>
    </r>
  </si>
  <si>
    <r>
      <rPr>
        <color rgb="FF1155CC"/>
        <u/>
      </rPr>
      <t>20-14768-66959</t>
    </r>
  </si>
  <si>
    <r>
      <rPr>
        <rFont val="Arial"/>
        <color rgb="FF434343"/>
      </rPr>
      <t>WR51X31995</t>
    </r>
  </si>
  <si>
    <r>
      <rPr>
        <color rgb="FF1155CC"/>
        <u/>
      </rPr>
      <t>20-14640-79042</t>
    </r>
  </si>
  <si>
    <r>
      <rPr>
        <rFont val="Arial"/>
        <color rgb="FF434343"/>
      </rPr>
      <t>MDS66290828</t>
    </r>
  </si>
  <si>
    <r>
      <rPr>
        <color rgb="FF1155CC"/>
        <u/>
      </rPr>
      <t>06-14750-96728</t>
    </r>
  </si>
  <si>
    <r>
      <rPr>
        <color rgb="FF1155CC"/>
        <u/>
      </rPr>
      <t>11-14785-94936</t>
    </r>
  </si>
  <si>
    <r>
      <rPr>
        <color rgb="FF1155CC"/>
        <u/>
      </rPr>
      <t>06-14794-84810</t>
    </r>
  </si>
  <si>
    <r>
      <rPr>
        <rFont val="Arial"/>
        <color rgb="FF434343"/>
      </rPr>
      <t>WD34X28033</t>
    </r>
  </si>
  <si>
    <r>
      <rPr>
        <color rgb="FF1155CC"/>
        <u/>
      </rPr>
      <t>14-14782-00538</t>
    </r>
  </si>
  <si>
    <r>
      <rPr>
        <color rgb="FF1155CC"/>
        <u/>
      </rPr>
      <t>26-14762-49973</t>
    </r>
  </si>
  <si>
    <t>DA92-01692A</t>
  </si>
  <si>
    <t>12-14787-97735</t>
  </si>
  <si>
    <r>
      <rPr>
        <color rgb="FF1155CC"/>
        <u/>
      </rPr>
      <t>17-14734-96000</t>
    </r>
  </si>
  <si>
    <r>
      <rPr>
        <color rgb="FF1155CC"/>
        <u/>
      </rPr>
      <t>05-14800-80576</t>
    </r>
  </si>
  <si>
    <t>DC97-17374A</t>
  </si>
  <si>
    <r>
      <rPr>
        <color rgb="FF1155CC"/>
        <u/>
      </rPr>
      <t>10-14795-77362</t>
    </r>
  </si>
  <si>
    <r>
      <rPr>
        <color rgb="FF1155CC"/>
        <u/>
      </rPr>
      <t>16-14791-14383</t>
    </r>
  </si>
  <si>
    <r>
      <rPr>
        <color rgb="FF1155CC"/>
        <u/>
      </rPr>
      <t>24-14791-04454</t>
    </r>
  </si>
  <si>
    <r>
      <rPr>
        <color rgb="FF1155CC"/>
        <u/>
      </rPr>
      <t>07-14798-26062</t>
    </r>
  </si>
  <si>
    <r>
      <rPr>
        <color rgb="FF1155CC"/>
        <u/>
      </rPr>
      <t>26-14766-29905</t>
    </r>
  </si>
  <si>
    <t>WB16X394269</t>
  </si>
  <si>
    <r>
      <rPr>
        <color rgb="FF1155CC"/>
        <u/>
      </rPr>
      <t>15-14784-67271</t>
    </r>
  </si>
  <si>
    <t xml:space="preserve">CX ORDERED BY MISTAKE, WAS NOT SHIPPED OUT BEFORE CANCELLATION </t>
  </si>
  <si>
    <r>
      <rPr>
        <color rgb="FF1155CC"/>
        <u/>
      </rPr>
      <t>10-14792-79920</t>
    </r>
  </si>
  <si>
    <t>EBR86498812</t>
  </si>
  <si>
    <r>
      <rPr>
        <color rgb="FF1155CC"/>
        <u/>
      </rPr>
      <t>03-14812-19257</t>
    </r>
  </si>
  <si>
    <t>W10190965</t>
  </si>
  <si>
    <r>
      <rPr>
        <color rgb="FF1155CC"/>
        <u/>
      </rPr>
      <t>09-14801-05136</t>
    </r>
  </si>
  <si>
    <r>
      <rPr>
        <color rgb="FF1155CC"/>
        <u/>
      </rPr>
      <t>18-14741-13995</t>
    </r>
  </si>
  <si>
    <r>
      <rPr>
        <rFont val="Arial"/>
        <color rgb="FF434343"/>
      </rPr>
      <t>AEB75844605</t>
    </r>
  </si>
  <si>
    <r>
      <rPr>
        <color rgb="FF1155CC"/>
        <u/>
      </rPr>
      <t>25-14779-83458</t>
    </r>
  </si>
  <si>
    <r>
      <rPr>
        <color rgb="FF1155CC"/>
        <u/>
      </rPr>
      <t>16-14796-80985</t>
    </r>
  </si>
  <si>
    <r>
      <rPr>
        <color rgb="FF1155CC"/>
        <u/>
      </rPr>
      <t>14-14799-53545</t>
    </r>
  </si>
  <si>
    <t xml:space="preserve">K2142711 </t>
  </si>
  <si>
    <r>
      <rPr>
        <color rgb="FF1155CC"/>
        <u/>
      </rPr>
      <t>23-14783-96566</t>
    </r>
  </si>
  <si>
    <t>MEE62225177</t>
  </si>
  <si>
    <t>19-14794-85813</t>
  </si>
  <si>
    <t>we04x25280</t>
  </si>
  <si>
    <r>
      <rPr>
        <color rgb="FF1155CC"/>
        <u/>
      </rPr>
      <t>12-14805-83235</t>
    </r>
  </si>
  <si>
    <r>
      <rPr>
        <color rgb="FF1155CC"/>
        <u/>
      </rPr>
      <t>26-14781-38395</t>
    </r>
  </si>
  <si>
    <r>
      <rPr>
        <color rgb="FF1155CC"/>
        <u/>
      </rPr>
      <t>13-14807-69874</t>
    </r>
  </si>
  <si>
    <r>
      <rPr>
        <color rgb="FF1155CC"/>
        <u/>
      </rPr>
      <t>14-14803-27505</t>
    </r>
  </si>
  <si>
    <r>
      <rPr>
        <color rgb="FF1155CC"/>
        <u/>
      </rPr>
      <t>10-14810-04648</t>
    </r>
  </si>
  <si>
    <t>waiting for pick up</t>
  </si>
  <si>
    <r>
      <rPr>
        <color rgb="FF1155CC"/>
        <u/>
      </rPr>
      <t>02-14823-92500</t>
    </r>
  </si>
  <si>
    <r>
      <rPr>
        <color rgb="FF1155CC"/>
        <u/>
      </rPr>
      <t>04-14818-79367</t>
    </r>
  </si>
  <si>
    <r>
      <rPr>
        <rFont val="Arial"/>
        <color rgb="FF434343"/>
      </rPr>
      <t>WD21X30998</t>
    </r>
  </si>
  <si>
    <r>
      <rPr>
        <color rgb="FF1155CC"/>
        <u/>
      </rPr>
      <t>16-14802-68493</t>
    </r>
  </si>
  <si>
    <r>
      <rPr>
        <color rgb="FF1155CC"/>
        <u/>
      </rPr>
      <t>13-14805-15659</t>
    </r>
  </si>
  <si>
    <r>
      <rPr>
        <rFont val="Arial"/>
        <color rgb="FF434343"/>
      </rPr>
      <t>WB27X32101</t>
    </r>
  </si>
  <si>
    <r>
      <rPr>
        <color rgb="FF1155CC"/>
        <u/>
      </rPr>
      <t>27-14780-93824</t>
    </r>
  </si>
  <si>
    <r>
      <rPr>
        <color rgb="FF1155CC"/>
        <u/>
      </rPr>
      <t>21-14794-07602</t>
    </r>
  </si>
  <si>
    <r>
      <rPr>
        <color rgb="FF1155CC"/>
        <u/>
      </rPr>
      <t>27-14785-40997</t>
    </r>
  </si>
  <si>
    <r>
      <rPr>
        <color rgb="FF1155CC"/>
        <u/>
      </rPr>
      <t>15-14807-07574</t>
    </r>
  </si>
  <si>
    <r>
      <rPr>
        <color rgb="FF1155CC"/>
        <u/>
      </rPr>
      <t>12-14809-75601</t>
    </r>
  </si>
  <si>
    <r>
      <rPr>
        <color rgb="FF1155CC"/>
        <u/>
      </rPr>
      <t>07-14821-43127</t>
    </r>
  </si>
  <si>
    <t>we04x26214</t>
  </si>
  <si>
    <r>
      <rPr>
        <color rgb="FF1155CC"/>
        <u/>
      </rPr>
      <t>06-14823-30162</t>
    </r>
  </si>
  <si>
    <r>
      <rPr>
        <color rgb="FF1155CC"/>
        <u/>
      </rPr>
      <t>12-14810-64955</t>
    </r>
  </si>
  <si>
    <r>
      <rPr>
        <color rgb="FF1155CC"/>
        <u/>
      </rPr>
      <t>02-14831-37356</t>
    </r>
  </si>
  <si>
    <t xml:space="preserve">CT PM gone home for the day, will finish tomorrow/ORDER EARNING ARE BEFORE LABEL PURCHASE </t>
  </si>
  <si>
    <r>
      <rPr>
        <color rgb="FF1155CC"/>
        <u/>
      </rPr>
      <t>03-14828-16243</t>
    </r>
  </si>
  <si>
    <r>
      <rPr>
        <color rgb="FF1155CC"/>
        <u/>
      </rPr>
      <t>01-14830-14136</t>
    </r>
  </si>
  <si>
    <r>
      <rPr>
        <color rgb="FF1155CC"/>
        <u/>
      </rPr>
      <t>24-14808-30615</t>
    </r>
  </si>
  <si>
    <r>
      <rPr>
        <color rgb="FF1155CC"/>
        <u/>
      </rPr>
      <t>21-14797-32201</t>
    </r>
  </si>
  <si>
    <r>
      <rPr>
        <color rgb="FF1155CC"/>
        <u/>
      </rPr>
      <t>23-14793-45586</t>
    </r>
  </si>
  <si>
    <r>
      <rPr>
        <color rgb="FF1155CC"/>
        <u/>
      </rPr>
      <t>04-14828-82432</t>
    </r>
  </si>
  <si>
    <r>
      <rPr>
        <color rgb="FF1155CC"/>
        <u/>
      </rPr>
      <t>25-14791-77480</t>
    </r>
  </si>
  <si>
    <r>
      <rPr>
        <color rgb="FF1155CC"/>
        <u/>
      </rPr>
      <t>24-14809-47493</t>
    </r>
  </si>
  <si>
    <t>WR01X46106/WR01X46146</t>
  </si>
  <si>
    <r>
      <rPr>
        <color rgb="FF1155CC"/>
        <u/>
      </rPr>
      <t>26-14664-72462</t>
    </r>
  </si>
  <si>
    <r>
      <rPr>
        <color rgb="FF1155CC"/>
        <u/>
      </rPr>
      <t>07-14823-45205</t>
    </r>
  </si>
  <si>
    <r>
      <rPr>
        <color rgb="FF1155CC"/>
        <u/>
      </rPr>
      <t>05-14826-61903</t>
    </r>
  </si>
  <si>
    <r>
      <rPr>
        <color rgb="FF1155CC"/>
        <u/>
      </rPr>
      <t>09-14820-06296</t>
    </r>
  </si>
  <si>
    <t>DA97-14474D</t>
  </si>
  <si>
    <r>
      <rPr>
        <color rgb="FF1155CC"/>
        <u/>
      </rPr>
      <t>01-14833-95517</t>
    </r>
  </si>
  <si>
    <r>
      <rPr>
        <color rgb="FF1155CC"/>
        <u/>
      </rPr>
      <t>24-14821-67280</t>
    </r>
  </si>
  <si>
    <t>wr55x40445</t>
  </si>
  <si>
    <r>
      <rPr>
        <color rgb="FF1155CC"/>
        <u/>
      </rPr>
      <t>22-14802-54075</t>
    </r>
  </si>
  <si>
    <r>
      <rPr>
        <color rgb="FF1155CC"/>
        <u/>
      </rPr>
      <t>13-14817-19494</t>
    </r>
  </si>
  <si>
    <r>
      <rPr>
        <color rgb="FF1155CC"/>
        <u/>
      </rPr>
      <t>19-14808-74776</t>
    </r>
  </si>
  <si>
    <t>label sent</t>
  </si>
  <si>
    <r>
      <rPr>
        <color rgb="FF1155CC"/>
        <u/>
      </rPr>
      <t>22-14812-56968</t>
    </r>
  </si>
  <si>
    <r>
      <rPr>
        <color rgb="FF1155CC"/>
        <u/>
      </rPr>
      <t>10-14832-30109</t>
    </r>
  </si>
  <si>
    <r>
      <rPr>
        <color rgb="FF1155CC"/>
        <u/>
      </rPr>
      <t>10-14830-16458</t>
    </r>
  </si>
  <si>
    <r>
      <rPr>
        <color rgb="FF1155CC"/>
        <u/>
      </rPr>
      <t>15-14821-71461</t>
    </r>
  </si>
  <si>
    <r>
      <rPr>
        <color rgb="FF1155CC"/>
        <u/>
      </rPr>
      <t>14-14817-93851</t>
    </r>
  </si>
  <si>
    <r>
      <rPr>
        <color rgb="FF1155CC"/>
        <u/>
      </rPr>
      <t>19-14708-86374</t>
    </r>
  </si>
  <si>
    <r>
      <rPr>
        <rFont val="Arial"/>
        <color rgb="FF434343"/>
      </rPr>
      <t>WR55X34887</t>
    </r>
  </si>
  <si>
    <r>
      <rPr>
        <color rgb="FF1155CC"/>
        <u/>
      </rPr>
      <t>22-14807-51814</t>
    </r>
  </si>
  <si>
    <t>DC97-16350U (set of 4)</t>
  </si>
  <si>
    <t>CT says part shipped but no update on tracking</t>
  </si>
  <si>
    <r>
      <rPr>
        <color rgb="FF1155CC"/>
        <u/>
      </rPr>
      <t>16-14825-40911</t>
    </r>
  </si>
  <si>
    <r>
      <rPr>
        <color rgb="FF1155CC"/>
        <u/>
      </rPr>
      <t>14-14828-57512</t>
    </r>
  </si>
  <si>
    <r>
      <rPr>
        <color rgb="FF1155CC"/>
        <u/>
      </rPr>
      <t>16-14824-67523</t>
    </r>
  </si>
  <si>
    <r>
      <rPr>
        <color rgb="FF1155CC"/>
        <u/>
      </rPr>
      <t>02-14847-98847</t>
    </r>
  </si>
  <si>
    <r>
      <rPr>
        <color rgb="FF1155CC"/>
        <u/>
      </rPr>
      <t>16-14823-43286</t>
    </r>
  </si>
  <si>
    <r>
      <rPr>
        <color rgb="FF1155CC"/>
        <u/>
      </rPr>
      <t>11-14836-07077</t>
    </r>
  </si>
  <si>
    <r>
      <rPr>
        <color rgb="FF1155CC"/>
        <u/>
      </rPr>
      <t>20-14816-91046</t>
    </r>
  </si>
  <si>
    <t>ADC30047802</t>
  </si>
  <si>
    <r>
      <rPr>
        <rFont val="Roboto"/>
        <color rgb="FF1155CC"/>
        <u/>
      </rPr>
      <t>14-14829-46039</t>
    </r>
  </si>
  <si>
    <r>
      <rPr>
        <color rgb="FF1155CC"/>
        <u/>
      </rPr>
      <t>26-14795-59609</t>
    </r>
  </si>
  <si>
    <r>
      <rPr>
        <color rgb="FF1155CC"/>
        <u/>
      </rPr>
      <t>09-14834-82172</t>
    </r>
  </si>
  <si>
    <t>FC-QZA637WRKZ</t>
  </si>
  <si>
    <t>Out of Stock all branches</t>
  </si>
  <si>
    <r>
      <rPr>
        <color rgb="FF1155CC"/>
        <u/>
      </rPr>
      <t>15-14824-66496</t>
    </r>
  </si>
  <si>
    <t>DA82-02640A</t>
  </si>
  <si>
    <t xml:space="preserve">Kit incomplete. ATL shipped PCB </t>
  </si>
  <si>
    <r>
      <rPr>
        <color rgb="FF1155CC"/>
        <u/>
      </rPr>
      <t>06-14829-72982</t>
    </r>
  </si>
  <si>
    <t>ATL shipped</t>
  </si>
  <si>
    <r>
      <rPr>
        <color rgb="FF1155CC"/>
        <u/>
      </rPr>
      <t>11-14836-79980</t>
    </r>
  </si>
  <si>
    <r>
      <rPr>
        <color rgb="FF1155CC"/>
        <u/>
      </rPr>
      <t>06-14848-63600</t>
    </r>
  </si>
  <si>
    <r>
      <rPr>
        <color rgb="FF1155CC"/>
        <u/>
      </rPr>
      <t>05-14847-57469</t>
    </r>
  </si>
  <si>
    <t>shipping from ATL/ label sent</t>
  </si>
  <si>
    <r>
      <rPr>
        <color rgb="FF1155CC"/>
        <u/>
      </rPr>
      <t>27-14794-42713</t>
    </r>
  </si>
  <si>
    <r>
      <rPr>
        <color rgb="FF1155CC"/>
        <u/>
      </rPr>
      <t>22-14819-14879</t>
    </r>
  </si>
  <si>
    <t>MGT61844003</t>
  </si>
  <si>
    <r>
      <rPr>
        <color rgb="FF1155CC"/>
        <u/>
      </rPr>
      <t>23-14820-12506</t>
    </r>
  </si>
  <si>
    <r>
      <rPr>
        <rFont val="Arial"/>
        <color rgb="FF434343"/>
      </rPr>
      <t>WB24X47190</t>
    </r>
  </si>
  <si>
    <r>
      <rPr>
        <color rgb="FF1155CC"/>
        <u/>
      </rPr>
      <t>19-14828-90543</t>
    </r>
  </si>
  <si>
    <r>
      <rPr>
        <color rgb="FF1155CC"/>
        <u/>
      </rPr>
      <t>01-14744-93902</t>
    </r>
  </si>
  <si>
    <t>wb27x35127</t>
  </si>
  <si>
    <r>
      <rPr>
        <color rgb="FF1155CC"/>
        <u/>
      </rPr>
      <t>03-14853-99257</t>
    </r>
  </si>
  <si>
    <r>
      <rPr>
        <color rgb="FF1155CC"/>
        <u/>
      </rPr>
      <t>23-14825-67123</t>
    </r>
  </si>
  <si>
    <r>
      <rPr>
        <color rgb="FF1155CC"/>
        <u/>
      </rPr>
      <t>03-14857-68669</t>
    </r>
  </si>
  <si>
    <r>
      <rPr>
        <color rgb="FF1155CC"/>
        <u/>
      </rPr>
      <t>20-14824-80740</t>
    </r>
  </si>
  <si>
    <t>MP Shipped</t>
  </si>
  <si>
    <r>
      <rPr>
        <color rgb="FF1155CC"/>
        <u/>
      </rPr>
      <t>02-14795-29524</t>
    </r>
  </si>
  <si>
    <t xml:space="preserve">item was fully refunded because it was received damaged to cx </t>
  </si>
  <si>
    <r>
      <rPr>
        <color rgb="FF1155CC"/>
        <u/>
      </rPr>
      <t>02-14867-16983</t>
    </r>
  </si>
  <si>
    <r>
      <rPr>
        <color rgb="FF1155CC"/>
        <u/>
      </rPr>
      <t>01-14874-91493</t>
    </r>
  </si>
  <si>
    <r>
      <rPr>
        <color rgb="FF1155CC"/>
        <u/>
      </rPr>
      <t>04-14872-22273</t>
    </r>
  </si>
  <si>
    <t xml:space="preserve">Buyer requested Cancellation </t>
  </si>
  <si>
    <r>
      <rPr>
        <color rgb="FF1155CC"/>
        <u/>
      </rPr>
      <t>13-14748-12783</t>
    </r>
  </si>
  <si>
    <t xml:space="preserve">International return. No refund. </t>
  </si>
  <si>
    <r>
      <rPr>
        <color rgb="FF1155CC"/>
        <u/>
      </rPr>
      <t>22-14837-14691</t>
    </r>
  </si>
  <si>
    <r>
      <rPr>
        <color rgb="FF1155CC"/>
        <u/>
      </rPr>
      <t>22-14839-64992</t>
    </r>
  </si>
  <si>
    <r>
      <rPr>
        <color rgb="FF1155CC"/>
        <u/>
      </rPr>
      <t>06-14866-82490</t>
    </r>
  </si>
  <si>
    <t>WE03X298297</t>
  </si>
  <si>
    <r>
      <rPr>
        <color rgb="FF1155CC"/>
        <u/>
      </rPr>
      <t>06-14866-90620</t>
    </r>
  </si>
  <si>
    <r>
      <rPr>
        <color rgb="FF1155CC"/>
        <u/>
      </rPr>
      <t>06-14864-06222</t>
    </r>
  </si>
  <si>
    <r>
      <rPr>
        <color rgb="FF1155CC"/>
        <u/>
      </rPr>
      <t>27-14825-90177</t>
    </r>
  </si>
  <si>
    <r>
      <rPr>
        <color rgb="FF1155CC"/>
        <u/>
      </rPr>
      <t>07-14857-70585</t>
    </r>
  </si>
  <si>
    <r>
      <rPr>
        <color rgb="FF1155CC"/>
        <u/>
      </rPr>
      <t>23-14828-62727</t>
    </r>
  </si>
  <si>
    <r>
      <rPr>
        <color rgb="FF1155CC"/>
        <u/>
      </rPr>
      <t>07-14855-67571</t>
    </r>
  </si>
  <si>
    <r>
      <rPr>
        <color rgb="FF1155CC"/>
        <u/>
      </rPr>
      <t>22-14830-21333</t>
    </r>
  </si>
  <si>
    <t>18-14848-92738</t>
  </si>
  <si>
    <r>
      <rPr>
        <color rgb="FF1155CC"/>
        <u/>
      </rPr>
      <t>09-14850-32294</t>
    </r>
  </si>
  <si>
    <r>
      <rPr>
        <color rgb="FF1155CC"/>
        <u/>
      </rPr>
      <t>04-14858-89204</t>
    </r>
  </si>
  <si>
    <r>
      <rPr>
        <color rgb="FF1155CC"/>
        <u/>
      </rPr>
      <t>15-14850-75074</t>
    </r>
  </si>
  <si>
    <r>
      <rPr>
        <color rgb="FF1155CC"/>
        <u/>
      </rPr>
      <t>26-14722-32131</t>
    </r>
  </si>
  <si>
    <r>
      <rPr>
        <color rgb="FF1155CC"/>
        <u/>
      </rPr>
      <t>23-14825-94554</t>
    </r>
  </si>
  <si>
    <t xml:space="preserve">DC96-00790G </t>
  </si>
  <si>
    <r>
      <rPr>
        <color rgb="FF1155CC"/>
        <u/>
      </rPr>
      <t>12-14858-87903</t>
    </r>
  </si>
  <si>
    <r>
      <rPr>
        <color rgb="FF1155CC"/>
        <u/>
      </rPr>
      <t>01-14878-40414</t>
    </r>
  </si>
  <si>
    <r>
      <rPr>
        <color rgb="FF1155CC"/>
        <u/>
      </rPr>
      <t>26-14824-47769</t>
    </r>
  </si>
  <si>
    <t xml:space="preserve"> DA97-19028B</t>
  </si>
  <si>
    <r>
      <rPr>
        <color rgb="FF1155CC"/>
        <u/>
      </rPr>
      <t>16-14848-68300</t>
    </r>
  </si>
  <si>
    <t xml:space="preserve">WR86X10094 </t>
  </si>
  <si>
    <r>
      <rPr>
        <color rgb="FF1155CC"/>
        <u/>
      </rPr>
      <t>07-14861-05416</t>
    </r>
  </si>
  <si>
    <r>
      <rPr>
        <color rgb="FF1155CC"/>
        <u/>
      </rPr>
      <t>04-14862-92269</t>
    </r>
  </si>
  <si>
    <t>MJX64471506</t>
  </si>
  <si>
    <r>
      <rPr>
        <color rgb="FF1155CC"/>
        <u/>
      </rPr>
      <t>06-14861-19406</t>
    </r>
  </si>
  <si>
    <r>
      <rPr>
        <color rgb="FF1155CC"/>
        <u/>
      </rPr>
      <t>12-14847-49812</t>
    </r>
  </si>
  <si>
    <t xml:space="preserve">shipped from ATL </t>
  </si>
  <si>
    <r>
      <rPr>
        <color rgb="FF1155CC"/>
        <u/>
      </rPr>
      <t>20-14845-01465</t>
    </r>
  </si>
  <si>
    <t>SHIPPED FROM NV</t>
  </si>
  <si>
    <r>
      <rPr>
        <color rgb="FF1155CC"/>
        <u/>
      </rPr>
      <t>10-14810-04648</t>
    </r>
  </si>
  <si>
    <r>
      <rPr>
        <color rgb="FF1155CC"/>
        <u/>
      </rPr>
      <t>22-14843-48447</t>
    </r>
  </si>
  <si>
    <t>AEQ731102288</t>
  </si>
  <si>
    <r>
      <rPr>
        <color rgb="FF1155CC"/>
        <u/>
      </rPr>
      <t>06-14870-10165</t>
    </r>
  </si>
  <si>
    <r>
      <rPr>
        <color rgb="FF1155CC"/>
        <u/>
      </rPr>
      <t>19-14847-79372</t>
    </r>
  </si>
  <si>
    <r>
      <rPr>
        <color rgb="FF1155CC"/>
        <u/>
      </rPr>
      <t>03-14874-60602</t>
    </r>
  </si>
  <si>
    <t>DG31-00014F</t>
  </si>
  <si>
    <r>
      <rPr>
        <color rgb="FF1155CC"/>
        <u/>
      </rPr>
      <t>21-14794-07602</t>
    </r>
  </si>
  <si>
    <r>
      <rPr>
        <color rgb="FF1155CC"/>
        <u/>
      </rPr>
      <t>16-14855-78489</t>
    </r>
  </si>
  <si>
    <r>
      <rPr>
        <color rgb="FF1155CC"/>
        <u/>
      </rPr>
      <t>24-14856-03826</t>
    </r>
  </si>
  <si>
    <r>
      <rPr>
        <color rgb="FF1155CC"/>
        <u/>
      </rPr>
      <t>10-14830-16458</t>
    </r>
  </si>
  <si>
    <r>
      <rPr>
        <rFont val="Arial"/>
        <color rgb="FF434343"/>
        <sz val="10.0"/>
      </rPr>
      <t>DC97-21446D</t>
    </r>
  </si>
  <si>
    <r>
      <rPr>
        <color rgb="FF1155CC"/>
        <u/>
      </rPr>
      <t>14-14860-22133</t>
    </r>
  </si>
  <si>
    <r>
      <rPr>
        <color rgb="FF1155CC"/>
        <u/>
      </rPr>
      <t>04-14877-97697</t>
    </r>
  </si>
  <si>
    <t>"no longer registered user"</t>
  </si>
  <si>
    <r>
      <rPr>
        <color rgb="FF1155CC"/>
        <u/>
      </rPr>
      <t>22-14846-58621</t>
    </r>
  </si>
  <si>
    <r>
      <rPr>
        <color rgb="FF1155CC"/>
        <u/>
      </rPr>
      <t>01-14880-67544</t>
    </r>
  </si>
  <si>
    <r>
      <rPr>
        <color rgb="FF1155CC"/>
        <u/>
      </rPr>
      <t>10-14866-68241</t>
    </r>
  </si>
  <si>
    <r>
      <rPr>
        <color rgb="FF1155CC"/>
        <u/>
      </rPr>
      <t>07-14872-83551</t>
    </r>
  </si>
  <si>
    <r>
      <rPr>
        <color rgb="FF1155CC"/>
        <u/>
      </rPr>
      <t>17-14852-60529</t>
    </r>
  </si>
  <si>
    <t>No Stock all Branches</t>
  </si>
  <si>
    <r>
      <rPr>
        <color rgb="FF1155CC"/>
        <u/>
      </rPr>
      <t>05-14876-64228</t>
    </r>
  </si>
  <si>
    <t>WD21X36561</t>
  </si>
  <si>
    <t>01-14887-84334</t>
  </si>
  <si>
    <t>WB62X47097</t>
  </si>
  <si>
    <r>
      <rPr>
        <color rgb="FF1155CC"/>
        <u/>
      </rPr>
      <t>20-14854-70197</t>
    </r>
  </si>
  <si>
    <r>
      <rPr>
        <color rgb="FF1155CC"/>
        <u/>
      </rPr>
      <t>23-14847-43340</t>
    </r>
  </si>
  <si>
    <t>WE22X34277</t>
  </si>
  <si>
    <r>
      <rPr>
        <color rgb="FF1155CC"/>
        <u/>
      </rPr>
      <t>05-14877-18081</t>
    </r>
  </si>
  <si>
    <r>
      <rPr>
        <color rgb="FF1155CC"/>
        <u/>
      </rPr>
      <t>20-14700-22057</t>
    </r>
  </si>
  <si>
    <r>
      <rPr>
        <color rgb="FF1155CC"/>
        <u/>
      </rPr>
      <t>01-14888-11497</t>
    </r>
  </si>
  <si>
    <r>
      <rPr>
        <color rgb="FF1155CC"/>
        <u/>
      </rPr>
      <t>02-14885-42110</t>
    </r>
  </si>
  <si>
    <t>has bracket only....NO STOCK ALL BRANCHES</t>
  </si>
  <si>
    <r>
      <rPr>
        <color rgb="FF1155CC"/>
        <u/>
      </rPr>
      <t>14-14866-13045</t>
    </r>
  </si>
  <si>
    <t xml:space="preserve">atl will send out for JT since PM is on vacation this week </t>
  </si>
  <si>
    <r>
      <rPr>
        <color rgb="FF1155CC"/>
        <u/>
      </rPr>
      <t>19-14858-44436</t>
    </r>
  </si>
  <si>
    <r>
      <rPr>
        <color rgb="FF1155CC"/>
        <u/>
      </rPr>
      <t>07-14879-01918</t>
    </r>
  </si>
  <si>
    <r>
      <rPr>
        <color rgb="FF1155CC"/>
        <u/>
      </rPr>
      <t>13-14870-69757</t>
    </r>
  </si>
  <si>
    <r>
      <rPr>
        <color rgb="FF1155CC"/>
        <u/>
      </rPr>
      <t>02-14885-42110</t>
    </r>
  </si>
  <si>
    <r>
      <rPr>
        <color rgb="FF1155CC"/>
        <u/>
      </rPr>
      <t>22-14856-12974</t>
    </r>
  </si>
  <si>
    <r>
      <rPr>
        <color rgb="FF1155CC"/>
        <u/>
      </rPr>
      <t>26-14846-77524</t>
    </r>
  </si>
  <si>
    <t>23-14855-23142</t>
  </si>
  <si>
    <r>
      <rPr>
        <color rgb="FF1155CC"/>
        <u/>
      </rPr>
      <t>01-14894-26222</t>
    </r>
  </si>
  <si>
    <r>
      <rPr>
        <color rgb="FF1155CC"/>
        <u/>
      </rPr>
      <t>24-14867-75701</t>
    </r>
  </si>
  <si>
    <r>
      <rPr>
        <color rgb="FF1155CC"/>
        <u/>
      </rPr>
      <t>22-14856-65307</t>
    </r>
  </si>
  <si>
    <t>WD21X36098</t>
  </si>
  <si>
    <r>
      <rPr>
        <color rgb="FF1155CC"/>
        <u/>
      </rPr>
      <t>11-14875-29580</t>
    </r>
  </si>
  <si>
    <t>DG94-04109A</t>
  </si>
  <si>
    <r>
      <rPr>
        <color rgb="FF1155CC"/>
        <u/>
      </rPr>
      <t>20-14862-32276</t>
    </r>
  </si>
  <si>
    <r>
      <rPr>
        <color rgb="FF1155CC"/>
        <u/>
      </rPr>
      <t>24-14871-72160</t>
    </r>
  </si>
  <si>
    <r>
      <rPr>
        <color rgb="FF1155CC"/>
        <u/>
      </rPr>
      <t>01-14902-71894</t>
    </r>
  </si>
  <si>
    <r>
      <rPr>
        <color rgb="FF1155CC"/>
        <u/>
      </rPr>
      <t>25-14858-06125</t>
    </r>
  </si>
  <si>
    <r>
      <rPr>
        <color rgb="FF1155CC"/>
        <u/>
      </rPr>
      <t>20-14865-78248</t>
    </r>
  </si>
  <si>
    <r>
      <rPr>
        <color rgb="FF1155CC"/>
        <u/>
      </rPr>
      <t>27-14852-57027</t>
    </r>
  </si>
  <si>
    <r>
      <rPr>
        <color rgb="FF1155CC"/>
        <u/>
      </rPr>
      <t>23-14858-85895</t>
    </r>
  </si>
  <si>
    <r>
      <rPr>
        <color rgb="FF1155CC"/>
        <u/>
      </rPr>
      <t>08-14806-90829</t>
    </r>
  </si>
  <si>
    <t xml:space="preserve">cx did not like item </t>
  </si>
  <si>
    <r>
      <rPr>
        <color rgb="FF1155CC"/>
        <u/>
      </rPr>
      <t>17-14869-13462</t>
    </r>
  </si>
  <si>
    <t>TL to ship</t>
  </si>
  <si>
    <r>
      <rPr>
        <color rgb="FF1155CC"/>
        <u/>
      </rPr>
      <t>17-14869-13462</t>
    </r>
  </si>
  <si>
    <r>
      <rPr>
        <color rgb="FF1155CC"/>
        <u/>
      </rPr>
      <t>24-14875-82735</t>
    </r>
  </si>
  <si>
    <t>EBR89295701</t>
  </si>
  <si>
    <r>
      <rPr>
        <color rgb="FF1155CC"/>
        <u/>
      </rPr>
      <t>07-14888-71916</t>
    </r>
  </si>
  <si>
    <r>
      <rPr>
        <color rgb="FF1155CC"/>
        <u/>
      </rPr>
      <t>27-14862-46720</t>
    </r>
  </si>
  <si>
    <t>DC97-14486A</t>
  </si>
  <si>
    <t>label sent/shipping from STL</t>
  </si>
  <si>
    <r>
      <rPr>
        <color rgb="FF1155CC"/>
        <u/>
      </rPr>
      <t>12-14883-05419</t>
    </r>
  </si>
  <si>
    <r>
      <rPr>
        <color rgb="FF1155CC"/>
        <u/>
      </rPr>
      <t>19-14870-39030</t>
    </r>
  </si>
  <si>
    <r>
      <rPr>
        <color rgb="FF1155CC"/>
        <u/>
      </rPr>
      <t>09-14893-12889</t>
    </r>
  </si>
  <si>
    <r>
      <rPr>
        <color rgb="FF1155CC"/>
        <u/>
      </rPr>
      <t>22-14871-28196</t>
    </r>
  </si>
  <si>
    <r>
      <rPr>
        <color rgb="FF1155CC"/>
        <u/>
      </rPr>
      <t>03-14900-45762</t>
    </r>
  </si>
  <si>
    <t>shipping from CT/label sent/CT listing removed</t>
  </si>
  <si>
    <r>
      <rPr>
        <color rgb="FF1155CC"/>
        <u/>
      </rPr>
      <t>24-14876-30178</t>
    </r>
  </si>
  <si>
    <t>label sent/ shipping from ATL/ATL listing removed</t>
  </si>
  <si>
    <r>
      <rPr>
        <color rgb="FF1155CC"/>
        <u/>
      </rPr>
      <t>08-14884-77669</t>
    </r>
  </si>
  <si>
    <t xml:space="preserve">DD61-00655A </t>
  </si>
  <si>
    <r>
      <rPr>
        <color rgb="FF1155CC"/>
        <u/>
      </rPr>
      <t>14-14884-93465</t>
    </r>
  </si>
  <si>
    <t>NF54M7151ANSM9</t>
  </si>
  <si>
    <r>
      <rPr>
        <color rgb="FF1155CC"/>
        <u/>
      </rPr>
      <t>25-14699-50276</t>
    </r>
  </si>
  <si>
    <t>"Doesn't match description or photos"</t>
  </si>
  <si>
    <r>
      <rPr>
        <color rgb="FF1155CC"/>
        <u/>
      </rPr>
      <t>06-14887-76998</t>
    </r>
  </si>
  <si>
    <r>
      <rPr>
        <color rgb="FF1155CC"/>
        <u/>
      </rPr>
      <t>09-14888-37402</t>
    </r>
  </si>
  <si>
    <r>
      <rPr>
        <color rgb="FF1155CC"/>
        <u/>
      </rPr>
      <t>14-14799-53545</t>
    </r>
  </si>
  <si>
    <t>"Wrong item sent"</t>
  </si>
  <si>
    <r>
      <rPr>
        <color rgb="FF1155CC"/>
        <u/>
      </rPr>
      <t>27-14780-93824</t>
    </r>
  </si>
  <si>
    <r>
      <rPr>
        <color rgb="FF1155CC"/>
        <u/>
      </rPr>
      <t>13-14805-15659</t>
    </r>
  </si>
  <si>
    <r>
      <rPr>
        <rFont val="Arial"/>
        <color rgb="FF434343"/>
      </rPr>
      <t>WB27X32101</t>
    </r>
  </si>
  <si>
    <t>"Just didn't like it"</t>
  </si>
  <si>
    <r>
      <rPr>
        <color rgb="FF1155CC"/>
        <u/>
      </rPr>
      <t>22-14862-62906</t>
    </r>
  </si>
  <si>
    <r>
      <rPr>
        <color rgb="FF1155CC"/>
        <u/>
      </rPr>
      <t>17-14883-25235</t>
    </r>
  </si>
  <si>
    <r>
      <rPr>
        <color rgb="FF1155CC"/>
        <u/>
      </rPr>
      <t>07-14898-09636</t>
    </r>
  </si>
  <si>
    <r>
      <rPr>
        <color rgb="FF1155CC"/>
        <u/>
      </rPr>
      <t>07-14798-26062</t>
    </r>
  </si>
  <si>
    <t>wd21x35779</t>
  </si>
  <si>
    <r>
      <rPr>
        <color rgb="FF1155CC"/>
        <u/>
      </rPr>
      <t>15-14821-71461</t>
    </r>
  </si>
  <si>
    <t>dc93-00678a</t>
  </si>
  <si>
    <t>International return. no refund</t>
  </si>
  <si>
    <r>
      <rPr>
        <color rgb="FF1155CC"/>
        <u/>
      </rPr>
      <t>05-14903-22127</t>
    </r>
  </si>
  <si>
    <r>
      <rPr>
        <color rgb="FF1155CC"/>
        <u/>
      </rPr>
      <t>25-14868-14680</t>
    </r>
  </si>
  <si>
    <r>
      <rPr>
        <color rgb="FF1155CC"/>
        <u/>
      </rPr>
      <t>27-14865-92145</t>
    </r>
  </si>
  <si>
    <t>DD62-00050A</t>
  </si>
  <si>
    <r>
      <rPr>
        <color rgb="FF1155CC"/>
        <u/>
      </rPr>
      <t>12-14892-86743</t>
    </r>
  </si>
  <si>
    <r>
      <rPr>
        <color rgb="FF1155CC"/>
        <u/>
      </rPr>
      <t>01-14833-95517</t>
    </r>
  </si>
  <si>
    <r>
      <rPr>
        <color rgb="FF1155CC"/>
        <u/>
      </rPr>
      <t>05-14905-47620</t>
    </r>
  </si>
  <si>
    <t>shipping from NV/label sent</t>
  </si>
  <si>
    <r>
      <rPr>
        <color rgb="FF1155CC"/>
        <u/>
      </rPr>
      <t>03-14909-24046</t>
    </r>
  </si>
  <si>
    <t xml:space="preserve">WE4M448 </t>
  </si>
  <si>
    <r>
      <rPr>
        <color rgb="FF1155CC"/>
        <u/>
      </rPr>
      <t>07-14902-39276</t>
    </r>
  </si>
  <si>
    <r>
      <rPr>
        <color rgb="FF1155CC"/>
        <u/>
      </rPr>
      <t>25-14871-68001</t>
    </r>
  </si>
  <si>
    <r>
      <rPr>
        <color rgb="FF1155CC"/>
        <u/>
      </rPr>
      <t>06-14907-28980</t>
    </r>
  </si>
  <si>
    <r>
      <rPr>
        <color rgb="FF1155CC"/>
        <u/>
      </rPr>
      <t>14-14881-34924</t>
    </r>
  </si>
  <si>
    <r>
      <rPr>
        <color rgb="FF1155CC"/>
        <u/>
      </rPr>
      <t>13-14892-53870</t>
    </r>
  </si>
  <si>
    <t xml:space="preserve">MESSAGE SENT WITH TRACKING </t>
  </si>
  <si>
    <r>
      <rPr>
        <color rgb="FF1155CC"/>
        <u/>
      </rPr>
      <t>10-14897-15392</t>
    </r>
  </si>
  <si>
    <r>
      <rPr>
        <color rgb="FF1155CC"/>
        <u/>
      </rPr>
      <t>06-14905-22801</t>
    </r>
  </si>
  <si>
    <t>DA82-02903A</t>
  </si>
  <si>
    <r>
      <rPr>
        <color rgb="FF1155CC"/>
        <u/>
      </rPr>
      <t>17-14888-66325</t>
    </r>
  </si>
  <si>
    <r>
      <rPr>
        <color rgb="FF1155CC"/>
        <u/>
      </rPr>
      <t>16-14886-92222</t>
    </r>
  </si>
  <si>
    <t xml:space="preserve">AEQ73110219 </t>
  </si>
  <si>
    <r>
      <rPr>
        <color rgb="FF1155CC"/>
        <u/>
      </rPr>
      <t>21-14881-65614</t>
    </r>
  </si>
  <si>
    <r>
      <rPr>
        <color rgb="FF1155CC"/>
        <u/>
      </rPr>
      <t>03-14915-24189</t>
    </r>
  </si>
  <si>
    <t>k2082184</t>
  </si>
  <si>
    <r>
      <rPr>
        <color rgb="FF1155CC"/>
        <u/>
      </rPr>
      <t>05-14912-05435</t>
    </r>
  </si>
  <si>
    <t>WH22X36857</t>
  </si>
  <si>
    <r>
      <rPr>
        <color rgb="FF1155CC"/>
        <u/>
      </rPr>
      <t>21-14882-28059</t>
    </r>
  </si>
  <si>
    <r>
      <rPr>
        <color rgb="FF1155CC"/>
        <u/>
      </rPr>
      <t>17-14892-25720</t>
    </r>
  </si>
  <si>
    <r>
      <rPr>
        <color rgb="FF1155CC"/>
        <u/>
      </rPr>
      <t>27-14875-14265</t>
    </r>
  </si>
  <si>
    <r>
      <rPr>
        <color rgb="FF1155CC"/>
        <u/>
      </rPr>
      <t>10-14903-69259</t>
    </r>
  </si>
  <si>
    <r>
      <rPr>
        <color rgb="FF1155CC"/>
        <u/>
      </rPr>
      <t>13-14870-69757</t>
    </r>
  </si>
  <si>
    <t xml:space="preserve">WR14X29279 </t>
  </si>
  <si>
    <t>"Doesn't fit"</t>
  </si>
  <si>
    <r>
      <rPr>
        <color rgb="FF1155CC"/>
        <u/>
      </rPr>
      <t>02-14916-43081</t>
    </r>
  </si>
  <si>
    <t>WD21X33703</t>
  </si>
  <si>
    <r>
      <rPr>
        <color rgb="FF1155CC"/>
        <u/>
      </rPr>
      <t>12-14899-54077</t>
    </r>
  </si>
  <si>
    <t>PM says he dropped it off 7/20/2026, not tracking update yet</t>
  </si>
  <si>
    <r>
      <rPr>
        <color rgb="FF1155CC"/>
        <u/>
      </rPr>
      <t>18-14892-57918</t>
    </r>
  </si>
  <si>
    <t>25-14880-29677</t>
  </si>
  <si>
    <t>AJK73229710</t>
  </si>
  <si>
    <r>
      <rPr>
        <color rgb="FF1155CC"/>
        <u/>
      </rPr>
      <t>04-14918-05825</t>
    </r>
  </si>
  <si>
    <r>
      <rPr>
        <rFont val="Arial"/>
        <color rgb="FF434343"/>
      </rPr>
      <t>WD21X32900</t>
    </r>
  </si>
  <si>
    <r>
      <rPr>
        <color rgb="FF1155CC"/>
        <u/>
      </rPr>
      <t>13-14901-93544</t>
    </r>
  </si>
  <si>
    <t>DA94-05311M</t>
  </si>
  <si>
    <t>Error in listing price</t>
  </si>
  <si>
    <r>
      <rPr>
        <color rgb="FF1155CC"/>
        <u/>
      </rPr>
      <t>18-14894-07951</t>
    </r>
  </si>
  <si>
    <r>
      <rPr>
        <color rgb="FF1155CC"/>
        <u/>
      </rPr>
      <t>02-14867-16983</t>
    </r>
  </si>
  <si>
    <r>
      <rPr>
        <color rgb="FF1155CC"/>
        <u/>
      </rPr>
      <t>24-14897-12839</t>
    </r>
  </si>
  <si>
    <t>19-14891-16109</t>
  </si>
  <si>
    <t>18-14891-88284</t>
  </si>
  <si>
    <r>
      <rPr>
        <color rgb="FF1155CC"/>
        <u/>
      </rPr>
      <t>10-14905-29604</t>
    </r>
  </si>
  <si>
    <r>
      <rPr>
        <color rgb="FF1155CC"/>
        <u/>
      </rPr>
      <t>22-14884-42662</t>
    </r>
  </si>
  <si>
    <t xml:space="preserve">COULD NOT LOCATE </t>
  </si>
  <si>
    <r>
      <rPr>
        <color rgb="FF1155CC"/>
        <u/>
      </rPr>
      <t>17-14896-96445</t>
    </r>
  </si>
  <si>
    <r>
      <rPr>
        <color rgb="FF1155CC"/>
        <u/>
      </rPr>
      <t>07-14923-21351</t>
    </r>
  </si>
  <si>
    <r>
      <rPr>
        <color rgb="FF1155CC"/>
        <u/>
      </rPr>
      <t>23-14891-40204</t>
    </r>
  </si>
  <si>
    <r>
      <rPr>
        <color rgb="FF1155CC"/>
        <u/>
      </rPr>
      <t>21-14896-91504</t>
    </r>
  </si>
  <si>
    <t>DA97-13015D</t>
  </si>
  <si>
    <r>
      <rPr>
        <color rgb="FF1155CC"/>
        <u/>
      </rPr>
      <t>19-14896-82975</t>
    </r>
  </si>
  <si>
    <r>
      <rPr>
        <color rgb="FF1155CC"/>
        <u/>
      </rPr>
      <t>21-14894-59254</t>
    </r>
  </si>
  <si>
    <r>
      <rPr>
        <color rgb="FF1155CC"/>
        <u/>
      </rPr>
      <t>20-14897-94822</t>
    </r>
  </si>
  <si>
    <r>
      <rPr>
        <color rgb="FF1155CC"/>
        <u/>
      </rPr>
      <t>23-14894-96028</t>
    </r>
  </si>
  <si>
    <r>
      <rPr>
        <rFont val="Arial"/>
        <color rgb="FF434343"/>
      </rPr>
      <t>WR87X28340</t>
    </r>
  </si>
  <si>
    <r>
      <rPr>
        <color rgb="FF1155CC"/>
        <u/>
      </rPr>
      <t>16-14910-41858</t>
    </r>
  </si>
  <si>
    <r>
      <rPr>
        <color rgb="FF1155CC"/>
        <u/>
      </rPr>
      <t>15-14909-22424</t>
    </r>
  </si>
  <si>
    <t>13-14916-24809</t>
  </si>
  <si>
    <r>
      <rPr>
        <color rgb="FF1155CC"/>
        <u/>
      </rPr>
      <t>09-14917-42914</t>
    </r>
  </si>
  <si>
    <t>06-14917-24548</t>
  </si>
  <si>
    <t>ACZ74070504</t>
  </si>
  <si>
    <r>
      <rPr>
        <color rgb="FF1155CC"/>
        <u/>
      </rPr>
      <t>01-14936-93409</t>
    </r>
  </si>
  <si>
    <r>
      <rPr>
        <color rgb="FF1155CC"/>
        <u/>
      </rPr>
      <t>26-14882-24825</t>
    </r>
  </si>
  <si>
    <t>WB56X35684</t>
  </si>
  <si>
    <r>
      <rPr>
        <color rgb="FF1155CC"/>
        <u/>
      </rPr>
      <t>09-14927-45069</t>
    </r>
  </si>
  <si>
    <r>
      <rPr>
        <color rgb="FF1155CC"/>
        <u/>
      </rPr>
      <t>11-14922-67583</t>
    </r>
  </si>
  <si>
    <r>
      <rPr>
        <color rgb="FF1155CC"/>
        <u/>
      </rPr>
      <t>05-14933-17530</t>
    </r>
  </si>
  <si>
    <r>
      <rPr>
        <color rgb="FF1155CC"/>
        <u/>
      </rPr>
      <t>26-14895-71211</t>
    </r>
  </si>
  <si>
    <r>
      <rPr>
        <color rgb="FF1155CC"/>
        <u/>
      </rPr>
      <t>03-14936-09029</t>
    </r>
  </si>
  <si>
    <t xml:space="preserve">MESSAGE WITH TRACKING SENT </t>
  </si>
  <si>
    <r>
      <rPr>
        <color rgb="FF1155CC"/>
        <u/>
      </rPr>
      <t>22-14802-54075</t>
    </r>
  </si>
  <si>
    <t xml:space="preserve">CX changed mind </t>
  </si>
  <si>
    <r>
      <rPr>
        <color rgb="FF1155CC"/>
        <u/>
      </rPr>
      <t>23-14890-32974</t>
    </r>
  </si>
  <si>
    <t xml:space="preserve">No stock all Branches. </t>
  </si>
  <si>
    <r>
      <rPr>
        <color rgb="FF1155CC"/>
        <u/>
      </rPr>
      <t>26-14893-33683</t>
    </r>
  </si>
  <si>
    <r>
      <rPr>
        <color rgb="FF1155CC"/>
        <u/>
      </rPr>
      <t>21-14903-23302</t>
    </r>
  </si>
  <si>
    <r>
      <rPr>
        <color rgb="FF1155CC"/>
        <u/>
      </rPr>
      <t>05-14936-08299</t>
    </r>
  </si>
  <si>
    <r>
      <rPr>
        <color rgb="FF1155CC"/>
        <u/>
      </rPr>
      <t>06-14933-27195</t>
    </r>
  </si>
  <si>
    <r>
      <rPr>
        <color rgb="FF1155CC"/>
        <u/>
      </rPr>
      <t>14-14920-21381</t>
    </r>
  </si>
  <si>
    <r>
      <rPr>
        <rFont val="Arial"/>
        <color rgb="FF434343"/>
      </rPr>
      <t>WR57X36626</t>
    </r>
  </si>
  <si>
    <r>
      <rPr>
        <color rgb="FF1155CC"/>
        <u/>
      </rPr>
      <t>08-14930-80188</t>
    </r>
  </si>
  <si>
    <r>
      <rPr>
        <color rgb="FF1155CC"/>
        <u/>
      </rPr>
      <t>17-14914-72053</t>
    </r>
  </si>
  <si>
    <r>
      <rPr>
        <color rgb="FF1155CC"/>
        <u/>
      </rPr>
      <t>23-14905-50835</t>
    </r>
  </si>
  <si>
    <t>AJK73229722</t>
  </si>
  <si>
    <r>
      <rPr>
        <color rgb="FF1155CC"/>
        <u/>
      </rPr>
      <t>11-14928-92326</t>
    </r>
  </si>
  <si>
    <t>DC93-00821A</t>
  </si>
  <si>
    <r>
      <rPr>
        <color rgb="FF1155CC"/>
        <u/>
      </rPr>
      <t>22-14839-64992</t>
    </r>
  </si>
  <si>
    <t xml:space="preserve">CX DID NOT LIKE </t>
  </si>
  <si>
    <r>
      <rPr>
        <color rgb="FF1155CC"/>
        <u/>
      </rPr>
      <t>15-14921-67230</t>
    </r>
  </si>
  <si>
    <r>
      <rPr>
        <color rgb="FF1155CC"/>
        <u/>
      </rPr>
      <t>24-14921-91484</t>
    </r>
  </si>
  <si>
    <t xml:space="preserve">message with tracking sent to cx </t>
  </si>
  <si>
    <r>
      <rPr>
        <color rgb="FF1155CC"/>
        <u/>
      </rPr>
      <t>05-14941-75796</t>
    </r>
  </si>
  <si>
    <r>
      <rPr>
        <color rgb="FF1155CC"/>
        <u/>
      </rPr>
      <t>09-14850-32294</t>
    </r>
  </si>
  <si>
    <r>
      <rPr>
        <color rgb="FF1155CC"/>
        <u/>
      </rPr>
      <t>21-14913-53488</t>
    </r>
  </si>
  <si>
    <r>
      <rPr>
        <color rgb="FF1155CC"/>
        <u/>
      </rPr>
      <t>18-14918-60709</t>
    </r>
  </si>
  <si>
    <r>
      <rPr>
        <rFont val="Arial"/>
        <color rgb="FF434343"/>
      </rPr>
      <t>WH22X35541</t>
    </r>
  </si>
  <si>
    <r>
      <rPr>
        <color rgb="FF1155CC"/>
        <u/>
      </rPr>
      <t>14-14928-63226</t>
    </r>
  </si>
  <si>
    <t xml:space="preserve">WR30X39470 </t>
  </si>
  <si>
    <r>
      <rPr>
        <color rgb="FF1155CC"/>
        <u/>
      </rPr>
      <t>15-14929-93417</t>
    </r>
  </si>
  <si>
    <t xml:space="preserve">WD19X25461 </t>
  </si>
  <si>
    <t>went out with fedex but hasnt updated yet , dont know if he scanned it properly (hes new)</t>
  </si>
  <si>
    <r>
      <rPr>
        <color rgb="FF1155CC"/>
        <u/>
      </rPr>
      <t>05-14944-49266</t>
    </r>
  </si>
  <si>
    <r>
      <rPr>
        <color rgb="FF1155CC"/>
        <u/>
      </rPr>
      <t>19-14924-71020</t>
    </r>
  </si>
  <si>
    <t>DC92-02118A</t>
  </si>
  <si>
    <r>
      <rPr>
        <color rgb="FF1155CC"/>
        <u/>
      </rPr>
      <t>18-14926-53017</t>
    </r>
  </si>
  <si>
    <r>
      <rPr>
        <color rgb="FF1155CC"/>
        <u/>
      </rPr>
      <t>14-14934-46921</t>
    </r>
  </si>
  <si>
    <t>No stock all branches</t>
  </si>
  <si>
    <r>
      <rPr>
        <color rgb="FF1155CC"/>
        <u/>
      </rPr>
      <t>12-14947-93888</t>
    </r>
  </si>
  <si>
    <r>
      <rPr>
        <color rgb="FF1155CC"/>
        <u/>
      </rPr>
      <t>18-14924-60060</t>
    </r>
  </si>
  <si>
    <r>
      <rPr>
        <color rgb="FF1155CC"/>
        <u/>
      </rPr>
      <t>19-14935-05363</t>
    </r>
  </si>
  <si>
    <r>
      <rPr>
        <color rgb="FF1155CC"/>
        <u/>
      </rPr>
      <t>14-14936-97577</t>
    </r>
  </si>
  <si>
    <r>
      <rPr>
        <color rgb="FF1155CC"/>
        <u/>
      </rPr>
      <t>19-14858-44436</t>
    </r>
  </si>
  <si>
    <t xml:space="preserve">CX NO LONGER NEEDED </t>
  </si>
  <si>
    <r>
      <rPr>
        <color rgb="FF1155CC"/>
        <u/>
      </rPr>
      <t>13-14940-33416</t>
    </r>
  </si>
  <si>
    <r>
      <rPr>
        <color rgb="FF1155CC"/>
        <u/>
      </rPr>
      <t>14-14938-00693</t>
    </r>
  </si>
  <si>
    <r>
      <rPr>
        <color rgb="FF1155CC"/>
        <u/>
      </rPr>
      <t>02-14916-43081</t>
    </r>
  </si>
  <si>
    <t>"just didnt like it"</t>
  </si>
  <si>
    <r>
      <rPr>
        <color rgb="FF1155CC"/>
        <u/>
      </rPr>
      <t>21-14881-65614</t>
    </r>
  </si>
  <si>
    <r>
      <rPr>
        <color rgb="FF1155CC"/>
        <u/>
      </rPr>
      <t>11-14940-03047</t>
    </r>
  </si>
  <si>
    <r>
      <rPr>
        <color rgb="FF1155CC"/>
        <u/>
      </rPr>
      <t>03-14957-27308</t>
    </r>
  </si>
  <si>
    <r>
      <rPr>
        <color rgb="FF1155CC"/>
        <u/>
      </rPr>
      <t>27-14921-59894</t>
    </r>
  </si>
  <si>
    <r>
      <rPr>
        <color rgb="FF1155CC"/>
        <u/>
      </rPr>
      <t>02-14970-87472</t>
    </r>
  </si>
  <si>
    <r>
      <rPr>
        <color rgb="FF1155CC"/>
        <u/>
      </rPr>
      <t>27-14925-28895</t>
    </r>
  </si>
  <si>
    <t xml:space="preserve">message sent to cx </t>
  </si>
  <si>
    <t>02-14968-86950</t>
  </si>
  <si>
    <r>
      <rPr>
        <color rgb="FF1155CC"/>
        <u/>
      </rPr>
      <t>06-14958-25253</t>
    </r>
  </si>
  <si>
    <r>
      <rPr>
        <color rgb="FF1155CC"/>
        <u/>
      </rPr>
      <t>07-14855-67571</t>
    </r>
  </si>
  <si>
    <t>cx changed mind refund issued by Amanda 7/28</t>
  </si>
  <si>
    <r>
      <rPr>
        <color rgb="FF1155CC"/>
        <u/>
      </rPr>
      <t>25-14858-06125</t>
    </r>
  </si>
  <si>
    <t>DC-97-16984C</t>
  </si>
  <si>
    <r>
      <rPr>
        <color rgb="FF1155CC"/>
        <u/>
      </rPr>
      <t>21-14936-59492</t>
    </r>
  </si>
  <si>
    <r>
      <rPr>
        <color rgb="FF1155CC"/>
        <u/>
      </rPr>
      <t>02-14970-74873</t>
    </r>
  </si>
  <si>
    <r>
      <rPr>
        <rFont val="Roboto"/>
        <color rgb="FF1155CC"/>
        <u/>
      </rPr>
      <t>24-14938-73965</t>
    </r>
  </si>
  <si>
    <t xml:space="preserve">AJU74852801 </t>
  </si>
  <si>
    <t xml:space="preserve">part not in TS </t>
  </si>
  <si>
    <r>
      <rPr>
        <color rgb="FF1155CC"/>
        <u/>
      </rPr>
      <t>08-14959-88101</t>
    </r>
  </si>
  <si>
    <r>
      <rPr>
        <color rgb="FF1155CC"/>
        <u/>
      </rPr>
      <t>22-14935-93597</t>
    </r>
  </si>
  <si>
    <t>Ignitor Part was damaged</t>
  </si>
  <si>
    <r>
      <rPr>
        <color rgb="FF1155CC"/>
        <u/>
      </rPr>
      <t>03-14971-21981</t>
    </r>
  </si>
  <si>
    <t>WB27X45670</t>
  </si>
  <si>
    <t xml:space="preserve">factory sealed, message sent to cx </t>
  </si>
  <si>
    <r>
      <rPr>
        <color rgb="FF1155CC"/>
        <u/>
      </rPr>
      <t>23-14935-93358</t>
    </r>
  </si>
  <si>
    <t>WH22x38438</t>
  </si>
  <si>
    <r>
      <rPr>
        <color rgb="FF1155CC"/>
        <u/>
      </rPr>
      <t>19-14942-65883</t>
    </r>
  </si>
  <si>
    <t>11-14958-95502</t>
  </si>
  <si>
    <t>12-14957-37092</t>
  </si>
  <si>
    <t xml:space="preserve">FACTORY SEALED, message sent to cx </t>
  </si>
  <si>
    <t>03-14973-12181</t>
  </si>
  <si>
    <r>
      <rPr>
        <color rgb="FF1155CC"/>
        <u/>
      </rPr>
      <t>19-14943-52725</t>
    </r>
  </si>
  <si>
    <r>
      <rPr>
        <color rgb="FF1155CC"/>
        <u/>
      </rPr>
      <t>01-14975-43533</t>
    </r>
  </si>
  <si>
    <r>
      <rPr>
        <color rgb="FF1155CC"/>
        <u/>
      </rPr>
      <t>22-14939-47070</t>
    </r>
  </si>
  <si>
    <r>
      <rPr>
        <color rgb="FF1155CC"/>
        <u/>
      </rPr>
      <t>26-14934-03829</t>
    </r>
  </si>
  <si>
    <t>WH23X26206</t>
  </si>
  <si>
    <t>MESSAGE SENT , open box</t>
  </si>
  <si>
    <r>
      <rPr>
        <rFont val="Arial"/>
        <color rgb="FF1155CC"/>
        <sz val="10.0"/>
        <u/>
      </rPr>
      <t>08-14965-37765</t>
    </r>
    <r>
      <rPr>
        <rFont val="Arial"/>
        <color rgb="FFFFFFFF"/>
        <sz val="10.0"/>
      </rPr>
      <t>View order details</t>
    </r>
  </si>
  <si>
    <t>MESSAGE SENT, factory sealed</t>
  </si>
  <si>
    <r>
      <rPr>
        <color rgb="FF1155CC"/>
        <sz val="10.0"/>
        <u/>
      </rPr>
      <t>15-14952-68804</t>
    </r>
  </si>
  <si>
    <t>messaged cx, open box</t>
  </si>
  <si>
    <r>
      <rPr>
        <color rgb="FF1155CC"/>
        <u/>
      </rPr>
      <t>18-14948-56954</t>
    </r>
  </si>
  <si>
    <r>
      <rPr>
        <color rgb="FF1155CC"/>
        <u/>
      </rPr>
      <t>26-14941-89317</t>
    </r>
  </si>
  <si>
    <t>BN96-56550K</t>
  </si>
  <si>
    <t xml:space="preserve">CX requested cancellation, wrong part# ordered. </t>
  </si>
  <si>
    <r>
      <rPr>
        <color rgb="FF1155CC"/>
        <u/>
      </rPr>
      <t>04-14980-00162</t>
    </r>
  </si>
  <si>
    <t xml:space="preserve">message sent to cx, factory sealed </t>
  </si>
  <si>
    <r>
      <rPr>
        <color rgb="FF1155CC"/>
        <u/>
      </rPr>
      <t>06-14972-89732</t>
    </r>
  </si>
  <si>
    <r>
      <rPr>
        <color rgb="FF1155CC"/>
        <u/>
      </rPr>
      <t>13-14960-25983</t>
    </r>
  </si>
  <si>
    <r>
      <rPr>
        <color rgb="FF1155CC"/>
        <u/>
      </rPr>
      <t>13-14959-90785</t>
    </r>
  </si>
  <si>
    <r>
      <rPr>
        <color rgb="FF1155CC"/>
        <u/>
      </rPr>
      <t>16-14958-34816</t>
    </r>
  </si>
  <si>
    <t xml:space="preserve">KV shipping for ATL open box, message sent to cx </t>
  </si>
  <si>
    <r>
      <rPr>
        <color rgb="FF1155CC"/>
        <u/>
      </rPr>
      <t>09-14971-59631</t>
    </r>
  </si>
  <si>
    <t>WD21X24940</t>
  </si>
  <si>
    <t xml:space="preserve">message sent to cx,  factory sealed </t>
  </si>
  <si>
    <r>
      <rPr>
        <color rgb="FF1155CC"/>
        <u/>
      </rPr>
      <t>02-14980-36170</t>
    </r>
  </si>
  <si>
    <r>
      <rPr>
        <color rgb="FF1155CC"/>
        <u/>
      </rPr>
      <t>12-14964-18279</t>
    </r>
  </si>
  <si>
    <t xml:space="preserve">message sent to cx, NOT factory sealed </t>
  </si>
  <si>
    <r>
      <rPr>
        <color rgb="FF1155CC"/>
        <u/>
      </rPr>
      <t>03-14936-09029</t>
    </r>
  </si>
  <si>
    <t>CX CLAIMS DEFECTIVE</t>
  </si>
  <si>
    <r>
      <rPr>
        <color rgb="FF1155CC"/>
        <u/>
      </rPr>
      <t>24-14921-91484</t>
    </r>
  </si>
  <si>
    <r>
      <rPr>
        <color rgb="FF1155CC"/>
        <u/>
      </rPr>
      <t>13-14964-38859</t>
    </r>
  </si>
  <si>
    <t xml:space="preserve">CX requested cancellation </t>
  </si>
  <si>
    <r>
      <rPr>
        <color rgb="FF1155CC"/>
        <u/>
      </rPr>
      <t>10-14965-94971</t>
    </r>
  </si>
  <si>
    <t>label sent, factory sealed, message sent to cx</t>
  </si>
  <si>
    <r>
      <rPr>
        <color rgb="FF1155CC"/>
        <u/>
      </rPr>
      <t>22-14846-58621</t>
    </r>
  </si>
  <si>
    <t>"changed my mind"</t>
  </si>
  <si>
    <r>
      <rPr>
        <color rgb="FF1155CC"/>
        <u/>
      </rPr>
      <t>16-14886-92222</t>
    </r>
  </si>
  <si>
    <t>"doesnt fit"</t>
  </si>
  <si>
    <r>
      <rPr>
        <color rgb="FF1155CC"/>
        <u/>
      </rPr>
      <t>25-14943-42942</t>
    </r>
  </si>
  <si>
    <t>message sent, open box</t>
  </si>
  <si>
    <r>
      <rPr>
        <color rgb="FF1155CC"/>
        <u/>
      </rPr>
      <t>06-14976-52013</t>
    </r>
  </si>
  <si>
    <t>open box, message sent to cx</t>
  </si>
  <si>
    <r>
      <rPr>
        <color rgb="FF1155CC"/>
        <u/>
      </rPr>
      <t>15-14965-71485</t>
    </r>
  </si>
  <si>
    <t>message sent to cx</t>
  </si>
  <si>
    <r>
      <rPr>
        <color rgb="FF1155CC"/>
        <u/>
      </rPr>
      <t>05-14983-61007</t>
    </r>
  </si>
  <si>
    <r>
      <rPr>
        <color rgb="FF1155CC"/>
        <u/>
      </rPr>
      <t>11-14972-07597</t>
    </r>
  </si>
  <si>
    <r>
      <rPr>
        <color rgb="FF1155CC"/>
        <u/>
      </rPr>
      <t>09-14977-69533</t>
    </r>
  </si>
  <si>
    <t xml:space="preserve">factory sealed message sent to cx </t>
  </si>
  <si>
    <r>
      <rPr>
        <color rgb="FF1155CC"/>
        <u/>
      </rPr>
      <t>26-14942-66027</t>
    </r>
  </si>
  <si>
    <r>
      <rPr>
        <color rgb="FF1155CC"/>
        <u/>
      </rPr>
      <t>27-14852-57027</t>
    </r>
  </si>
  <si>
    <t xml:space="preserve">cx changed mind </t>
  </si>
  <si>
    <r>
      <rPr>
        <color rgb="FF1155CC"/>
        <u/>
      </rPr>
      <t>11-14980-92992</t>
    </r>
  </si>
  <si>
    <r>
      <rPr>
        <color rgb="FF1155CC"/>
        <u/>
      </rPr>
      <t>02-14985-26998</t>
    </r>
  </si>
  <si>
    <r>
      <rPr>
        <color rgb="FF1155CC"/>
        <u/>
      </rPr>
      <t>14-14965-65137</t>
    </r>
  </si>
  <si>
    <r>
      <rPr>
        <color rgb="FF1155CC"/>
        <u/>
      </rPr>
      <t>12-14970-20433</t>
    </r>
  </si>
  <si>
    <t>DD61-00502B</t>
  </si>
  <si>
    <r>
      <rPr>
        <color rgb="FF1155CC"/>
        <u/>
      </rPr>
      <t>11-14928-92326</t>
    </r>
  </si>
  <si>
    <r>
      <rPr>
        <color rgb="FF1155CC"/>
        <u/>
      </rPr>
      <t>21-14960-20467</t>
    </r>
  </si>
  <si>
    <t>NV shipped</t>
  </si>
  <si>
    <r>
      <rPr>
        <color rgb="FF1155CC"/>
        <u/>
      </rPr>
      <t>12-14899-54077</t>
    </r>
  </si>
  <si>
    <r>
      <rPr>
        <color rgb="FF1155CC"/>
        <u/>
      </rPr>
      <t>18-14918-60709</t>
    </r>
  </si>
  <si>
    <t>WH22X35541</t>
  </si>
  <si>
    <t>"defective" (part needed to be programmed to work, CX did not see message i sent before shipping part)</t>
  </si>
  <si>
    <r>
      <rPr>
        <color rgb="FF1155CC"/>
        <u/>
      </rPr>
      <t>14-14968-83123</t>
    </r>
  </si>
  <si>
    <t>Label sent, open box, cx messaged</t>
  </si>
  <si>
    <r>
      <rPr>
        <color rgb="FF1155CC"/>
        <u/>
      </rPr>
      <t>16-14965-02707</t>
    </r>
  </si>
  <si>
    <t>"Found better price"</t>
  </si>
  <si>
    <r>
      <rPr>
        <color rgb="FF1155CC"/>
        <u/>
      </rPr>
      <t>22-14961-78017</t>
    </r>
  </si>
  <si>
    <t xml:space="preserve">WPW10605057 </t>
  </si>
  <si>
    <t>None in stock at any location</t>
  </si>
  <si>
    <r>
      <rPr>
        <color rgb="FF1155CC"/>
        <u/>
      </rPr>
      <t>14-14971-50629</t>
    </r>
  </si>
  <si>
    <t xml:space="preserve">No stock all Branches </t>
  </si>
  <si>
    <r>
      <rPr>
        <color rgb="FF1155CC"/>
        <u/>
      </rPr>
      <t>04-14992-95893</t>
    </r>
  </si>
  <si>
    <t>"found better price" he ordered 3 from JB branch</t>
  </si>
  <si>
    <r>
      <rPr>
        <color rgb="FF1155CC"/>
        <u/>
      </rPr>
      <t>18-14968-90585</t>
    </r>
  </si>
  <si>
    <t>wr85x40010</t>
  </si>
  <si>
    <r>
      <rPr>
        <color rgb="FF1155CC"/>
        <u/>
      </rPr>
      <t>17-14961-29239</t>
    </r>
  </si>
  <si>
    <r>
      <rPr>
        <color rgb="FF1155CC"/>
        <u/>
      </rPr>
      <t>05-14996-49668</t>
    </r>
  </si>
  <si>
    <t xml:space="preserve">AJK73229722 </t>
  </si>
  <si>
    <t>set of 4, not factory sealed,cx messaged</t>
  </si>
  <si>
    <r>
      <rPr>
        <color rgb="FF1155CC"/>
        <u/>
      </rPr>
      <t>21-14967-03398</t>
    </r>
  </si>
  <si>
    <r>
      <rPr>
        <rFont val="Arial"/>
        <color rgb="FF434343"/>
      </rPr>
      <t>WB27X41655</t>
    </r>
  </si>
  <si>
    <t>factory sealed, label sent, Tracking #382988798168</t>
  </si>
  <si>
    <r>
      <rPr>
        <color rgb="FF1155CC"/>
        <u/>
      </rPr>
      <t>21-14967-03398</t>
    </r>
  </si>
  <si>
    <t xml:space="preserve">factory sealed </t>
  </si>
  <si>
    <r>
      <rPr>
        <color rgb="FF1155CC"/>
        <u/>
      </rPr>
      <t>21-14967-03398</t>
    </r>
  </si>
  <si>
    <t>MP Shipped, open box</t>
  </si>
  <si>
    <r>
      <rPr>
        <color rgb="FF1155CC"/>
        <u/>
      </rPr>
      <t>11-14982-45457</t>
    </r>
  </si>
  <si>
    <t>wh03x30517</t>
  </si>
  <si>
    <t>ATL shipping for JB to fill order (JB only has 2) factory sealed, message sent to cx</t>
  </si>
  <si>
    <r>
      <rPr>
        <color rgb="FF1155CC"/>
        <u/>
      </rPr>
      <t>15-14974-28393</t>
    </r>
  </si>
  <si>
    <t xml:space="preserve">MESSAGE SENT TO CX, factory sealed </t>
  </si>
  <si>
    <r>
      <rPr>
        <color rgb="FF1155CC"/>
        <u/>
      </rPr>
      <t>14-14977-95575</t>
    </r>
  </si>
  <si>
    <t xml:space="preserve">MESSAGE SENT TO CX </t>
  </si>
  <si>
    <r>
      <rPr>
        <color rgb="FF1155CC"/>
        <u/>
      </rPr>
      <t>26-14955-98618</t>
    </r>
  </si>
  <si>
    <r>
      <rPr>
        <color rgb="FF1155CC"/>
        <u/>
      </rPr>
      <t>01-14936-93409</t>
    </r>
  </si>
  <si>
    <t xml:space="preserve">CX STATES MISSING PART </t>
  </si>
  <si>
    <r>
      <rPr>
        <color rgb="FF1155CC"/>
        <u/>
      </rPr>
      <t>21-14967-81922</t>
    </r>
  </si>
  <si>
    <t>"found a better price"</t>
  </si>
  <si>
    <r>
      <rPr>
        <color rgb="FF1155CC"/>
        <u/>
      </rPr>
      <t>20-14970-52300</t>
    </r>
  </si>
  <si>
    <r>
      <rPr>
        <color rgb="FF1155CC"/>
        <u/>
      </rPr>
      <t>26-14958-47457</t>
    </r>
  </si>
  <si>
    <t>label sent, factory sealed/cx messaged</t>
  </si>
  <si>
    <r>
      <rPr>
        <color rgb="FF1155CC"/>
        <u/>
      </rPr>
      <t>18-14973-79806</t>
    </r>
  </si>
  <si>
    <t>label sent, factory sealed</t>
  </si>
  <si>
    <r>
      <rPr>
        <color rgb="FF1155CC"/>
        <u/>
      </rPr>
      <t>14-14980-68099</t>
    </r>
  </si>
  <si>
    <t xml:space="preserve">pick up order open box. </t>
  </si>
  <si>
    <r>
      <rPr>
        <color rgb="FF1155CC"/>
        <u/>
      </rPr>
      <t>14-14984-16749</t>
    </r>
  </si>
  <si>
    <r>
      <rPr>
        <color rgb="FF1155CC"/>
        <u/>
      </rPr>
      <t>04-15003-19135</t>
    </r>
  </si>
  <si>
    <r>
      <rPr>
        <rFont val="Roboto"/>
        <color rgb="FF1155CC"/>
        <u/>
      </rPr>
      <t>06-14995-29556</t>
    </r>
  </si>
  <si>
    <t>label sent, open box, cx messaged</t>
  </si>
  <si>
    <r>
      <rPr>
        <rFont val="Roboto"/>
        <color rgb="FF1155CC"/>
        <u/>
      </rPr>
      <t>21-14968-32887</t>
    </r>
  </si>
  <si>
    <r>
      <rPr>
        <rFont val="Roboto"/>
        <color rgb="FF434343"/>
      </rPr>
      <t>DD81-02638A</t>
    </r>
  </si>
  <si>
    <t>label sent, factory sealed, cx messaged</t>
  </si>
  <si>
    <r>
      <rPr>
        <color rgb="FF1155CC"/>
        <u/>
      </rPr>
      <t>21-14913-53488</t>
    </r>
  </si>
  <si>
    <t>"doesn't fit"</t>
  </si>
  <si>
    <r>
      <rPr>
        <color rgb="FF1155CC"/>
        <u/>
      </rPr>
      <t>25-14962-01077</t>
    </r>
  </si>
  <si>
    <t>01-15006-93277</t>
  </si>
  <si>
    <t xml:space="preserve">FACTORY SEALED, MESSAGE SENT TO CX </t>
  </si>
  <si>
    <r>
      <rPr>
        <color rgb="FF1155CC"/>
        <u/>
      </rPr>
      <t>20-14971-73997</t>
    </r>
  </si>
  <si>
    <r>
      <rPr>
        <color rgb="FF1155CC"/>
        <u/>
      </rPr>
      <t>24-14977-78952</t>
    </r>
  </si>
  <si>
    <r>
      <rPr>
        <color rgb="FF1155CC"/>
        <u/>
      </rPr>
      <t>24-14986-05908</t>
    </r>
  </si>
  <si>
    <r>
      <rPr>
        <color rgb="FF1155CC"/>
        <u/>
      </rPr>
      <t>04-15004-32972</t>
    </r>
  </si>
  <si>
    <t>EBF64395301</t>
  </si>
  <si>
    <r>
      <rPr>
        <color rgb="FF1155CC"/>
        <u/>
      </rPr>
      <t>22-14974-22791</t>
    </r>
  </si>
  <si>
    <t>label sent , factory sealed/ cx messaged</t>
  </si>
  <si>
    <r>
      <rPr>
        <color rgb="FF1155CC"/>
        <u/>
      </rPr>
      <t>26-14968-34162</t>
    </r>
  </si>
  <si>
    <t>label sent , open box/cx messaged</t>
  </si>
  <si>
    <r>
      <rPr>
        <color rgb="FF1155CC"/>
        <u/>
      </rPr>
      <t>05-14944-49266</t>
    </r>
  </si>
  <si>
    <t xml:space="preserve">CX STATED ITEM DID NOT MATCH PICTURES </t>
  </si>
  <si>
    <r>
      <rPr>
        <color rgb="FF1155CC"/>
        <u/>
      </rPr>
      <t>19-14980-60118</t>
    </r>
  </si>
  <si>
    <t xml:space="preserve">open box, message sent to cx </t>
  </si>
  <si>
    <r>
      <rPr>
        <rFont val="Roboto"/>
        <color rgb="FF1155CC"/>
        <u/>
      </rPr>
      <t>16-14985-86060</t>
    </r>
  </si>
  <si>
    <t xml:space="preserve">WPW10316428 </t>
  </si>
  <si>
    <t>CX MESSAGED factory sealed</t>
  </si>
  <si>
    <r>
      <rPr>
        <color rgb="FF1155CC"/>
        <u/>
      </rPr>
      <t>16-14990-19936</t>
    </r>
  </si>
  <si>
    <r>
      <rPr>
        <rFont val="Arial"/>
        <color rgb="FF434343"/>
      </rPr>
      <t>WB18X39634</t>
    </r>
  </si>
  <si>
    <t>CX MESSAGED, factory sealed but asked to open to ensure part condition before shipping</t>
  </si>
  <si>
    <r>
      <rPr>
        <color rgb="FF1155CC"/>
        <u/>
      </rPr>
      <t>11-14995-21832</t>
    </r>
  </si>
  <si>
    <r>
      <rPr>
        <rFont val="Arial"/>
        <color rgb="FF434343"/>
      </rPr>
      <t>WE41X39157</t>
    </r>
  </si>
  <si>
    <t>CX MESSAGED, factory sealed</t>
  </si>
  <si>
    <r>
      <rPr>
        <color rgb="FF1155CC"/>
        <u/>
      </rPr>
      <t>09-14998-84822</t>
    </r>
  </si>
  <si>
    <t>open box</t>
  </si>
  <si>
    <r>
      <rPr>
        <color rgb="FF1155CC"/>
        <u/>
      </rPr>
      <t>16-14989-39543</t>
    </r>
  </si>
  <si>
    <r>
      <rPr>
        <color rgb="FF1155CC"/>
        <u/>
      </rPr>
      <t>18-14983-23211</t>
    </r>
  </si>
  <si>
    <t>label sent, open box, shipping from CT/cx messaged</t>
  </si>
  <si>
    <r>
      <rPr>
        <color rgb="FF1155CC"/>
        <u/>
      </rPr>
      <t>07-15002-62882</t>
    </r>
  </si>
  <si>
    <t>wr02x11288</t>
  </si>
  <si>
    <r>
      <rPr>
        <color rgb="FF1155CC"/>
        <u/>
      </rPr>
      <t>01-15015-41954</t>
    </r>
  </si>
  <si>
    <t>need to update shipping address</t>
  </si>
  <si>
    <r>
      <rPr>
        <color rgb="FF1155CC"/>
        <u/>
      </rPr>
      <t>16-14990-19936</t>
    </r>
  </si>
  <si>
    <r>
      <rPr>
        <color rgb="FF1155CC"/>
        <u/>
      </rPr>
      <t>25-14943-42942</t>
    </r>
  </si>
  <si>
    <t>item arrived damaged/full refund/item NOT returned</t>
  </si>
  <si>
    <r>
      <rPr>
        <color rgb="FF1155CC"/>
        <u/>
      </rPr>
      <t>22-14990-80609</t>
    </r>
  </si>
  <si>
    <t>MESSAGE SENT TO CX, no picture taken of item</t>
  </si>
  <si>
    <r>
      <rPr>
        <color rgb="FF1155CC"/>
        <u/>
      </rPr>
      <t>13-15005-94248</t>
    </r>
  </si>
  <si>
    <t>wb24x47190</t>
  </si>
  <si>
    <t>18-14990-47191</t>
  </si>
  <si>
    <r>
      <rPr>
        <color rgb="FF1155CC"/>
        <u/>
      </rPr>
      <t>15-14994-24828</t>
    </r>
  </si>
  <si>
    <t>message SENT TO CX</t>
  </si>
  <si>
    <r>
      <rPr>
        <color rgb="FF1155CC"/>
        <u/>
      </rPr>
      <t>18-14986-99135</t>
    </r>
  </si>
  <si>
    <t>WPW10279884</t>
  </si>
  <si>
    <r>
      <rPr>
        <color rgb="FF1155CC"/>
        <u/>
      </rPr>
      <t>27-14973-21490</t>
    </r>
  </si>
  <si>
    <r>
      <rPr>
        <color rgb="FF1155CC"/>
        <u/>
      </rPr>
      <t>21-14989-73546</t>
    </r>
  </si>
  <si>
    <t xml:space="preserve">message sent to cx open box </t>
  </si>
  <si>
    <r>
      <rPr>
        <color rgb="FF1155CC"/>
        <u/>
      </rPr>
      <t>10-15001-69810</t>
    </r>
  </si>
  <si>
    <t>open box/cx messaged</t>
  </si>
  <si>
    <r>
      <rPr>
        <color rgb="FF1155CC"/>
        <u/>
      </rPr>
      <t>19-14994-29455</t>
    </r>
  </si>
  <si>
    <r>
      <rPr>
        <color rgb="FF1155CC"/>
        <u/>
      </rPr>
      <t>26-14980-16718</t>
    </r>
  </si>
  <si>
    <r>
      <rPr>
        <color rgb="FF1155CC"/>
        <u/>
      </rPr>
      <t>19-14996-98189</t>
    </r>
  </si>
  <si>
    <t>sealed, CX MESSAGED</t>
  </si>
  <si>
    <r>
      <rPr>
        <color rgb="FF1155CC"/>
        <u/>
      </rPr>
      <t>06-15009-42269</t>
    </r>
  </si>
  <si>
    <r>
      <rPr>
        <rFont val="Arial"/>
        <color rgb="FF434343"/>
      </rPr>
      <t>DA97-21004A</t>
    </r>
  </si>
  <si>
    <r>
      <rPr>
        <color rgb="FF1155CC"/>
        <u/>
      </rPr>
      <t>03-15025-96310</t>
    </r>
  </si>
  <si>
    <t>open box, CX MESSAGED</t>
  </si>
  <si>
    <r>
      <rPr>
        <color rgb="FF1155CC"/>
        <u/>
      </rPr>
      <t>22-14987-58536</t>
    </r>
  </si>
  <si>
    <t xml:space="preserve">AJU75837102 </t>
  </si>
  <si>
    <t>cx messaged open box</t>
  </si>
  <si>
    <r>
      <rPr>
        <color rgb="FF1155CC"/>
        <u/>
      </rPr>
      <t>01-15030-91284</t>
    </r>
  </si>
  <si>
    <t xml:space="preserve">WE04X24553 </t>
  </si>
  <si>
    <t>sealed, cx messaged</t>
  </si>
  <si>
    <r>
      <rPr>
        <color rgb="FF1155CC"/>
        <u/>
      </rPr>
      <t>02-15016-59963</t>
    </r>
  </si>
  <si>
    <t>open box, cx messaged</t>
  </si>
  <si>
    <r>
      <rPr>
        <color rgb="FF1155CC"/>
        <u/>
      </rPr>
      <t>21-14988-60856</t>
    </r>
  </si>
  <si>
    <t>CX Stated "Order Placed by Mistake"</t>
  </si>
  <si>
    <r>
      <rPr>
        <color rgb="FF1155CC"/>
        <u/>
      </rPr>
      <t>22-14992-01137</t>
    </r>
  </si>
  <si>
    <r>
      <rPr>
        <color rgb="FF1155CC"/>
        <u/>
      </rPr>
      <t>07-15019-53282</t>
    </r>
  </si>
  <si>
    <t xml:space="preserve">CX ordered by mistake, they needed a different part </t>
  </si>
  <si>
    <r>
      <rPr>
        <color rgb="FF1155CC"/>
        <u/>
      </rPr>
      <t>23-14995-04341</t>
    </r>
  </si>
  <si>
    <t xml:space="preserve">messages sent to cx </t>
  </si>
  <si>
    <r>
      <rPr>
        <color rgb="FF1155CC"/>
        <u/>
      </rPr>
      <t>19-14997-73784</t>
    </r>
  </si>
  <si>
    <t>EBR358782601</t>
  </si>
  <si>
    <t xml:space="preserve">OPEN BOX message sent to cx </t>
  </si>
  <si>
    <r>
      <rPr>
        <color rgb="FF1155CC"/>
        <u/>
      </rPr>
      <t>22-14992-09640</t>
    </r>
  </si>
  <si>
    <t xml:space="preserve">FACTORY SEALED MESSAGE SENT TO CX </t>
  </si>
  <si>
    <r>
      <rPr>
        <color rgb="FF1155CC"/>
        <u/>
      </rPr>
      <t>05-15026-60835</t>
    </r>
  </si>
  <si>
    <t>DC32-00011J</t>
  </si>
  <si>
    <r>
      <rPr>
        <color rgb="FF1155CC"/>
        <u/>
      </rPr>
      <t>12-14746-34658</t>
    </r>
  </si>
  <si>
    <t>This order was done by Darion on june 9, OG sale not listed on sheet but i think order earnings is correct here</t>
  </si>
  <si>
    <r>
      <rPr>
        <color rgb="FF1155CC"/>
        <u/>
      </rPr>
      <t>13-15012-59440</t>
    </r>
  </si>
  <si>
    <t>cx messaged, sealed but asked to open and check part bc box was damaged</t>
  </si>
  <si>
    <r>
      <rPr>
        <rFont val="Roboto"/>
        <color rgb="FF1155CC"/>
        <u/>
      </rPr>
      <t>01-15035-94159</t>
    </r>
  </si>
  <si>
    <t xml:space="preserve">WB01X10002 </t>
  </si>
  <si>
    <r>
      <rPr>
        <color rgb="FF1155CC"/>
        <u/>
      </rPr>
      <t>01-15032-35343</t>
    </r>
  </si>
  <si>
    <t xml:space="preserve">WB30T10151 </t>
  </si>
  <si>
    <t>Open box</t>
  </si>
  <si>
    <r>
      <rPr>
        <color rgb="FF1155CC"/>
        <u/>
      </rPr>
      <t>17-15004-09143</t>
    </r>
  </si>
  <si>
    <t xml:space="preserve">open box, Message sent to CX </t>
  </si>
  <si>
    <r>
      <rPr>
        <color rgb="FF1155CC"/>
        <u/>
      </rPr>
      <t>09-15017-73269</t>
    </r>
  </si>
  <si>
    <r>
      <rPr>
        <color rgb="FF1155CC"/>
        <u/>
      </rPr>
      <t>06-15025-95463</t>
    </r>
  </si>
  <si>
    <t xml:space="preserve">FACTORY SEALED, MESSAGE SENT TO CX, pm WILL DROP OFF THIS AFTERNOON </t>
  </si>
  <si>
    <r>
      <rPr>
        <color rgb="FF1155CC"/>
        <u/>
      </rPr>
      <t>22-14999-35477</t>
    </r>
  </si>
  <si>
    <t>OPEN BOX, MESSAGE SENT TO CX</t>
  </si>
  <si>
    <r>
      <rPr>
        <color rgb="FF1155CC"/>
        <u/>
      </rPr>
      <t>10-15018-33817</t>
    </r>
  </si>
  <si>
    <t>DA97-13055A</t>
  </si>
  <si>
    <r>
      <rPr>
        <color rgb="FF1155CC"/>
        <u/>
      </rPr>
      <t>12-15018-84532</t>
    </r>
  </si>
  <si>
    <r>
      <rPr>
        <color rgb="FF1155CC"/>
        <u/>
      </rPr>
      <t>05-15029-43618</t>
    </r>
  </si>
  <si>
    <r>
      <rPr>
        <color rgb="FF1155CC"/>
        <u/>
      </rPr>
      <t>03-15034-49983</t>
    </r>
  </si>
  <si>
    <r>
      <rPr>
        <color rgb="FF1155CC"/>
        <u/>
      </rPr>
      <t>16-15011-84533</t>
    </r>
  </si>
  <si>
    <t xml:space="preserve">W10810403 </t>
  </si>
  <si>
    <r>
      <rPr>
        <color rgb="FF1155CC"/>
        <u/>
      </rPr>
      <t>23-15003-61578</t>
    </r>
  </si>
  <si>
    <t>DA97-08690E</t>
  </si>
  <si>
    <t>Error in listing, shipping cost would result in neg sale.</t>
  </si>
  <si>
    <r>
      <rPr>
        <color rgb="FF1155CC"/>
        <u/>
      </rPr>
      <t>24-15016-61461</t>
    </r>
  </si>
  <si>
    <t>MESSAGE SENT, NO PICTURE WAS TAKEN BY MS.ANNA OF THIS ONE</t>
  </si>
  <si>
    <r>
      <rPr>
        <color rgb="FF1155CC"/>
        <u/>
      </rPr>
      <t>19-15007-88260</t>
    </r>
  </si>
  <si>
    <t xml:space="preserve">FACTORY SEALED, MESSAGE SENT </t>
  </si>
  <si>
    <r>
      <rPr>
        <color rgb="FF1155CC"/>
        <u/>
      </rPr>
      <t>01-15044-59885</t>
    </r>
  </si>
  <si>
    <r>
      <rPr>
        <color rgb="FF1155CC"/>
        <u/>
      </rPr>
      <t>11-15024-27164</t>
    </r>
  </si>
  <si>
    <r>
      <rPr>
        <color rgb="FF1155CC"/>
        <u/>
      </rPr>
      <t>20-15009-25024</t>
    </r>
  </si>
  <si>
    <t>WR78X31903</t>
  </si>
  <si>
    <t>open box/ was scanned by carrier and delivered over weekend, did not get the chance to send message to CX</t>
  </si>
  <si>
    <r>
      <rPr>
        <color rgb="FF1155CC"/>
        <u/>
      </rPr>
      <t>18-15014-60341</t>
    </r>
  </si>
  <si>
    <r>
      <rPr>
        <color rgb="FF1155CC"/>
        <u/>
      </rPr>
      <t>21-15008-62199</t>
    </r>
  </si>
  <si>
    <r>
      <rPr>
        <color rgb="FF1155CC"/>
        <u/>
      </rPr>
      <t>12-15024-02718</t>
    </r>
  </si>
  <si>
    <t>Defective, No stock other Branches</t>
  </si>
  <si>
    <r>
      <rPr>
        <color rgb="FF1155CC"/>
        <u/>
      </rPr>
      <t>08-15031-62763</t>
    </r>
  </si>
  <si>
    <t>20-15025-62142</t>
  </si>
  <si>
    <t>open box, message sent</t>
  </si>
  <si>
    <r>
      <rPr>
        <color rgb="FF1155CC"/>
        <u/>
      </rPr>
      <t>05-15046-77939</t>
    </r>
  </si>
  <si>
    <r>
      <rPr>
        <color rgb="FF1155CC"/>
        <u/>
      </rPr>
      <t>22-15011-98336</t>
    </r>
  </si>
  <si>
    <t xml:space="preserve">factory sealed, message sent </t>
  </si>
  <si>
    <r>
      <rPr>
        <color rgb="FF1155CC"/>
        <u/>
      </rPr>
      <t>24-15030-64946</t>
    </r>
  </si>
  <si>
    <t xml:space="preserve">W10750851 </t>
  </si>
  <si>
    <t>sealed/ cx messaged</t>
  </si>
  <si>
    <r>
      <rPr>
        <color rgb="FF1155CC"/>
        <u/>
      </rPr>
      <t>14-15031-54341</t>
    </r>
  </si>
  <si>
    <r>
      <rPr>
        <color rgb="FF1155CC"/>
        <u/>
      </rPr>
      <t>14-15028-52936</t>
    </r>
  </si>
  <si>
    <t>open box/ carrier scan and delivered over weekend didnt get a chance to message cx</t>
  </si>
  <si>
    <t>02-15050-08189</t>
  </si>
  <si>
    <r>
      <rPr>
        <color rgb="FF1155CC"/>
        <u/>
      </rPr>
      <t>10-15042-81820</t>
    </r>
  </si>
  <si>
    <t>DC92-02388H</t>
  </si>
  <si>
    <t>No stock other Branches</t>
  </si>
  <si>
    <r>
      <rPr>
        <color rgb="FF1155CC"/>
        <u/>
      </rPr>
      <t>02-15058-05494</t>
    </r>
  </si>
  <si>
    <r>
      <rPr>
        <color rgb="FF1155CC"/>
        <u/>
      </rPr>
      <t>06-15048-16997</t>
    </r>
  </si>
  <si>
    <r>
      <rPr>
        <color rgb="FF1155CC"/>
        <u/>
      </rPr>
      <t>08-15047-28525</t>
    </r>
  </si>
  <si>
    <t xml:space="preserve">WD27X27022 </t>
  </si>
  <si>
    <r>
      <rPr>
        <color rgb="FF1155CC"/>
        <u/>
      </rPr>
      <t>16-15033-44000</t>
    </r>
  </si>
  <si>
    <r>
      <rPr>
        <color rgb="FF1155CC"/>
        <u/>
      </rPr>
      <t>10-15047-97413</t>
    </r>
  </si>
  <si>
    <r>
      <rPr>
        <color rgb="FF1155CC"/>
        <u/>
      </rPr>
      <t>12-15043-41071</t>
    </r>
  </si>
  <si>
    <t xml:space="preserve">WR87X43007 </t>
  </si>
  <si>
    <t>sealed / cx messaged</t>
  </si>
  <si>
    <t>01-15061-88942</t>
  </si>
  <si>
    <t>open box/ cx messaged</t>
  </si>
  <si>
    <r>
      <rPr>
        <color rgb="FF1155CC"/>
        <u/>
      </rPr>
      <t>16-15035-34627</t>
    </r>
  </si>
  <si>
    <t>WR09X3225</t>
  </si>
  <si>
    <t xml:space="preserve">no photos taken of the part, message sent to cx </t>
  </si>
  <si>
    <r>
      <rPr>
        <color rgb="FF1155CC"/>
        <u/>
      </rPr>
      <t>04-15055-92965</t>
    </r>
  </si>
  <si>
    <r>
      <rPr>
        <color rgb="FF1155CC"/>
        <u/>
      </rPr>
      <t>03-15059-22331</t>
    </r>
  </si>
  <si>
    <t xml:space="preserve">both factory sealed </t>
  </si>
  <si>
    <r>
      <rPr>
        <color rgb="FF1155CC"/>
        <u/>
      </rPr>
      <t>17-15035-91791</t>
    </r>
  </si>
  <si>
    <t xml:space="preserve">one open box, one factory sealed </t>
  </si>
  <si>
    <r>
      <rPr>
        <color rgb="FF1155CC"/>
        <u/>
      </rPr>
      <t>22-15027-80540</t>
    </r>
  </si>
  <si>
    <r>
      <rPr>
        <color rgb="FF1155CC"/>
        <u/>
      </rPr>
      <t>09-15050-69752</t>
    </r>
  </si>
  <si>
    <r>
      <rPr>
        <color rgb="FF1155CC"/>
        <u/>
      </rPr>
      <t>25-15023-21738</t>
    </r>
  </si>
  <si>
    <t xml:space="preserve">WD27X34718 </t>
  </si>
  <si>
    <r>
      <rPr>
        <color rgb="FF1155CC"/>
        <u/>
      </rPr>
      <t>12-15046-78212</t>
    </r>
  </si>
  <si>
    <r>
      <rPr>
        <color rgb="FF1155CC"/>
        <u/>
      </rPr>
      <t>19-15033-61971</t>
    </r>
  </si>
  <si>
    <r>
      <rPr>
        <color rgb="FF1155CC"/>
        <u/>
      </rPr>
      <t>02-15065-12277</t>
    </r>
  </si>
  <si>
    <t>needs address changed, cx messaged</t>
  </si>
  <si>
    <r>
      <rPr>
        <color rgb="FF1155CC"/>
        <u/>
      </rPr>
      <t>26-15026-34605</t>
    </r>
  </si>
  <si>
    <t>ordered by mistake/ no label was purchased</t>
  </si>
  <si>
    <r>
      <rPr>
        <color rgb="FF1155CC"/>
        <u/>
      </rPr>
      <t>11-15055-44299</t>
    </r>
  </si>
  <si>
    <t xml:space="preserve">Factory sealed </t>
  </si>
  <si>
    <r>
      <rPr>
        <color rgb="FF1155CC"/>
        <u/>
      </rPr>
      <t>08-15058-30507</t>
    </r>
  </si>
  <si>
    <r>
      <rPr>
        <color rgb="FF1155CC"/>
        <u/>
      </rPr>
      <t>10-15048-83520</t>
    </r>
  </si>
  <si>
    <r>
      <rPr>
        <color rgb="FF1155CC"/>
        <u/>
      </rPr>
      <t>02-15072-44910</t>
    </r>
  </si>
  <si>
    <t xml:space="preserve">W11413965 </t>
  </si>
  <si>
    <t>sealed,shipped over weekend didnt get chance to message CX</t>
  </si>
  <si>
    <r>
      <rPr>
        <color rgb="FF1155CC"/>
        <u/>
      </rPr>
      <t>01-14878-40414</t>
    </r>
  </si>
  <si>
    <t>Not Refunded</t>
  </si>
  <si>
    <t>NO REFUND, cx did not return part , ebay closed the return</t>
  </si>
  <si>
    <r>
      <rPr>
        <color rgb="FF1155CC"/>
        <u/>
      </rPr>
      <t>04-15067-85568</t>
    </r>
  </si>
  <si>
    <t>factory sealed, Message sent to CX</t>
  </si>
  <si>
    <t>10-15055-45736</t>
  </si>
  <si>
    <r>
      <rPr>
        <color rgb="FF1155CC"/>
        <u/>
      </rPr>
      <t>09-15055-59861</t>
    </r>
  </si>
  <si>
    <t xml:space="preserve">OPEN BOX, MESSAGE SENT TO CX </t>
  </si>
  <si>
    <r>
      <rPr>
        <color rgb="FF1155CC"/>
        <u/>
      </rPr>
      <t>15-15044-66904</t>
    </r>
  </si>
  <si>
    <t>W11455232</t>
  </si>
  <si>
    <r>
      <rPr>
        <color rgb="FF1155CC"/>
        <u/>
      </rPr>
      <t>13-15047-99923</t>
    </r>
  </si>
  <si>
    <r>
      <rPr>
        <color rgb="FF1155CC"/>
        <u/>
      </rPr>
      <t>21-15035-32191</t>
    </r>
  </si>
  <si>
    <t>DC97-22947V</t>
  </si>
  <si>
    <r>
      <rPr>
        <color rgb="FF1155CC"/>
        <u/>
      </rPr>
      <t>01-15076-12145</t>
    </r>
  </si>
  <si>
    <t>open box, shipped over weekend didnt get chance to message CX</t>
  </si>
  <si>
    <r>
      <rPr>
        <color rgb="FF1155CC"/>
        <u/>
      </rPr>
      <t>26-15029-56050</t>
    </r>
  </si>
  <si>
    <r>
      <rPr>
        <color rgb="FF1155CC"/>
        <u/>
      </rPr>
      <t>11-15057-40372</t>
    </r>
  </si>
  <si>
    <t xml:space="preserve">WR87X41927 </t>
  </si>
  <si>
    <t xml:space="preserve">not up to quality standards, message sent to cx </t>
  </si>
  <si>
    <r>
      <rPr>
        <color rgb="FF1155CC"/>
        <u/>
      </rPr>
      <t>02-15073-52049</t>
    </r>
  </si>
  <si>
    <t xml:space="preserve">damaged, not up to quality standards, No Stock other branches, message sent to cx </t>
  </si>
  <si>
    <r>
      <rPr>
        <color rgb="FF1155CC"/>
        <u/>
      </rPr>
      <t>06-15066-67760</t>
    </r>
  </si>
  <si>
    <t>DA-6204678B</t>
  </si>
  <si>
    <r>
      <rPr>
        <color rgb="FF1155CC"/>
        <u/>
      </rPr>
      <t>04-15004-32972</t>
    </r>
  </si>
  <si>
    <t>CX Stated"Part did not match description."</t>
  </si>
  <si>
    <r>
      <rPr>
        <color rgb="FF1155CC"/>
        <u/>
      </rPr>
      <t>06-15077-54762</t>
    </r>
  </si>
  <si>
    <t xml:space="preserve">no stock any branches </t>
  </si>
  <si>
    <r>
      <rPr>
        <color rgb="FF1155CC"/>
        <u/>
      </rPr>
      <t>08-15069-80740</t>
    </r>
  </si>
  <si>
    <r>
      <rPr>
        <color rgb="FF1155CC"/>
        <u/>
      </rPr>
      <t>03-15078-56126</t>
    </r>
  </si>
  <si>
    <r>
      <rPr>
        <color rgb="FF1155CC"/>
        <u/>
      </rPr>
      <t>09-15065-28896</t>
    </r>
  </si>
  <si>
    <r>
      <rPr>
        <color rgb="FF1155CC"/>
        <u/>
      </rPr>
      <t>21-15046-83963</t>
    </r>
  </si>
  <si>
    <t>Buyer requested cancellation ''Order placed by mistake"</t>
  </si>
  <si>
    <r>
      <rPr>
        <color rgb="FF1155CC"/>
        <u/>
      </rPr>
      <t>23-15039-35664</t>
    </r>
  </si>
  <si>
    <t xml:space="preserve">open box message sent to cx </t>
  </si>
  <si>
    <r>
      <rPr>
        <color rgb="FF1155CC"/>
        <u/>
      </rPr>
      <t>05-15072-51508</t>
    </r>
  </si>
  <si>
    <r>
      <rPr>
        <color rgb="FF1155CC"/>
        <u/>
      </rPr>
      <t>15-15062-55117</t>
    </r>
  </si>
  <si>
    <t>factory sealed, additional pictures were requested but I am not sure we will get before item goes out, message sent to cx</t>
  </si>
  <si>
    <r>
      <rPr>
        <color rgb="FF1155CC"/>
        <u/>
      </rPr>
      <t>10-15062-11309</t>
    </r>
  </si>
  <si>
    <t>open box,cx messaged</t>
  </si>
  <si>
    <r>
      <rPr>
        <color rgb="FF1155CC"/>
        <u/>
      </rPr>
      <t>25-15038-50551</t>
    </r>
  </si>
  <si>
    <r>
      <rPr>
        <color rgb="FF1155CC"/>
        <u/>
      </rPr>
      <t>22-15049-58718</t>
    </r>
  </si>
  <si>
    <r>
      <rPr>
        <color rgb="FF1155CC"/>
        <u/>
      </rPr>
      <t>23-15051-38851</t>
    </r>
  </si>
  <si>
    <r>
      <rPr>
        <color rgb="FF1155CC"/>
        <u/>
      </rPr>
      <t>17-15053-87177</t>
    </r>
  </si>
  <si>
    <t xml:space="preserve">DC62-00344A </t>
  </si>
  <si>
    <t>Shipped from ATL, open box, cx messaged</t>
  </si>
  <si>
    <r>
      <rPr>
        <color rgb="FF1155CC"/>
        <u/>
      </rPr>
      <t>16-15052-70774</t>
    </r>
  </si>
  <si>
    <t>sealed,cx messaged</t>
  </si>
  <si>
    <r>
      <rPr>
        <color rgb="FF1155CC"/>
        <u/>
      </rPr>
      <t>26-15046-38226</t>
    </r>
  </si>
  <si>
    <r>
      <rPr>
        <color rgb="FF1155CC"/>
        <u/>
      </rPr>
      <t>15-15058-12428</t>
    </r>
  </si>
  <si>
    <t>open box,label sent cx messaged</t>
  </si>
  <si>
    <r>
      <rPr>
        <color rgb="FF1155CC"/>
        <u/>
      </rPr>
      <t>17-15055-21477</t>
    </r>
  </si>
  <si>
    <t>sealed,label sent cx messaged</t>
  </si>
  <si>
    <r>
      <rPr>
        <color rgb="FF1155CC"/>
        <u/>
      </rPr>
      <t>10-15073-22436</t>
    </r>
  </si>
  <si>
    <r>
      <rPr>
        <color rgb="FF1155CC"/>
        <u/>
      </rPr>
      <t>10-15075-45491</t>
    </r>
  </si>
  <si>
    <t xml:space="preserve">DC33-01012B </t>
  </si>
  <si>
    <r>
      <rPr>
        <color rgb="FF1155CC"/>
        <u/>
      </rPr>
      <t>25-15048-24173</t>
    </r>
  </si>
  <si>
    <r>
      <rPr>
        <color rgb="FF1155CC"/>
        <u/>
      </rPr>
      <t>05-15087-69423</t>
    </r>
  </si>
  <si>
    <t>140124912159</t>
  </si>
  <si>
    <r>
      <rPr>
        <color rgb="FF1155CC"/>
        <u/>
      </rPr>
      <t>22-15055-03290</t>
    </r>
  </si>
  <si>
    <t xml:space="preserve">message sent to cx,  shipping from TL, ATL does not have it </t>
  </si>
  <si>
    <r>
      <rPr>
        <color rgb="FF1155CC"/>
        <u/>
      </rPr>
      <t>03-15088-92705</t>
    </r>
  </si>
  <si>
    <t>FACTORY SEALED, MESSAGE SENT TO CX</t>
  </si>
  <si>
    <r>
      <rPr>
        <color rgb="FF1155CC"/>
        <u/>
      </rPr>
      <t>22-15053-97514</t>
    </r>
  </si>
  <si>
    <t>DA97-13015J</t>
  </si>
  <si>
    <t>FACTORY SEALED</t>
  </si>
  <si>
    <r>
      <rPr>
        <color rgb="FF1155CC"/>
        <u/>
      </rPr>
      <t>02-15090-17466</t>
    </r>
  </si>
  <si>
    <r>
      <rPr>
        <color rgb="FF1155CC"/>
        <u/>
      </rPr>
      <t>25-14962-01077</t>
    </r>
  </si>
  <si>
    <t>Wrong sub part on listing. CX stated "Missing pieces or components."</t>
  </si>
  <si>
    <r>
      <rPr>
        <rFont val="Roboto"/>
        <color rgb="FF1155CC"/>
        <u/>
      </rPr>
      <t>14-15071-65787</t>
    </r>
  </si>
  <si>
    <t xml:space="preserve">WD01X35298 </t>
  </si>
  <si>
    <t>missing parts, shipping from NV sealed, cx messaged</t>
  </si>
  <si>
    <r>
      <rPr>
        <color rgb="FF1155CC"/>
        <u/>
      </rPr>
      <t>20-15062-13458</t>
    </r>
  </si>
  <si>
    <t xml:space="preserve">canceled, no stock any branch, message sent to cx </t>
  </si>
  <si>
    <r>
      <rPr>
        <color rgb="FF1155CC"/>
        <u/>
      </rPr>
      <t>21-15060-09062</t>
    </r>
  </si>
  <si>
    <t xml:space="preserve">5304531112 </t>
  </si>
  <si>
    <t>none in stock at any branch, cx messaged</t>
  </si>
  <si>
    <r>
      <rPr>
        <color rgb="FF1155CC"/>
        <u/>
      </rPr>
      <t>14-15072-53303</t>
    </r>
  </si>
  <si>
    <t>open box, label sent, cx messaged</t>
  </si>
  <si>
    <r>
      <rPr>
        <color rgb="FF1155CC"/>
        <u/>
      </rPr>
      <t>16-15072-26854</t>
    </r>
  </si>
  <si>
    <t>sealed, label sent, cx messaged</t>
  </si>
  <si>
    <r>
      <rPr>
        <color rgb="FF1155CC"/>
        <u/>
      </rPr>
      <t>09-15082-62314</t>
    </r>
  </si>
  <si>
    <t xml:space="preserve">WH16X29509 </t>
  </si>
  <si>
    <t>open box, waiting for pick up,cx messaged</t>
  </si>
  <si>
    <r>
      <rPr>
        <color rgb="FF1155CC"/>
        <u/>
      </rPr>
      <t>11-15080-62498</t>
    </r>
  </si>
  <si>
    <t>sealed, waiting for pick up,cx messaged</t>
  </si>
  <si>
    <t>01-15101-13706</t>
  </si>
  <si>
    <t>message sent to cx, open box</t>
  </si>
  <si>
    <t>23-15058-16180</t>
  </si>
  <si>
    <t>DC32-0007A</t>
  </si>
  <si>
    <t xml:space="preserve">no picture taken before shipping, message sent to cx </t>
  </si>
  <si>
    <r>
      <rPr>
        <color rgb="FF1155CC"/>
        <u/>
      </rPr>
      <t>21-15060-64774</t>
    </r>
  </si>
  <si>
    <r>
      <rPr>
        <color rgb="FF1155CC"/>
        <u/>
      </rPr>
      <t>01-15101-63591</t>
    </r>
  </si>
  <si>
    <r>
      <rPr>
        <color rgb="FF1155CC"/>
        <u/>
      </rPr>
      <t>27-15050-39400</t>
    </r>
  </si>
  <si>
    <t>DA92-00795A</t>
  </si>
  <si>
    <r>
      <rPr>
        <color rgb="FF1155CC"/>
        <u/>
      </rPr>
      <t>09-14998-84822</t>
    </r>
  </si>
  <si>
    <t>open box CX stated "Doesn't Fit"</t>
  </si>
  <si>
    <r>
      <rPr>
        <color rgb="FF1155CC"/>
        <u/>
      </rPr>
      <t>10-15078-64084</t>
    </r>
  </si>
  <si>
    <t>label sent, cx messaged , open box</t>
  </si>
  <si>
    <r>
      <rPr>
        <color rgb="FF1155CC"/>
        <u/>
      </rPr>
      <t>21-15063-01821</t>
    </r>
  </si>
  <si>
    <t>Won't arrive on time</t>
  </si>
  <si>
    <r>
      <rPr>
        <color rgb="FF1155CC"/>
        <u/>
      </rPr>
      <t>07-15090-27927</t>
    </r>
  </si>
  <si>
    <t>MSV460AM1B/E01</t>
  </si>
  <si>
    <r>
      <rPr>
        <color rgb="FF1155CC"/>
        <u/>
      </rPr>
      <t>18-15073-00621</t>
    </r>
  </si>
  <si>
    <r>
      <rPr>
        <color rgb="FF1155CC"/>
        <u/>
      </rPr>
      <t>22-15063-47689</t>
    </r>
  </si>
  <si>
    <r>
      <rPr>
        <color rgb="FF1155CC"/>
        <u/>
      </rPr>
      <t>10-15083-01349</t>
    </r>
  </si>
  <si>
    <r>
      <rPr>
        <color rgb="FF1155CC"/>
        <u/>
      </rPr>
      <t>19-14980-60118</t>
    </r>
  </si>
  <si>
    <t xml:space="preserve">defective, cx sent pictures, they are the message thread </t>
  </si>
  <si>
    <r>
      <rPr>
        <color rgb="FF1155CC"/>
        <u/>
      </rPr>
      <t>23-15061-25239</t>
    </r>
  </si>
  <si>
    <t>Factory sealed</t>
  </si>
  <si>
    <r>
      <rPr>
        <color rgb="FF1155CC"/>
        <u/>
      </rPr>
      <t>05-15099-00014</t>
    </r>
  </si>
  <si>
    <r>
      <rPr>
        <color rgb="FF1155CC"/>
        <u/>
      </rPr>
      <t>18-15075-14314</t>
    </r>
  </si>
  <si>
    <r>
      <rPr>
        <color rgb="FF1155CC"/>
        <u/>
      </rPr>
      <t>12-15085-06891</t>
    </r>
  </si>
  <si>
    <t>label sent , sealed, cx messaged</t>
  </si>
  <si>
    <r>
      <rPr>
        <color rgb="FF1155CC"/>
        <u/>
      </rPr>
      <t>14-15082-53283</t>
    </r>
  </si>
  <si>
    <t xml:space="preserve">W11043013 </t>
  </si>
  <si>
    <r>
      <rPr>
        <color rgb="FF1155CC"/>
        <u/>
      </rPr>
      <t>05-15098-94568</t>
    </r>
  </si>
  <si>
    <t>09-15090-35762</t>
  </si>
  <si>
    <r>
      <rPr>
        <color rgb="FF1155CC"/>
        <u/>
      </rPr>
      <t>27-15062-67096</t>
    </r>
  </si>
  <si>
    <t>Sealed, cx messaged</t>
  </si>
  <si>
    <r>
      <rPr>
        <color rgb="FF1155CC"/>
        <u/>
      </rPr>
      <t>17-15080-76158</t>
    </r>
  </si>
  <si>
    <t>Wrong part in the box</t>
  </si>
  <si>
    <t>24-15083-70330</t>
  </si>
  <si>
    <t xml:space="preserve">MESSAGE SENT TO CX, FACTORY SEALED </t>
  </si>
  <si>
    <r>
      <rPr>
        <color rgb="FF1155CC"/>
        <u/>
      </rPr>
      <t>10-15100-45056</t>
    </r>
  </si>
  <si>
    <t>Factory Sealed</t>
  </si>
  <si>
    <r>
      <rPr>
        <color rgb="FF1155CC"/>
        <u/>
      </rPr>
      <t>24-15087-47212</t>
    </r>
  </si>
  <si>
    <t>label sent, sealed, cx messaged</t>
  </si>
  <si>
    <r>
      <rPr>
        <color rgb="FF1155CC"/>
        <u/>
      </rPr>
      <t>22-15081-14704</t>
    </r>
  </si>
  <si>
    <r>
      <rPr>
        <color rgb="FF1155CC"/>
        <u/>
      </rPr>
      <t>09-15106-46771</t>
    </r>
  </si>
  <si>
    <r>
      <rPr>
        <color rgb="FF1155CC"/>
        <u/>
      </rPr>
      <t>12-15097-62452</t>
    </r>
  </si>
  <si>
    <r>
      <rPr>
        <color rgb="FF1155CC"/>
        <u/>
      </rPr>
      <t>03-15119-13711</t>
    </r>
  </si>
  <si>
    <t>DA94-02862B</t>
  </si>
  <si>
    <r>
      <rPr>
        <color rgb="FF1155CC"/>
        <u/>
      </rPr>
      <t>26-14968-34162</t>
    </r>
  </si>
  <si>
    <t>Item defective, open box</t>
  </si>
  <si>
    <r>
      <rPr>
        <color rgb="FF1155CC"/>
        <u/>
      </rPr>
      <t>25-15074-25322</t>
    </r>
  </si>
  <si>
    <t>27-15067-62818</t>
  </si>
  <si>
    <r>
      <rPr>
        <color rgb="FF1155CC"/>
        <u/>
      </rPr>
      <t>14-15089-74297</t>
    </r>
  </si>
  <si>
    <r>
      <rPr>
        <color rgb="FF1155CC"/>
        <u/>
      </rPr>
      <t>06-15112-62542</t>
    </r>
  </si>
  <si>
    <t xml:space="preserve">OPEN BOX, MESSAGE SENT </t>
  </si>
  <si>
    <r>
      <rPr>
        <color rgb="FF1155CC"/>
        <u/>
      </rPr>
      <t>18-15093-10948</t>
    </r>
  </si>
  <si>
    <t xml:space="preserve">open box, message sent </t>
  </si>
  <si>
    <r>
      <rPr>
        <color rgb="FF1155CC"/>
        <u/>
      </rPr>
      <t>04-14828-82432</t>
    </r>
  </si>
  <si>
    <t xml:space="preserve">WRONG ITEM SENT TO CX </t>
  </si>
  <si>
    <r>
      <rPr>
        <color rgb="FF1155CC"/>
        <u/>
      </rPr>
      <t>06-15115-35823</t>
    </r>
  </si>
  <si>
    <r>
      <rPr>
        <color rgb="FF1155CC"/>
        <u/>
      </rPr>
      <t>11-15104-16836</t>
    </r>
  </si>
  <si>
    <r>
      <rPr>
        <color rgb="FF1155CC"/>
        <u/>
      </rPr>
      <t>14-15099-39390</t>
    </r>
  </si>
  <si>
    <t>5304529549</t>
  </si>
  <si>
    <r>
      <rPr>
        <color rgb="FF1155CC"/>
        <u/>
      </rPr>
      <t>04-15121-72088</t>
    </r>
  </si>
  <si>
    <r>
      <rPr>
        <color rgb="FF1155CC"/>
        <u/>
      </rPr>
      <t>02-14985-26998</t>
    </r>
  </si>
  <si>
    <t xml:space="preserve">CX Stated "Doesn't Fit" </t>
  </si>
  <si>
    <r>
      <rPr>
        <color rgb="FF1155CC"/>
        <u/>
      </rPr>
      <t>08-15115-92617</t>
    </r>
  </si>
  <si>
    <r>
      <rPr>
        <color rgb="FF1155CC"/>
        <u/>
      </rPr>
      <t>06-15119-54311</t>
    </r>
  </si>
  <si>
    <t>DC92-02965B</t>
  </si>
  <si>
    <t xml:space="preserve">Ms. Anna did not take pictures, message sent to cx </t>
  </si>
  <si>
    <r>
      <rPr>
        <color rgb="FF1155CC"/>
        <u/>
      </rPr>
      <t>10-15115-61920</t>
    </r>
  </si>
  <si>
    <r>
      <rPr>
        <rFont val="Arial"/>
        <color rgb="FF434343"/>
      </rPr>
      <t>WH13X26535</t>
    </r>
  </si>
  <si>
    <r>
      <rPr>
        <color rgb="FF1155CC"/>
        <u/>
      </rPr>
      <t>05-15124-55625</t>
    </r>
  </si>
  <si>
    <r>
      <rPr>
        <color rgb="FF1155CC"/>
        <u/>
      </rPr>
      <t>15-15110-41203</t>
    </r>
  </si>
  <si>
    <r>
      <rPr>
        <color rgb="FF1155CC"/>
        <u/>
      </rPr>
      <t>20-15098-26010</t>
    </r>
  </si>
  <si>
    <r>
      <rPr>
        <color rgb="FF1155CC"/>
        <u/>
      </rPr>
      <t>10-15117-49391</t>
    </r>
  </si>
  <si>
    <t xml:space="preserve">MESSAGE SENT, FACTORY SEALED, ADDITIONAL PICTURES REQUESTED BUT NOT SENT BEFORE WAS SENT OUT </t>
  </si>
  <si>
    <t>09-15117-88119</t>
  </si>
  <si>
    <t xml:space="preserve">MESSAGE SENT, FACTORY SEALED </t>
  </si>
  <si>
    <r>
      <rPr>
        <color rgb="FF1155CC"/>
        <u/>
      </rPr>
      <t>04-15130-58902</t>
    </r>
  </si>
  <si>
    <r>
      <rPr>
        <color rgb="FF1155CC"/>
        <u/>
      </rPr>
      <t>08-15122-84135</t>
    </r>
  </si>
  <si>
    <t>Part was used. No stock all Branches. .</t>
  </si>
  <si>
    <r>
      <rPr>
        <color rgb="FF1155CC"/>
        <u/>
      </rPr>
      <t>02-15131-67386</t>
    </r>
  </si>
  <si>
    <t xml:space="preserve">part was not up to quality standards, looked used. Order canceled and message sent to cx No stock other branches </t>
  </si>
  <si>
    <t>07-15124-90136</t>
  </si>
  <si>
    <r>
      <rPr>
        <color rgb="FF1155CC"/>
        <u/>
      </rPr>
      <t>26-15091-74305</t>
    </r>
  </si>
  <si>
    <t>label sent and pictures posted to channel...</t>
  </si>
  <si>
    <r>
      <rPr>
        <color rgb="FF1155CC"/>
        <u/>
      </rPr>
      <t>01-15141-01199</t>
    </r>
  </si>
  <si>
    <r>
      <rPr>
        <color rgb="FF1155CC"/>
        <u/>
      </rPr>
      <t>05-15133-41583</t>
    </r>
  </si>
  <si>
    <t xml:space="preserve">W10830046 </t>
  </si>
  <si>
    <r>
      <rPr>
        <color rgb="FF1155CC"/>
        <u/>
      </rPr>
      <t>21-15103-54586</t>
    </r>
  </si>
  <si>
    <r>
      <rPr>
        <color rgb="FF1155CC"/>
        <u/>
      </rPr>
      <t>18-15105-23766</t>
    </r>
  </si>
  <si>
    <r>
      <rPr>
        <color rgb="FF1155CC"/>
        <u/>
      </rPr>
      <t>23-15100-15987</t>
    </r>
  </si>
  <si>
    <r>
      <rPr>
        <color rgb="FF1155CC"/>
        <u/>
      </rPr>
      <t>03-15133-06435</t>
    </r>
  </si>
  <si>
    <r>
      <rPr>
        <color rgb="FF1155CC"/>
        <u/>
      </rPr>
      <t>20-15106-30812</t>
    </r>
  </si>
  <si>
    <t>Open Box</t>
  </si>
  <si>
    <r>
      <rPr>
        <color rgb="FF1155CC"/>
        <u/>
      </rPr>
      <t>17-15122-70611</t>
    </r>
  </si>
  <si>
    <r>
      <rPr>
        <color rgb="FF1155CC"/>
        <u/>
      </rPr>
      <t>14-15132-79855</t>
    </r>
  </si>
  <si>
    <t>DC93-00694B</t>
  </si>
  <si>
    <r>
      <rPr>
        <color rgb="FF1155CC"/>
        <u/>
      </rPr>
      <t>10-15133-11544</t>
    </r>
  </si>
  <si>
    <t>no stock, cx messaged</t>
  </si>
  <si>
    <r>
      <rPr>
        <color rgb="FF1155CC"/>
        <u/>
      </rPr>
      <t>08-15128-80020</t>
    </r>
  </si>
  <si>
    <r>
      <rPr>
        <rFont val="Arial"/>
        <color rgb="FF434343"/>
      </rPr>
      <t>ADJ75472620</t>
    </r>
  </si>
  <si>
    <t>open box, label sent , cx messaged</t>
  </si>
  <si>
    <r>
      <rPr>
        <color rgb="FF1155CC"/>
        <u/>
      </rPr>
      <t>10-15129-28211</t>
    </r>
  </si>
  <si>
    <t>WB24X21192</t>
  </si>
  <si>
    <r>
      <rPr>
        <color rgb="FF1155CC"/>
        <u/>
      </rPr>
      <t>21-15117-53872</t>
    </r>
  </si>
  <si>
    <t xml:space="preserve">EAU64283201 </t>
  </si>
  <si>
    <t>sealed, shipping from MP , cx messaged</t>
  </si>
  <si>
    <r>
      <rPr>
        <color rgb="FF1155CC"/>
        <u/>
      </rPr>
      <t>23-15104-47584</t>
    </r>
  </si>
  <si>
    <t xml:space="preserve">W11510463 </t>
  </si>
  <si>
    <r>
      <rPr>
        <color rgb="FF1155CC"/>
        <u/>
      </rPr>
      <t>07-15131-30411</t>
    </r>
  </si>
  <si>
    <r>
      <rPr>
        <color rgb="FF1155CC"/>
        <u/>
      </rPr>
      <t>05-15149-75058</t>
    </r>
  </si>
  <si>
    <r>
      <rPr>
        <color rgb="FF1155CC"/>
        <u/>
      </rPr>
      <t>22-15119-83065</t>
    </r>
  </si>
  <si>
    <r>
      <rPr>
        <color rgb="FF1155CC"/>
        <u/>
      </rPr>
      <t>26-15110-82834</t>
    </r>
  </si>
  <si>
    <t>WH03X31098</t>
  </si>
  <si>
    <r>
      <rPr>
        <color rgb="FF1155CC"/>
        <u/>
      </rPr>
      <t>08-15132-51373</t>
    </r>
  </si>
  <si>
    <t xml:space="preserve">WD05X35098 </t>
  </si>
  <si>
    <t>18-15124-69560</t>
  </si>
  <si>
    <r>
      <rPr>
        <color rgb="FF1155CC"/>
        <u/>
      </rPr>
      <t>23-15112-62780</t>
    </r>
  </si>
  <si>
    <r>
      <rPr>
        <color rgb="FF1155CC"/>
        <u/>
      </rPr>
      <t>08-15138-21688</t>
    </r>
  </si>
  <si>
    <t xml:space="preserve">OPEN BOX MESSAGE SENT TO CX </t>
  </si>
  <si>
    <r>
      <rPr>
        <color rgb="FF1155CC"/>
        <u/>
      </rPr>
      <t>18-15113-76589</t>
    </r>
  </si>
  <si>
    <r>
      <rPr>
        <color rgb="FF1155CC"/>
        <u/>
      </rPr>
      <t>16-15114-95210</t>
    </r>
  </si>
  <si>
    <r>
      <rPr>
        <color rgb="FF1155CC"/>
        <u/>
      </rPr>
      <t>06-15148-10217</t>
    </r>
  </si>
  <si>
    <r>
      <rPr>
        <color rgb="FF1155CC"/>
        <u/>
      </rPr>
      <t>08-15031-62763</t>
    </r>
  </si>
  <si>
    <t>CX Stated "Doesn't match description"</t>
  </si>
  <si>
    <r>
      <rPr>
        <color rgb="FF1155CC"/>
        <u/>
      </rPr>
      <t>18-15126-90817</t>
    </r>
  </si>
  <si>
    <t xml:space="preserve">DA92-01364A </t>
  </si>
  <si>
    <r>
      <rPr>
        <color rgb="FF1155CC"/>
        <u/>
      </rPr>
      <t>18-15128-18500</t>
    </r>
  </si>
  <si>
    <r>
      <rPr>
        <color rgb="FF1155CC"/>
        <u/>
      </rPr>
      <t>27-15111-85701</t>
    </r>
  </si>
  <si>
    <t xml:space="preserve">no pictures taken, open box, message sent </t>
  </si>
  <si>
    <r>
      <rPr>
        <color rgb="FF1155CC"/>
        <u/>
      </rPr>
      <t>22-15120-47933</t>
    </r>
  </si>
  <si>
    <r>
      <rPr>
        <color rgb="FF1155CC"/>
        <u/>
      </rPr>
      <t>07-15147-54044</t>
    </r>
  </si>
  <si>
    <t>07-15147-29419</t>
  </si>
  <si>
    <r>
      <rPr>
        <color rgb="FF1155CC"/>
        <u/>
      </rPr>
      <t>13-15137-17879</t>
    </r>
  </si>
  <si>
    <t xml:space="preserve"> DD82-01756B</t>
  </si>
  <si>
    <r>
      <rPr>
        <color rgb="FF1155CC"/>
        <u/>
      </rPr>
      <t>12-15140-99973</t>
    </r>
  </si>
  <si>
    <r>
      <rPr>
        <color rgb="FF1155CC"/>
        <u/>
      </rPr>
      <t>15-15138-27780</t>
    </r>
  </si>
  <si>
    <t>AKC73369908</t>
  </si>
  <si>
    <r>
      <rPr>
        <color rgb="FF1155CC"/>
        <u/>
      </rPr>
      <t>04-15158-75906</t>
    </r>
  </si>
  <si>
    <r>
      <rPr>
        <color rgb="FF1155CC"/>
        <u/>
      </rPr>
      <t>11-15144-11920</t>
    </r>
  </si>
  <si>
    <r>
      <rPr>
        <color rgb="FF1155CC"/>
        <u/>
      </rPr>
      <t>21-15126-19812</t>
    </r>
  </si>
  <si>
    <t>label sent, sealed , CX messaged</t>
  </si>
  <si>
    <r>
      <rPr>
        <rFont val="Roboto"/>
        <color rgb="FF1155CC"/>
        <u/>
      </rPr>
      <t>25-15118-62613</t>
    </r>
  </si>
  <si>
    <t>23-15125-30885</t>
  </si>
  <si>
    <t>OPEN BOX, CX MESSAGED</t>
  </si>
  <si>
    <r>
      <rPr>
        <color rgb="FF1155CC"/>
        <u/>
      </rPr>
      <t>05-15158-11890</t>
    </r>
  </si>
  <si>
    <t>5304535307</t>
  </si>
  <si>
    <t>FACTORY SEALED, CX MESSAGED</t>
  </si>
  <si>
    <r>
      <rPr>
        <color rgb="FF1155CC"/>
        <u/>
      </rPr>
      <t>17-15134-66137</t>
    </r>
  </si>
  <si>
    <t>5304470538</t>
  </si>
  <si>
    <r>
      <rPr>
        <color rgb="FF1155CC"/>
        <u/>
      </rPr>
      <t>15-15137-62597</t>
    </r>
  </si>
  <si>
    <r>
      <rPr>
        <color rgb="FF1155CC"/>
        <u/>
      </rPr>
      <t>21-15125-08337</t>
    </r>
  </si>
  <si>
    <r>
      <rPr>
        <color rgb="FF1155CC"/>
        <u/>
      </rPr>
      <t>17-15138-21957</t>
    </r>
  </si>
  <si>
    <r>
      <rPr>
        <color rgb="FF1155CC"/>
        <u/>
      </rPr>
      <t>27-15119-97232</t>
    </r>
  </si>
  <si>
    <r>
      <rPr>
        <color rgb="FF1155CC"/>
        <u/>
      </rPr>
      <t>10-15150-76152</t>
    </r>
  </si>
  <si>
    <r>
      <rPr>
        <color rgb="FF1155CC"/>
        <u/>
      </rPr>
      <t>27-15119-75404</t>
    </r>
  </si>
  <si>
    <t>none in stock/ no pm at KV branch</t>
  </si>
  <si>
    <r>
      <rPr>
        <color rgb="FF1155CC"/>
        <u/>
      </rPr>
      <t>07-15156-48200</t>
    </r>
  </si>
  <si>
    <t xml:space="preserve">WR55X43390 </t>
  </si>
  <si>
    <t>label sent, open box,cx messaged</t>
  </si>
  <si>
    <r>
      <rPr>
        <color rgb="FF1155CC"/>
        <u/>
      </rPr>
      <t>11-15149-18209</t>
    </r>
  </si>
  <si>
    <t>Pending</t>
  </si>
  <si>
    <r>
      <rPr>
        <color rgb="FF1155CC"/>
        <u/>
      </rPr>
      <t>08-15154-88233</t>
    </r>
  </si>
  <si>
    <t xml:space="preserve">PART WAS NOT UP TO QUALITY STANDARDS, LOOKS USED. NO STOCK OTHER BRANCHES message sent to cx </t>
  </si>
  <si>
    <t>12-15148-95910</t>
  </si>
  <si>
    <t>WR55X46905</t>
  </si>
  <si>
    <r>
      <rPr>
        <color rgb="FF1155CC"/>
        <u/>
      </rPr>
      <t>20-15131-95738</t>
    </r>
  </si>
  <si>
    <t>WR23x28418</t>
  </si>
  <si>
    <r>
      <rPr>
        <color rgb="FF1155CC"/>
        <u/>
      </rPr>
      <t>02-15165-30935</t>
    </r>
  </si>
  <si>
    <t>DA-9201193E</t>
  </si>
  <si>
    <r>
      <rPr>
        <color rgb="FF1155CC"/>
        <u/>
      </rPr>
      <t>02-15165-30935</t>
    </r>
  </si>
  <si>
    <r>
      <rPr>
        <color rgb="FF1155CC"/>
        <u/>
      </rPr>
      <t>06-15066-67760</t>
    </r>
  </si>
  <si>
    <r>
      <rPr>
        <color rgb="FF1155CC"/>
        <u/>
      </rPr>
      <t>07-15155-28486</t>
    </r>
  </si>
  <si>
    <t xml:space="preserve">JACKSON MS </t>
  </si>
  <si>
    <r>
      <rPr>
        <color rgb="FF1155CC"/>
        <u/>
      </rPr>
      <t>20-15137-30063</t>
    </r>
  </si>
  <si>
    <t>label sent , cx request no invoice via ebay message, CX messaged</t>
  </si>
  <si>
    <r>
      <rPr>
        <color rgb="FF1155CC"/>
        <u/>
      </rPr>
      <t>20-15141-74605</t>
    </r>
  </si>
  <si>
    <t>none in stock, no pm in KV, cx messaged</t>
  </si>
  <si>
    <r>
      <rPr>
        <color rgb="FF1155CC"/>
        <u/>
      </rPr>
      <t>23-15146-07346</t>
    </r>
  </si>
  <si>
    <t xml:space="preserve">FACTORY SEALED, NO PICTURES(DISCORD WAS DOWN) MESSAGE SENT </t>
  </si>
  <si>
    <r>
      <rPr>
        <color rgb="FF1155CC"/>
        <u/>
      </rPr>
      <t>20-15151-31511</t>
    </r>
  </si>
  <si>
    <r>
      <rPr>
        <color rgb="FF1155CC"/>
        <u/>
      </rPr>
      <t>09-15171-12922</t>
    </r>
  </si>
  <si>
    <t xml:space="preserve">OPEN BOX, NO PICTURES(DISCORD WAS DOWN) MESSAGE SENT </t>
  </si>
  <si>
    <r>
      <rPr>
        <color rgb="FF1155CC"/>
        <u/>
      </rPr>
      <t>06-15173-86913</t>
    </r>
  </si>
  <si>
    <t>WR17X10817</t>
  </si>
  <si>
    <r>
      <rPr>
        <color rgb="FF1155CC"/>
        <u/>
      </rPr>
      <t>15-15156-96623</t>
    </r>
  </si>
  <si>
    <r>
      <rPr>
        <color rgb="FF1155CC"/>
        <u/>
      </rPr>
      <t>09-15171-87556</t>
    </r>
  </si>
  <si>
    <r>
      <rPr>
        <color rgb="FF1155CC"/>
        <u/>
      </rPr>
      <t>08-15172-35469</t>
    </r>
  </si>
  <si>
    <t xml:space="preserve">WH19X27244 </t>
  </si>
  <si>
    <r>
      <rPr>
        <color rgb="FF1155CC"/>
        <u/>
      </rPr>
      <t>24-15083-70330</t>
    </r>
  </si>
  <si>
    <t>WD05x10017x</t>
  </si>
  <si>
    <t xml:space="preserve">substitution parts were wrong on listing resulting in the wrong part being sent to cx </t>
  </si>
  <si>
    <r>
      <rPr>
        <color rgb="FF1155CC"/>
        <u/>
      </rPr>
      <t>04-15166-57380</t>
    </r>
  </si>
  <si>
    <r>
      <rPr>
        <color rgb="FF1155CC"/>
        <u/>
      </rPr>
      <t>17-15154-26113</t>
    </r>
  </si>
  <si>
    <r>
      <rPr>
        <color rgb="FF1155CC"/>
        <u/>
      </rPr>
      <t>15-15149-93949</t>
    </r>
  </si>
  <si>
    <t>DA97-07603C</t>
  </si>
  <si>
    <r>
      <rPr>
        <color rgb="FF1155CC"/>
        <u/>
      </rPr>
      <t>16-15146-22667</t>
    </r>
  </si>
  <si>
    <t>DA94-04226A</t>
  </si>
  <si>
    <r>
      <rPr>
        <color rgb="FF1155CC"/>
        <u/>
      </rPr>
      <t>15-15153-13446</t>
    </r>
  </si>
  <si>
    <r>
      <rPr>
        <color rgb="FF1155CC"/>
        <u/>
      </rPr>
      <t>03-15078-56126</t>
    </r>
  </si>
  <si>
    <t>CX Stated "Defective"</t>
  </si>
  <si>
    <r>
      <rPr>
        <color rgb="FF1155CC"/>
        <u/>
      </rPr>
      <t>10-15173-95042</t>
    </r>
  </si>
  <si>
    <r>
      <rPr>
        <color rgb="FF1155CC"/>
        <u/>
      </rPr>
      <t>04-15184-45909</t>
    </r>
  </si>
  <si>
    <r>
      <rPr>
        <color rgb="FF1155CC"/>
        <u/>
      </rPr>
      <t>06-15179-45058</t>
    </r>
  </si>
  <si>
    <r>
      <rPr>
        <color rgb="FF1155CC"/>
        <u/>
      </rPr>
      <t>01-15191-16067</t>
    </r>
  </si>
  <si>
    <t>None in stock/ no trained PM in KV, cx messaged</t>
  </si>
  <si>
    <r>
      <rPr>
        <color rgb="FF1155CC"/>
        <u/>
      </rPr>
      <t>15-15165-37700</t>
    </r>
  </si>
  <si>
    <t xml:space="preserve">No stock, cx messaged </t>
  </si>
  <si>
    <r>
      <rPr>
        <color rgb="FF1155CC"/>
        <u/>
      </rPr>
      <t>05-15187-15073</t>
    </r>
  </si>
  <si>
    <t xml:space="preserve">message sent to cx. Factory sealed </t>
  </si>
  <si>
    <r>
      <rPr>
        <color rgb="FF1155CC"/>
        <u/>
      </rPr>
      <t>09-15179-06316</t>
    </r>
  </si>
  <si>
    <r>
      <rPr>
        <color rgb="FF1155CC"/>
        <u/>
      </rPr>
      <t>27-15146-00045</t>
    </r>
  </si>
  <si>
    <t xml:space="preserve">NV shipping out for ATL, ATL part was mislabeled message sent to cx, factory sealed </t>
  </si>
  <si>
    <r>
      <rPr>
        <color rgb="FF1155CC"/>
        <u/>
      </rPr>
      <t>07-15184-69335</t>
    </r>
  </si>
  <si>
    <r>
      <rPr>
        <color rgb="FF1155CC"/>
        <u/>
      </rPr>
      <t>16-15165-44210</t>
    </r>
  </si>
  <si>
    <t>Ope box</t>
  </si>
  <si>
    <r>
      <rPr>
        <color rgb="FF1155CC"/>
        <u/>
      </rPr>
      <t>27-15148-15258</t>
    </r>
  </si>
  <si>
    <r>
      <rPr>
        <color rgb="FF1155CC"/>
        <u/>
      </rPr>
      <t>15-15170-13575</t>
    </r>
  </si>
  <si>
    <r>
      <rPr>
        <color rgb="FF1155CC"/>
        <u/>
      </rPr>
      <t>01-15199-59309</t>
    </r>
  </si>
  <si>
    <t>WE49X27231</t>
  </si>
  <si>
    <r>
      <rPr>
        <color rgb="FF1155CC"/>
        <u/>
      </rPr>
      <t>24-15168-85627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</si>
</sst>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M/d/yyyy"/>
  </numFmts>
  <fonts count="11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0.0"/>
      <color rgb="FF191919"/>
      <name val="&quot;Market Sans&quot;"/>
    </font>
    <font>
      <sz val="10.0"/>
      <color rgb="FF000000"/>
      <name val="&quot;Market Sans&quot;"/>
    </font>
    <font>
      <sz val="10.0"/>
      <color theme="1"/>
      <name val="Arial"/>
      <scheme val="minor"/>
    </font>
    <font>
      <color rgb="FF00FF00"/>
      <name val="Arial"/>
      <scheme val="minor"/>
    </font>
    <font>
      <sz val="11.0"/>
      <color theme="1"/>
      <name val="Arial"/>
      <scheme val="minor"/>
    </font>
    <font>
      <sz val="10.0"/>
      <color rgb="FF000000"/>
      <name val="Arial"/>
    </font>
    <font>
      <sz val="10.0"/>
      <color rgb="FF000000"/>
      <name val="Roboto"/>
    </font>
    <font>
      <b/>
      <sz val="13.0"/>
      <color theme="1"/>
      <name val="Arial"/>
      <scheme val="minor"/>
    </font>
    <font>
      <sz val="12.0"/>
      <color rgb="FF000000"/>
      <name val="&quot;Helvetica Neue&quot;"/>
    </font>
    <font>
      <sz val="9.0"/>
      <color theme="1"/>
      <name val="Arial"/>
    </font>
    <font>
      <sz val="14.0"/>
      <color theme="1"/>
      <name val="Arial"/>
    </font>
    <font>
      <color theme="6"/>
      <name val="Arial"/>
    </font>
    <font>
      <color theme="6"/>
      <name val="Arial"/>
      <scheme val="minor"/>
    </font>
    <font>
      <sz val="12.0"/>
      <color theme="1"/>
      <name val="Arial"/>
    </font>
    <font>
      <b/>
      <strike/>
      <color rgb="FFFF0000"/>
      <name val="Arial"/>
    </font>
    <font>
      <b/>
      <strike/>
      <color rgb="FFFF0000"/>
      <name val="Arial"/>
      <scheme val="minor"/>
    </font>
    <font>
      <sz val="11.0"/>
      <color theme="1"/>
      <name val="&quot;gg sans&quot;"/>
    </font>
    <font>
      <b/>
      <sz val="11.0"/>
      <color theme="1"/>
      <name val="Arial"/>
    </font>
    <font>
      <sz val="8.0"/>
      <color theme="1"/>
      <name val="Arial"/>
    </font>
    <font>
      <sz val="13.0"/>
      <color theme="1"/>
      <name val="Arial"/>
    </font>
    <font>
      <sz val="11.0"/>
      <color rgb="FF000000"/>
      <name val="Arial"/>
    </font>
    <font>
      <b/>
      <strike/>
      <sz val="10.0"/>
      <color rgb="FFFF0000"/>
      <name val="Arial"/>
      <scheme val="minor"/>
    </font>
    <font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sz val="11.0"/>
      <color rgb="FF191919"/>
      <name val="&quot;Market Sans&quot;"/>
    </font>
    <font>
      <b/>
      <color rgb="FF434343"/>
      <name val="Roboto"/>
    </font>
    <font>
      <b/>
      <sz val="14.0"/>
      <color theme="1"/>
      <name val="Arial"/>
    </font>
    <font>
      <color rgb="FF000000"/>
      <name val="Arial"/>
    </font>
    <font>
      <sz val="7.0"/>
      <color theme="1"/>
      <name val="Arial"/>
    </font>
    <font>
      <u/>
      <color rgb="FF0000FF"/>
      <name val="Roboto"/>
    </font>
    <font>
      <b/>
      <color rgb="FFFF0000"/>
      <name val="Arial"/>
      <scheme val="minor"/>
    </font>
    <font>
      <sz val="10.0"/>
      <color rgb="FF191919"/>
      <name val="Arial"/>
      <scheme val="minor"/>
    </font>
    <font>
      <sz val="12.0"/>
      <color rgb="FF000000"/>
      <name val="&quot;gg sans&quot;"/>
    </font>
    <font>
      <sz val="12.0"/>
      <color rgb="FF000000"/>
      <name val="Arial"/>
    </font>
    <font>
      <sz val="10.0"/>
      <color theme="1"/>
      <name val="&quot;gg sans&quot;"/>
    </font>
    <font>
      <sz val="12.0"/>
      <color theme="1"/>
      <name val="Inherit"/>
    </font>
    <font>
      <b/>
      <sz val="12.0"/>
      <color theme="1"/>
      <name val="Arial"/>
    </font>
    <font>
      <b/>
      <color theme="1"/>
      <name val="Arial"/>
    </font>
    <font>
      <b/>
      <sz val="12.0"/>
      <color theme="1"/>
      <name val="Inherit"/>
    </font>
    <font>
      <sz val="10.0"/>
      <color theme="1"/>
      <name val="&quot;Google Sans&quot;"/>
    </font>
    <font>
      <u/>
      <sz val="12.0"/>
      <color rgb="FF0000FF"/>
      <name val="&quot;Google Sans&quot;"/>
    </font>
    <font>
      <color rgb="FF434343"/>
      <name val="Arial"/>
    </font>
    <font>
      <sz val="10.0"/>
      <color rgb="FF434343"/>
      <name val="Arial"/>
    </font>
    <font>
      <color rgb="FF434343"/>
      <name val="Arial"/>
      <scheme val="minor"/>
    </font>
    <font>
      <sz val="10.0"/>
      <color rgb="FF434343"/>
      <name val="&quot;Market Sans&quot;"/>
    </font>
    <font>
      <sz val="10.0"/>
      <color rgb="FF434343"/>
      <name val="Arial"/>
      <scheme val="minor"/>
    </font>
    <font>
      <b/>
      <color rgb="FFFF0000"/>
      <name val="Arial"/>
    </font>
    <font>
      <b/>
      <color rgb="FF000000"/>
      <name val="Univers"/>
    </font>
    <font>
      <sz val="11.0"/>
      <color rgb="FF545454"/>
      <name val="&quot;Roboto Condensed&quot;"/>
    </font>
    <font>
      <sz val="12.0"/>
      <color rgb="FF000000"/>
      <name val="&quot;Market Sans&quot;"/>
    </font>
    <font>
      <sz val="11.0"/>
      <color rgb="FF111820"/>
      <name val="Arial"/>
    </font>
    <font>
      <sz val="11.0"/>
      <color rgb="FF000000"/>
      <name val="Roboto_re"/>
    </font>
    <font>
      <color rgb="FF666666"/>
      <name val="Arial"/>
      <scheme val="minor"/>
    </font>
    <font>
      <u/>
      <color rgb="FF1155CC"/>
      <name val="Arial"/>
      <scheme val="minor"/>
    </font>
    <font>
      <sz val="12.0"/>
      <color theme="1"/>
      <name val="&quot;gg sans&quot;"/>
    </font>
    <font>
      <u/>
      <color rgb="FF0000FF"/>
      <name val="Roboto"/>
    </font>
    <font>
      <sz val="10.0"/>
      <color rgb="FF191919"/>
      <name val="Roboto"/>
    </font>
    <font>
      <sz val="9.0"/>
      <color rgb="FF111820"/>
      <name val="&quot;Market Sans&quot;"/>
    </font>
    <font>
      <u/>
      <color rgb="FF0000FF"/>
      <name val="Roboto"/>
    </font>
    <font>
      <sz val="11.0"/>
      <color rgb="FF111820"/>
      <name val="&quot;Market Sans&quot;"/>
    </font>
    <font>
      <sz val="9.0"/>
      <color rgb="FF191919"/>
      <name val="&quot;Market Sans&quot;"/>
    </font>
    <font>
      <color rgb="FF434343"/>
      <name val="Roboto"/>
    </font>
    <font>
      <color rgb="FF2A4AB0"/>
      <name val="Roboto"/>
    </font>
    <font>
      <sz val="9.0"/>
      <color rgb="FF111820"/>
      <name val="Arial"/>
    </font>
    <font>
      <sz val="10.0"/>
      <color rgb="FF191919"/>
      <name val="Arial"/>
    </font>
    <font>
      <sz val="11.0"/>
      <color rgb="FF191919"/>
      <name val="Arial"/>
    </font>
    <font>
      <u/>
      <sz val="10.0"/>
      <color rgb="FF0000FF"/>
      <name val="Roboto"/>
    </font>
    <font>
      <sz val="10.0"/>
      <color rgb="FF111820"/>
      <name val="Roboto"/>
    </font>
    <font>
      <sz val="10.0"/>
      <color rgb="FF111820"/>
      <name val="Arial"/>
    </font>
    <font>
      <u/>
      <sz val="9.0"/>
      <color rgb="FF0000FF"/>
      <name val="&quot;Market Sans&quot;"/>
    </font>
    <font>
      <sz val="10.0"/>
      <color rgb="FF111820"/>
      <name val="&quot;Market Sans&quot;"/>
    </font>
    <font>
      <u/>
      <sz val="11.0"/>
      <color rgb="FF0000FF"/>
      <name val="&quot;Market Sans&quot;"/>
    </font>
    <font>
      <u/>
      <sz val="11.0"/>
      <color rgb="FF0000FF"/>
      <name val="Arial"/>
    </font>
    <font>
      <u/>
      <sz val="9.0"/>
      <color rgb="FF191919"/>
      <name val="&quot;Market Sans&quot;"/>
    </font>
    <font>
      <u/>
      <color rgb="FFFF0000"/>
      <name val="Roboto"/>
    </font>
    <font>
      <b/>
      <sz val="10.0"/>
      <color rgb="FF191919"/>
      <name val="Roboto"/>
    </font>
    <font>
      <u/>
      <color rgb="FF0000FF"/>
      <name val="Roboto"/>
    </font>
    <font>
      <u/>
      <color rgb="FF434343"/>
      <name val="Roboto"/>
    </font>
    <font>
      <u/>
      <color theme="4"/>
      <name val="Roboto"/>
    </font>
    <font>
      <u/>
      <sz val="10.0"/>
      <color rgb="FF3C78D8"/>
      <name val="Arial"/>
    </font>
    <font>
      <sz val="10.0"/>
      <color rgb="FF434343"/>
      <name val="Roboto"/>
    </font>
    <font>
      <u/>
      <sz val="11.0"/>
      <color rgb="FF707070"/>
      <name val="&quot;Market Sans&quot;"/>
    </font>
    <font>
      <sz val="12.0"/>
      <color rgb="FF434343"/>
      <name val="Arial"/>
    </font>
    <font>
      <sz val="10.0"/>
      <color theme="1"/>
      <name val="Roboto"/>
    </font>
    <font>
      <sz val="10.0"/>
      <color rgb="FF434343"/>
      <name val="&quot;gg sans&quot;"/>
    </font>
    <font>
      <u/>
      <color rgb="FF434343"/>
      <name val="Roboto"/>
    </font>
    <font>
      <color rgb="FFFFFFFF"/>
      <name val="Arial"/>
      <scheme val="minor"/>
    </font>
    <font>
      <color rgb="FF1F1F1F"/>
      <name val="Arial"/>
      <scheme val="minor"/>
    </font>
    <font>
      <u/>
      <color rgb="FF0000FF"/>
      <name val="Roboto"/>
    </font>
    <font>
      <u/>
      <sz val="10.0"/>
      <color rgb="FF1155CC"/>
      <name val="Arial"/>
    </font>
    <font>
      <u/>
      <color rgb="FF434343"/>
      <name val="Roboto"/>
    </font>
    <font>
      <color rgb="FF7D0304"/>
      <name val="Roboto"/>
    </font>
    <font>
      <color rgb="FF3D3D3D"/>
      <name val="Roboto"/>
    </font>
    <font>
      <color rgb="FF191919"/>
      <name val="Roboto"/>
    </font>
    <font>
      <color theme="1"/>
      <name val="Roboto"/>
    </font>
    <font>
      <u/>
      <sz val="10.0"/>
      <color rgb="FF1155CC"/>
      <name val="&quot;Market Sans&quot;"/>
    </font>
    <font>
      <u/>
      <sz val="10.0"/>
      <color rgb="FFFFFFFF"/>
      <name val="&quot;Market Sans&quot;"/>
    </font>
    <font>
      <u/>
      <sz val="10.0"/>
      <color rgb="FF0000FF"/>
      <name val="Roboto"/>
    </font>
    <font>
      <u/>
      <color rgb="FF0000FF"/>
      <name val="Roboto"/>
    </font>
    <font>
      <u/>
      <color rgb="FF434343"/>
      <name val="Roboto"/>
    </font>
    <font>
      <color rgb="FF7D0304"/>
      <name val="Arial"/>
    </font>
    <font>
      <color rgb="FF3D3D3D"/>
      <name val="Arial"/>
    </font>
    <font>
      <u/>
      <color rgb="FF1155CC"/>
      <name val="Roboto"/>
    </font>
    <font>
      <sz val="11.0"/>
      <color rgb="FF707070"/>
      <name val="Arial"/>
    </font>
    <font>
      <sz val="11.0"/>
      <color rgb="FF434343"/>
      <name val="Arial"/>
    </font>
    <font>
      <sz val="10.0"/>
      <color rgb="FF434343"/>
      <name val="Gg sans"/>
    </font>
  </fonts>
  <fills count="1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F8F9FA"/>
        <bgColor rgb="FFF8F9FA"/>
      </patternFill>
    </fill>
    <fill>
      <patternFill patternType="solid">
        <fgColor rgb="FFEFF8FF"/>
        <bgColor rgb="FFEFF8FF"/>
      </patternFill>
    </fill>
    <fill>
      <patternFill patternType="solid">
        <fgColor rgb="FFF6F8F9"/>
        <bgColor rgb="FFF6F8F9"/>
      </patternFill>
    </fill>
    <fill>
      <patternFill patternType="solid">
        <fgColor rgb="FFD7DADD"/>
        <bgColor rgb="FFD7DADD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  <fill>
      <patternFill patternType="solid">
        <fgColor rgb="FF626E7A"/>
        <bgColor rgb="FF626E7A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69696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D7DADD"/>
      </right>
      <top>
        <color rgb="FF4A535C"/>
      </top>
      <bottom style="thin">
        <color rgb="FF4A535C"/>
      </bottom>
    </border>
    <border>
      <left style="thin">
        <color rgb="FFD7DADD"/>
      </left>
      <right style="thin">
        <color rgb="FFD7DADD"/>
      </right>
      <top>
        <color rgb="FF4A535C"/>
      </top>
      <bottom style="thin">
        <color rgb="FF4A535C"/>
      </bottom>
    </border>
    <border>
      <left style="thin">
        <color rgb="FFD7DADD"/>
      </left>
      <right style="thin">
        <color rgb="FF4A535C"/>
      </right>
      <top>
        <color rgb="FF4A535C"/>
      </top>
      <bottom style="thin">
        <color rgb="FF4A535C"/>
      </bottom>
    </border>
    <border>
      <top style="medium">
        <color rgb="FFEEEEEE"/>
      </top>
      <bottom style="thin">
        <color rgb="FFEEEEEE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4A535C"/>
      </right>
    </border>
    <border>
      <left style="thin">
        <color rgb="FFF6F8F9"/>
      </left>
      <right style="thin">
        <color rgb="FFF6F8F9"/>
      </right>
      <top style="thin">
        <color rgb="FFF6F8F9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FFFFF"/>
      </top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</borders>
  <cellStyleXfs count="1">
    <xf borderId="0" fillId="0" fontId="0" numFmtId="0" applyAlignment="1" applyFont="1"/>
  </cellStyleXfs>
  <cellXfs count="5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14" xfId="0" applyAlignment="1" applyFont="1" applyNumberFormat="1">
      <alignment horizontal="left" readingOrder="0" vertical="bottom"/>
    </xf>
    <xf borderId="0" fillId="0" fontId="5" numFmtId="49" xfId="0" applyAlignment="1" applyFont="1" applyNumberFormat="1">
      <alignment horizontal="left" readingOrder="0" vertical="bottom"/>
    </xf>
    <xf borderId="0" fillId="0" fontId="4" numFmtId="1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readingOrder="0"/>
    </xf>
    <xf borderId="0" fillId="3" fontId="7" numFmtId="49" xfId="0" applyAlignment="1" applyFill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8" numFmtId="0" xfId="0" applyAlignment="1" applyFill="1" applyFont="1">
      <alignment readingOrder="0"/>
    </xf>
    <xf borderId="0" fillId="0" fontId="4" numFmtId="164" xfId="0" applyAlignment="1" applyFont="1" applyNumberFormat="1">
      <alignment horizontal="center" readingOrder="0" vertical="bottom"/>
    </xf>
    <xf borderId="0" fillId="3" fontId="7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2" fontId="3" numFmtId="0" xfId="0" applyAlignment="1" applyFill="1" applyFont="1">
      <alignment horizontal="left"/>
    </xf>
    <xf borderId="0" fillId="2" fontId="4" numFmtId="0" xfId="0" applyAlignment="1" applyFill="1" applyFont="1">
      <alignment horizontal="left"/>
    </xf>
    <xf borderId="0" fillId="2" fontId="3" numFmtId="0" xfId="0" applyFill="1" applyFont="1"/>
    <xf borderId="0" fillId="2" fontId="3" numFmtId="0" xfId="0" applyAlignment="1" applyFill="1" applyFont="1">
      <alignment horizontal="center"/>
    </xf>
    <xf borderId="0" fillId="0" fontId="3" numFmtId="14" xfId="0" applyAlignment="1" applyFont="1" applyNumberFormat="1">
      <alignment horizontal="left" readingOrder="0"/>
    </xf>
    <xf borderId="0" fillId="2" fontId="10" numFmtId="0" xfId="0" applyFill="1" applyFont="1"/>
    <xf borderId="0" fillId="0" fontId="4" numFmtId="0" xfId="0" applyAlignment="1" applyFont="1">
      <alignment horizontal="left" readingOrder="0"/>
    </xf>
    <xf borderId="0" fillId="2" fontId="10" numFmtId="0" xfId="0" applyAlignment="1" applyFill="1" applyFont="1">
      <alignment horizontal="center"/>
    </xf>
    <xf borderId="0" fillId="0" fontId="3" numFmtId="0" xfId="0" applyAlignment="1" applyFont="1">
      <alignment readingOrder="0"/>
    </xf>
    <xf borderId="0" fillId="0" fontId="4" numFmtId="14" xfId="0" applyAlignment="1" applyFont="1" applyNumberFormat="1">
      <alignment horizontal="right" readingOrder="0" vertical="bottom"/>
    </xf>
    <xf borderId="0" fillId="0" fontId="4" numFmtId="0" xfId="0" applyAlignment="1" applyFont="1">
      <alignment horizontal="center" vertical="bottom"/>
    </xf>
    <xf borderId="0" fillId="4" fontId="9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readingOrder="0" vertical="bottom"/>
    </xf>
    <xf borderId="0" fillId="0" fontId="9" numFmtId="0" xfId="0" applyFont="1"/>
    <xf borderId="0" fillId="5" fontId="4" numFmtId="14" xfId="0" applyAlignment="1" applyFill="1" applyFont="1" applyNumberFormat="1">
      <alignment horizontal="left" readingOrder="0" vertical="bottom"/>
    </xf>
    <xf borderId="0" fillId="5" fontId="9" numFmtId="0" xfId="0" applyFill="1" applyFont="1"/>
    <xf borderId="0" fillId="5" fontId="6" numFmtId="0" xfId="0" applyAlignment="1" applyFill="1" applyFont="1">
      <alignment readingOrder="0" vertical="bottom"/>
    </xf>
    <xf borderId="0" fillId="5" fontId="4" numFmtId="0" xfId="0" applyAlignment="1" applyFill="1" applyFont="1">
      <alignment readingOrder="0" vertical="bottom"/>
    </xf>
    <xf borderId="0" fillId="5" fontId="3" numFmtId="164" xfId="0" applyAlignment="1" applyFill="1" applyFont="1" applyNumberForma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5" fontId="3" numFmtId="0" xfId="0" applyFill="1" applyFont="1"/>
    <xf borderId="0" fillId="0" fontId="4" numFmtId="0" xfId="0" applyAlignment="1" applyFont="1">
      <alignment horizontal="left" vertical="bottom"/>
    </xf>
    <xf borderId="0" fillId="4" fontId="4" numFmtId="49" xfId="0" applyAlignment="1" applyFill="1" applyFont="1" applyNumberFormat="1">
      <alignment readingOrder="0" vertical="bottom"/>
    </xf>
    <xf borderId="0" fillId="3" fontId="3" numFmtId="0" xfId="0" applyAlignment="1" applyFill="1" applyFont="1">
      <alignment horizontal="center" readingOrder="0"/>
    </xf>
    <xf borderId="0" fillId="3" fontId="4" numFmtId="49" xfId="0" applyAlignment="1" applyFill="1" applyFont="1" applyNumberFormat="1">
      <alignment horizontal="left" vertical="bottom"/>
    </xf>
    <xf borderId="0" fillId="0" fontId="11" numFmtId="0" xfId="0" applyFont="1"/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3" numFmtId="165" xfId="0" applyAlignment="1" applyFont="1" applyNumberFormat="1">
      <alignment horizontal="left" readingOrder="0"/>
    </xf>
    <xf borderId="0" fillId="3" fontId="12" numFmtId="0" xfId="0" applyAlignment="1" applyFill="1" applyFont="1">
      <alignment horizontal="left" readingOrder="0"/>
    </xf>
    <xf borderId="0" fillId="3" fontId="12" numFmtId="49" xfId="0" applyAlignment="1" applyFill="1" applyFont="1" applyNumberForma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3" fontId="13" numFmtId="0" xfId="0" applyAlignment="1" applyFill="1" applyFont="1">
      <alignment horizontal="left" readingOrder="0" vertical="bottom"/>
    </xf>
    <xf borderId="0" fillId="3" fontId="13" numFmtId="49" xfId="0" applyAlignment="1" applyFill="1" applyFont="1" applyNumberFormat="1">
      <alignment horizontal="left" readingOrder="0" vertical="bottom"/>
    </xf>
    <xf borderId="0" fillId="2" fontId="4" numFmtId="14" xfId="0" applyAlignment="1" applyFill="1" applyFont="1" applyNumberFormat="1">
      <alignment horizontal="left" readingOrder="0" vertical="bottom"/>
    </xf>
    <xf borderId="0" fillId="2" fontId="9" numFmtId="0" xfId="0" applyFill="1" applyFont="1"/>
    <xf borderId="0" fillId="6" fontId="14" numFmtId="0" xfId="0" applyAlignment="1" applyFill="1" applyFont="1">
      <alignment readingOrder="0"/>
    </xf>
    <xf borderId="0" fillId="6" fontId="3" numFmtId="0" xfId="0" applyFill="1" applyFont="1"/>
    <xf borderId="0" fillId="2" fontId="11" numFmtId="0" xfId="0" applyFill="1" applyFont="1"/>
    <xf borderId="0" fillId="6" fontId="4" numFmtId="164" xfId="0" applyAlignment="1" applyFill="1" applyFont="1" applyNumberFormat="1">
      <alignment horizontal="center" readingOrder="0" vertical="bottom"/>
    </xf>
    <xf borderId="0" fillId="6" fontId="3" numFmtId="0" xfId="0" applyAlignment="1" applyFill="1" applyFont="1">
      <alignment horizontal="center" readingOrder="0"/>
    </xf>
    <xf borderId="0" fillId="0" fontId="6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 vertical="bottom"/>
    </xf>
    <xf borderId="0" fillId="0" fontId="15" numFmtId="0" xfId="0" applyAlignment="1" applyFont="1">
      <alignment readingOrder="0"/>
    </xf>
    <xf borderId="0" fillId="0" fontId="16" numFmtId="49" xfId="0" applyAlignment="1" applyFont="1" applyNumberFormat="1">
      <alignment readingOrder="0" vertical="bottom"/>
    </xf>
    <xf borderId="0" fillId="2" fontId="4" numFmtId="0" xfId="0" applyAlignment="1" applyFill="1" applyFont="1">
      <alignment readingOrder="0" vertical="bottom"/>
    </xf>
    <xf borderId="0" fillId="0" fontId="3" numFmtId="165" xfId="0" applyAlignment="1" applyFont="1" applyNumberFormat="1">
      <alignment readingOrder="0"/>
    </xf>
    <xf borderId="0" fillId="0" fontId="5" numFmtId="49" xfId="0" applyAlignment="1" applyFont="1" applyNumberFormat="1">
      <alignment vertical="bottom"/>
    </xf>
    <xf borderId="0" fillId="7" fontId="4" numFmtId="14" xfId="0" applyAlignment="1" applyFill="1" applyFont="1" applyNumberFormat="1">
      <alignment horizontal="right" readingOrder="0" vertical="bottom"/>
    </xf>
    <xf borderId="0" fillId="7" fontId="3" numFmtId="0" xfId="0" applyFill="1" applyFont="1"/>
    <xf borderId="0" fillId="0" fontId="6" numFmtId="49" xfId="0" applyAlignment="1" applyFont="1" applyNumberFormat="1">
      <alignment vertical="bottom"/>
    </xf>
    <xf borderId="0" fillId="7" fontId="4" numFmtId="0" xfId="0" applyAlignment="1" applyFill="1" applyFont="1">
      <alignment readingOrder="0" vertical="bottom"/>
    </xf>
    <xf borderId="0" fillId="7" fontId="4" numFmtId="164" xfId="0" applyAlignment="1" applyFill="1" applyFont="1" applyNumberFormat="1">
      <alignment horizontal="center" readingOrder="0" vertical="bottom"/>
    </xf>
    <xf borderId="0" fillId="7" fontId="3" numFmtId="0" xfId="0" applyAlignment="1" applyFill="1" applyFont="1">
      <alignment horizontal="center" readingOrder="0"/>
    </xf>
    <xf borderId="0" fillId="3" fontId="13" numFmtId="49" xfId="0" applyAlignment="1" applyFill="1" applyFont="1" applyNumberFormat="1">
      <alignment horizontal="left" vertical="bottom"/>
    </xf>
    <xf borderId="0" fillId="8" fontId="4" numFmtId="14" xfId="0" applyAlignment="1" applyFill="1" applyFont="1" applyNumberFormat="1">
      <alignment horizontal="right" readingOrder="0" vertical="bottom"/>
    </xf>
    <xf borderId="0" fillId="8" fontId="3" numFmtId="0" xfId="0" applyFill="1" applyFont="1"/>
    <xf borderId="0" fillId="8" fontId="4" numFmtId="0" xfId="0" applyAlignment="1" applyFill="1" applyFont="1">
      <alignment readingOrder="0" vertical="bottom"/>
    </xf>
    <xf borderId="0" fillId="8" fontId="4" numFmtId="164" xfId="0" applyAlignment="1" applyFill="1" applyFont="1" applyNumberFormat="1">
      <alignment horizontal="center" readingOrder="0" vertical="bottom"/>
    </xf>
    <xf borderId="0" fillId="8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horizontal="left" readingOrder="0" vertical="bottom"/>
    </xf>
    <xf borderId="0" fillId="0" fontId="17" numFmtId="49" xfId="0" applyAlignment="1" applyFont="1" applyNumberFormat="1">
      <alignment vertical="bottom"/>
    </xf>
    <xf borderId="0" fillId="3" fontId="13" numFmtId="0" xfId="0" applyAlignment="1" applyFill="1" applyFont="1">
      <alignment horizontal="center" readingOrder="0" vertical="bottom"/>
    </xf>
    <xf borderId="0" fillId="6" fontId="4" numFmtId="14" xfId="0" applyAlignment="1" applyFill="1" applyFont="1" applyNumberFormat="1">
      <alignment horizontal="right" readingOrder="0" vertical="bottom"/>
    </xf>
    <xf borderId="0" fillId="6" fontId="3" numFmtId="0" xfId="0" applyAlignment="1" applyFill="1" applyFont="1">
      <alignment horizontal="center"/>
    </xf>
    <xf borderId="0" fillId="6" fontId="4" numFmtId="0" xfId="0" applyAlignment="1" applyFill="1" applyFont="1">
      <alignment horizontal="center" readingOrder="0" vertical="bottom"/>
    </xf>
    <xf borderId="0" fillId="9" fontId="18" numFmtId="14" xfId="0" applyAlignment="1" applyFill="1" applyFont="1" applyNumberFormat="1">
      <alignment horizontal="right" readingOrder="0" vertical="bottom"/>
    </xf>
    <xf borderId="0" fillId="9" fontId="19" numFmtId="0" xfId="0" applyAlignment="1" applyFill="1" applyFont="1">
      <alignment horizontal="center"/>
    </xf>
    <xf borderId="0" fillId="9" fontId="18" numFmtId="0" xfId="0" applyAlignment="1" applyFill="1" applyFont="1">
      <alignment horizontal="center" readingOrder="0" vertical="bottom"/>
    </xf>
    <xf borderId="0" fillId="9" fontId="18" numFmtId="164" xfId="0" applyAlignment="1" applyFill="1" applyFont="1" applyNumberFormat="1">
      <alignment horizontal="center" readingOrder="0" vertical="bottom"/>
    </xf>
    <xf borderId="0" fillId="9" fontId="19" numFmtId="0" xfId="0" applyAlignment="1" applyFill="1" applyFont="1">
      <alignment horizontal="center" readingOrder="0"/>
    </xf>
    <xf borderId="0" fillId="0" fontId="20" numFmtId="49" xfId="0" applyAlignment="1" applyFont="1" applyNumberFormat="1">
      <alignment vertical="bottom"/>
    </xf>
    <xf borderId="0" fillId="2" fontId="6" numFmtId="0" xfId="0" applyAlignment="1" applyFill="1" applyFont="1">
      <alignment readingOrder="0" vertical="bottom"/>
    </xf>
    <xf borderId="0" fillId="2" fontId="3" numFmtId="165" xfId="0" applyAlignment="1" applyFill="1" applyFont="1" applyNumberFormat="1">
      <alignment readingOrder="0"/>
    </xf>
    <xf borderId="0" fillId="0" fontId="17" numFmtId="49" xfId="0" applyAlignment="1" applyFont="1" applyNumberFormat="1">
      <alignment readingOrder="0" vertical="bottom"/>
    </xf>
    <xf borderId="0" fillId="8" fontId="3" numFmtId="0" xfId="0" applyAlignment="1" applyFill="1" applyFont="1">
      <alignment horizontal="center"/>
    </xf>
    <xf borderId="0" fillId="8" fontId="4" numFmtId="0" xfId="0" applyAlignment="1" applyFill="1" applyFont="1">
      <alignment horizontal="center" readingOrder="0" vertical="bottom"/>
    </xf>
    <xf borderId="1" fillId="2" fontId="3" numFmtId="0" xfId="0" applyBorder="1" applyFill="1" applyFont="1"/>
    <xf borderId="1" fillId="0" fontId="4" numFmtId="1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21" numFmtId="14" xfId="0" applyAlignment="1" applyBorder="1" applyFont="1" applyNumberFormat="1">
      <alignment horizontal="right" readingOrder="0" vertical="bottom"/>
    </xf>
    <xf borderId="1" fillId="0" fontId="22" numFmtId="0" xfId="0" applyAlignment="1" applyBorder="1" applyFont="1">
      <alignment horizontal="left" readingOrder="0"/>
    </xf>
    <xf borderId="1" fillId="0" fontId="21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readingOrder="0"/>
    </xf>
    <xf borderId="0" fillId="3" fontId="3" numFmtId="0" xfId="0" applyAlignment="1" applyFill="1" applyFont="1">
      <alignment horizontal="left" readingOrder="0"/>
    </xf>
    <xf borderId="0" fillId="3" fontId="3" numFmtId="0" xfId="0" applyAlignment="1" applyFill="1" applyFont="1">
      <alignment horizontal="center"/>
    </xf>
    <xf borderId="0" fillId="3" fontId="3" numFmtId="0" xfId="0" applyFill="1" applyFont="1"/>
    <xf borderId="0" fillId="0" fontId="23" numFmtId="0" xfId="0" applyAlignment="1" applyFont="1">
      <alignment horizontal="left" readingOrder="0"/>
    </xf>
    <xf borderId="0" fillId="0" fontId="24" numFmtId="49" xfId="0" applyAlignment="1" applyFont="1" applyNumberFormat="1">
      <alignment readingOrder="0" vertical="bottom"/>
    </xf>
    <xf borderId="0" fillId="0" fontId="25" numFmtId="49" xfId="0" applyAlignment="1" applyFont="1" applyNumberFormat="1">
      <alignment vertical="bottom"/>
    </xf>
    <xf borderId="0" fillId="0" fontId="26" numFmtId="49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2" fontId="9" numFmtId="0" xfId="0" applyAlignment="1" applyFill="1" applyFont="1">
      <alignment readingOrder="0"/>
    </xf>
    <xf borderId="1" fillId="0" fontId="3" numFmtId="14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horizontal="center" readingOrder="0"/>
    </xf>
    <xf borderId="0" fillId="0" fontId="27" numFmtId="0" xfId="0" applyAlignment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3" numFmtId="164" xfId="0" applyAlignment="1" applyFont="1" applyNumberFormat="1">
      <alignment horizontal="center"/>
    </xf>
    <xf borderId="1" fillId="0" fontId="22" numFmtId="14" xfId="0" applyAlignment="1" applyBorder="1" applyFont="1" applyNumberFormat="1">
      <alignment horizontal="center" readingOrder="0"/>
    </xf>
    <xf borderId="1" fillId="0" fontId="28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center" readingOrder="0"/>
    </xf>
    <xf borderId="1" fillId="0" fontId="22" numFmtId="164" xfId="0" applyAlignment="1" applyBorder="1" applyFont="1" applyNumberFormat="1">
      <alignment horizontal="center" readingOrder="0"/>
    </xf>
    <xf borderId="1" fillId="0" fontId="22" numFmtId="0" xfId="0" applyAlignment="1" applyBorder="1" applyFont="1">
      <alignment horizontal="center"/>
    </xf>
    <xf borderId="1" fillId="2" fontId="3" numFmtId="14" xfId="0" applyAlignment="1" applyBorder="1" applyFill="1" applyFont="1" applyNumberFormat="1">
      <alignment horizontal="center" readingOrder="0"/>
    </xf>
    <xf borderId="1" fillId="2" fontId="0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2" fontId="3" numFmtId="164" xfId="0" applyAlignment="1" applyBorder="1" applyFill="1" applyFont="1" applyNumberFormat="1">
      <alignment horizontal="center" readingOrder="0"/>
    </xf>
    <xf borderId="1" fillId="2" fontId="3" numFmtId="0" xfId="0" applyAlignment="1" applyBorder="1" applyFill="1" applyFont="1">
      <alignment horizontal="center"/>
    </xf>
    <xf borderId="0" fillId="4" fontId="3" numFmtId="0" xfId="0" applyAlignment="1" applyFill="1" applyFont="1">
      <alignment horizontal="left" readingOrder="0"/>
    </xf>
    <xf borderId="1" fillId="3" fontId="8" numFmtId="0" xfId="0" applyAlignment="1" applyBorder="1" applyFill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1" fillId="2" fontId="29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2" fontId="3" numFmtId="165" xfId="0" applyAlignment="1" applyBorder="1" applyFill="1" applyFont="1" applyNumberFormat="1">
      <alignment horizontal="center" readingOrder="0"/>
    </xf>
    <xf borderId="1" fillId="2" fontId="29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horizontal="center" vertical="bottom"/>
    </xf>
    <xf borderId="1" fillId="0" fontId="3" numFmtId="165" xfId="0" applyAlignment="1" applyBorder="1" applyFont="1" applyNumberFormat="1">
      <alignment horizontal="center" readingOrder="0"/>
    </xf>
    <xf borderId="0" fillId="2" fontId="3" numFmtId="0" xfId="0" applyAlignment="1" applyFill="1" applyFont="1">
      <alignment readingOrder="0"/>
    </xf>
    <xf borderId="1" fillId="3" fontId="29" numFmtId="0" xfId="0" applyAlignment="1" applyBorder="1" applyFill="1" applyFont="1">
      <alignment horizontal="center" readingOrder="0" shrinkToFit="0" wrapText="0"/>
    </xf>
    <xf borderId="1" fillId="0" fontId="29" numFmtId="165" xfId="0" applyAlignment="1" applyBorder="1" applyFont="1" applyNumberFormat="1">
      <alignment horizontal="center" readingOrder="0"/>
    </xf>
    <xf borderId="1" fillId="10" fontId="30" numFmtId="0" xfId="0" applyAlignment="1" applyBorder="1" applyFill="1" applyFont="1">
      <alignment horizontal="center" readingOrder="0" shrinkToFit="0" wrapText="0"/>
    </xf>
    <xf borderId="1" fillId="3" fontId="30" numFmtId="0" xfId="0" applyAlignment="1" applyBorder="1" applyFill="1" applyFont="1">
      <alignment horizontal="center" readingOrder="0" shrinkToFit="0" wrapText="0"/>
    </xf>
    <xf borderId="1" fillId="10" fontId="29" numFmtId="0" xfId="0" applyAlignment="1" applyBorder="1" applyFill="1" applyFont="1">
      <alignment horizontal="center" readingOrder="0" shrinkToFit="0" wrapText="0"/>
    </xf>
    <xf borderId="1" fillId="3" fontId="29" numFmtId="0" xfId="0" applyAlignment="1" applyBorder="1" applyFill="1" applyFont="1">
      <alignment horizontal="center" readingOrder="0" shrinkToFit="0" wrapText="0"/>
    </xf>
    <xf borderId="1" fillId="2" fontId="29" numFmtId="0" xfId="0" applyAlignment="1" applyBorder="1" applyFill="1" applyFont="1">
      <alignment horizontal="center"/>
    </xf>
    <xf borderId="1" fillId="3" fontId="31" numFmtId="0" xfId="0" applyAlignment="1" applyBorder="1" applyFill="1" applyFont="1">
      <alignment readingOrder="0" shrinkToFit="0" wrapText="0"/>
    </xf>
    <xf borderId="0" fillId="0" fontId="26" numFmtId="49" xfId="0" applyAlignment="1" applyFont="1" applyNumberFormat="1">
      <alignment readingOrder="0" vertical="bottom"/>
    </xf>
    <xf borderId="0" fillId="3" fontId="32" numFmtId="0" xfId="0" applyAlignment="1" applyFill="1" applyFont="1">
      <alignment horizontal="left" readingOrder="0"/>
    </xf>
    <xf borderId="2" fillId="10" fontId="33" numFmtId="0" xfId="0" applyAlignment="1" applyBorder="1" applyFill="1" applyFont="1">
      <alignment horizontal="center" readingOrder="0" shrinkToFit="0" wrapText="0"/>
    </xf>
    <xf borderId="3" fillId="3" fontId="33" numFmtId="0" xfId="0" applyAlignment="1" applyBorder="1" applyFill="1" applyFont="1">
      <alignment horizontal="center" readingOrder="0" shrinkToFit="0" wrapText="0"/>
    </xf>
    <xf borderId="1" fillId="3" fontId="30" numFmtId="0" xfId="0" applyAlignment="1" applyBorder="1" applyFill="1" applyFont="1">
      <alignment horizontal="center" readingOrder="0" shrinkToFit="0" wrapText="0"/>
    </xf>
    <xf borderId="0" fillId="0" fontId="34" numFmtId="49" xfId="0" applyAlignment="1" applyFont="1" applyNumberFormat="1">
      <alignment readingOrder="0" vertical="bottom"/>
    </xf>
    <xf borderId="1" fillId="3" fontId="29" numFmtId="165" xfId="0" applyAlignment="1" applyBorder="1" applyFill="1" applyFont="1" applyNumberFormat="1">
      <alignment horizontal="center" readingOrder="0"/>
    </xf>
    <xf borderId="1" fillId="3" fontId="29" numFmtId="0" xfId="0" applyAlignment="1" applyBorder="1" applyFill="1" applyFont="1">
      <alignment horizontal="center" readingOrder="0"/>
    </xf>
    <xf borderId="1" fillId="3" fontId="35" numFmtId="0" xfId="0" applyAlignment="1" applyBorder="1" applyFill="1" applyFont="1">
      <alignment horizontal="center" vertical="bottom"/>
    </xf>
    <xf borderId="1" fillId="3" fontId="29" numFmtId="164" xfId="0" applyAlignment="1" applyBorder="1" applyFill="1" applyFont="1" applyNumberFormat="1">
      <alignment horizontal="center" readingOrder="0"/>
    </xf>
    <xf borderId="1" fillId="3" fontId="29" numFmtId="0" xfId="0" applyAlignment="1" applyBorder="1" applyFill="1" applyFont="1">
      <alignment horizontal="center"/>
    </xf>
    <xf borderId="1" fillId="0" fontId="0" numFmtId="0" xfId="0" applyAlignment="1" applyBorder="1" applyFont="1">
      <alignment horizontal="center" readingOrder="0" shrinkToFit="0" wrapText="0"/>
    </xf>
    <xf borderId="1" fillId="10" fontId="13" numFmtId="0" xfId="0" applyAlignment="1" applyBorder="1" applyFill="1" applyFont="1">
      <alignment horizontal="center" readingOrder="0" shrinkToFit="0" wrapText="0"/>
    </xf>
    <xf borderId="0" fillId="0" fontId="16" numFmtId="49" xfId="0" applyAlignment="1" applyFont="1" applyNumberFormat="1">
      <alignment vertical="bottom"/>
    </xf>
    <xf borderId="0" fillId="0" fontId="36" numFmtId="49" xfId="0" applyAlignment="1" applyFont="1" applyNumberForma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37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3" numFmtId="165" xfId="0" applyAlignment="1" applyFill="1" applyFont="1" applyNumberFormat="1">
      <alignment horizontal="left" readingOrder="0"/>
    </xf>
    <xf borderId="0" fillId="0" fontId="3" numFmtId="0" xfId="0" applyAlignment="1" applyFont="1">
      <alignment shrinkToFit="0" vertical="center" wrapText="0"/>
    </xf>
    <xf borderId="0" fillId="2" fontId="3" numFmtId="0" xfId="0" applyAlignment="1" applyFill="1" applyFont="1">
      <alignment horizontal="left" readingOrder="0"/>
    </xf>
    <xf borderId="0" fillId="0" fontId="3" numFmtId="166" xfId="0" applyAlignment="1" applyFont="1" applyNumberFormat="1">
      <alignment readingOrder="0" shrinkToFit="0" vertical="center" wrapText="0"/>
    </xf>
    <xf borderId="0" fillId="2" fontId="3" numFmtId="164" xfId="0" applyAlignment="1" applyFill="1" applyFont="1" applyNumberFormat="1">
      <alignment horizontal="center" readingOrder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1" fillId="0" fontId="3" numFmtId="0" xfId="0" applyAlignment="1" applyBorder="1" applyFont="1">
      <alignment horizontal="left" readingOrder="0" vertical="bottom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1" fillId="0" fontId="0" numFmtId="0" xfId="0" applyAlignment="1" applyBorder="1" applyFont="1">
      <alignment horizontal="left" readingOrder="0"/>
    </xf>
    <xf borderId="0" fillId="3" fontId="0" numFmtId="0" xfId="0" applyAlignment="1" applyFill="1" applyFont="1">
      <alignment horizontal="left" readingOrder="0"/>
    </xf>
    <xf borderId="1" fillId="0" fontId="4" numFmtId="0" xfId="0" applyAlignment="1" applyBorder="1" applyFont="1">
      <alignment horizontal="left" readingOrder="0" vertical="bottom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1" fillId="0" fontId="4" numFmtId="49" xfId="0" applyAlignment="1" applyBorder="1" applyFont="1" applyNumberFormat="1">
      <alignment horizontal="left" readingOrder="0" vertical="bottom"/>
    </xf>
    <xf borderId="1" fillId="0" fontId="29" numFmtId="0" xfId="0" applyAlignment="1" applyBorder="1" applyFont="1">
      <alignment horizontal="left"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wrapText="0"/>
    </xf>
    <xf borderId="0" fillId="0" fontId="38" numFmtId="14" xfId="0" applyAlignment="1" applyFont="1" applyNumberFormat="1">
      <alignment horizontal="left" readingOrder="0" shrinkToFit="0" wrapText="0"/>
    </xf>
    <xf borderId="1" fillId="0" fontId="29" numFmtId="164" xfId="0" applyAlignment="1" applyBorder="1" applyFont="1" applyNumberFormat="1">
      <alignment horizontal="center" readingOrder="0"/>
    </xf>
    <xf borderId="0" fillId="3" fontId="39" numFmtId="0" xfId="0" applyAlignment="1" applyFill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1" fillId="3" fontId="4" numFmtId="49" xfId="0" applyAlignment="1" applyBorder="1" applyFill="1" applyFont="1" applyNumberFormat="1">
      <alignment horizontal="left" readingOrder="0" vertical="bottom"/>
    </xf>
    <xf borderId="1" fillId="0" fontId="4" numFmtId="49" xfId="0" applyAlignment="1" applyBorder="1" applyFont="1" applyNumberFormat="1">
      <alignment readingOrder="0" vertical="bottom"/>
    </xf>
    <xf borderId="0" fillId="0" fontId="40" numFmtId="0" xfId="0" applyAlignment="1" applyFont="1">
      <alignment readingOrder="0"/>
    </xf>
    <xf borderId="0" fillId="3" fontId="41" numFmtId="0" xfId="0" applyAlignment="1" applyFill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42" numFmtId="0" xfId="0" applyAlignment="1" applyFont="1">
      <alignment horizontal="left" readingOrder="0"/>
    </xf>
    <xf borderId="0" fillId="0" fontId="43" numFmtId="0" xfId="0" applyAlignment="1" applyFont="1">
      <alignment readingOrder="0" shrinkToFit="0" wrapText="1"/>
    </xf>
    <xf borderId="0" fillId="0" fontId="43" numFmtId="0" xfId="0" applyAlignment="1" applyFont="1">
      <alignment shrinkToFit="0" wrapText="1"/>
    </xf>
    <xf borderId="0" fillId="0" fontId="44" numFmtId="49" xfId="0" applyAlignment="1" applyFont="1" applyNumberFormat="1">
      <alignment readingOrder="0" vertical="bottom"/>
    </xf>
    <xf borderId="1" fillId="0" fontId="45" numFmtId="0" xfId="0" applyAlignment="1" applyBorder="1" applyFont="1">
      <alignment horizontal="center" readingOrder="0"/>
    </xf>
    <xf borderId="1" fillId="3" fontId="45" numFmtId="0" xfId="0" applyAlignment="1" applyBorder="1" applyFill="1" applyFont="1">
      <alignment horizontal="center" readingOrder="0" vertical="bottom"/>
    </xf>
    <xf borderId="1" fillId="3" fontId="8" numFmtId="0" xfId="0" applyAlignment="1" applyBorder="1" applyFill="1" applyFont="1">
      <alignment readingOrder="0"/>
    </xf>
    <xf borderId="0" fillId="0" fontId="46" numFmtId="0" xfId="0" applyAlignment="1" applyFont="1">
      <alignment readingOrder="0" shrinkToFit="0" wrapText="1"/>
    </xf>
    <xf borderId="0" fillId="0" fontId="47" numFmtId="0" xfId="0" applyAlignment="1" applyFont="1">
      <alignment horizontal="left" readingOrder="0"/>
    </xf>
    <xf borderId="0" fillId="0" fontId="48" numFmtId="0" xfId="0" applyAlignment="1" applyFont="1">
      <alignment readingOrder="0"/>
    </xf>
    <xf borderId="1" fillId="0" fontId="4" numFmtId="49" xfId="0" applyAlignment="1" applyBorder="1" applyFont="1" applyNumberFormat="1">
      <alignment horizontal="center" readingOrder="0" vertical="bottom"/>
    </xf>
    <xf borderId="1" fillId="3" fontId="12" numFmtId="49" xfId="0" applyAlignment="1" applyBorder="1" applyFill="1" applyFont="1" applyNumberFormat="1">
      <alignment shrinkToFit="0" vertical="bottom" wrapText="0"/>
    </xf>
    <xf borderId="1" fillId="3" fontId="12" numFmtId="49" xfId="0" applyAlignment="1" applyBorder="1" applyFill="1" applyFont="1" applyNumberFormat="1">
      <alignment readingOrder="0" shrinkToFit="0" vertical="bottom" wrapText="0"/>
    </xf>
    <xf borderId="1" fillId="3" fontId="49" numFmtId="49" xfId="0" applyAlignment="1" applyBorder="1" applyFill="1" applyFont="1" applyNumberFormat="1">
      <alignment shrinkToFit="0" vertical="bottom" wrapText="0"/>
    </xf>
    <xf borderId="0" fillId="3" fontId="8" numFmtId="0" xfId="0" applyAlignment="1" applyFill="1" applyFont="1">
      <alignment horizontal="left" readingOrder="0"/>
    </xf>
    <xf borderId="1" fillId="0" fontId="5" numFmtId="165" xfId="0" applyAlignment="1" applyBorder="1" applyFont="1" applyNumberFormat="1">
      <alignment horizontal="center" readingOrder="0"/>
    </xf>
    <xf borderId="1" fillId="3" fontId="50" numFmtId="49" xfId="0" applyAlignment="1" applyBorder="1" applyFill="1" applyFont="1" applyNumberFormat="1">
      <alignment shrinkToFit="0" vertical="bottom" wrapText="0"/>
    </xf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1" fillId="0" fontId="51" numFmtId="165" xfId="0" applyAlignment="1" applyBorder="1" applyFont="1" applyNumberFormat="1">
      <alignment horizontal="center" readingOrder="0"/>
    </xf>
    <xf borderId="1" fillId="3" fontId="49" numFmtId="49" xfId="0" applyAlignment="1" applyBorder="1" applyFill="1" applyFont="1" applyNumberFormat="1">
      <alignment horizontal="left" readingOrder="0" shrinkToFit="0" vertical="bottom" wrapText="0"/>
    </xf>
    <xf borderId="0" fillId="3" fontId="52" numFmtId="0" xfId="0" applyAlignment="1" applyFill="1" applyFont="1">
      <alignment readingOrder="0"/>
    </xf>
    <xf borderId="1" fillId="3" fontId="35" numFmtId="49" xfId="0" applyAlignment="1" applyBorder="1" applyFill="1" applyFont="1" applyNumberFormat="1">
      <alignment horizontal="center" readingOrder="0" shrinkToFit="0" vertical="bottom" wrapText="0"/>
    </xf>
    <xf borderId="0" fillId="3" fontId="52" numFmtId="0" xfId="0" applyAlignment="1" applyFill="1" applyFont="1">
      <alignment horizontal="left" readingOrder="0"/>
    </xf>
    <xf borderId="0" fillId="3" fontId="53" numFmtId="49" xfId="0" applyAlignment="1" applyFill="1" applyFont="1" applyNumberFormat="1">
      <alignment readingOrder="0"/>
    </xf>
    <xf borderId="1" fillId="3" fontId="54" numFmtId="49" xfId="0" applyAlignment="1" applyBorder="1" applyFill="1" applyFont="1" applyNumberFormat="1">
      <alignment horizontal="center" readingOrder="0" shrinkToFit="0" vertical="bottom" wrapText="0"/>
    </xf>
    <xf borderId="1" fillId="3" fontId="54" numFmtId="49" xfId="0" applyAlignment="1" applyBorder="1" applyFill="1" applyFont="1" applyNumberFormat="1">
      <alignment shrinkToFit="0" vertical="bottom" wrapText="0"/>
    </xf>
    <xf borderId="1" fillId="0" fontId="38" numFmtId="0" xfId="0" applyAlignment="1" applyBorder="1" applyFont="1">
      <alignment horizontal="center" readingOrder="0"/>
    </xf>
    <xf borderId="1" fillId="0" fontId="38" numFmtId="164" xfId="0" applyAlignment="1" applyBorder="1" applyFont="1" applyNumberFormat="1">
      <alignment horizontal="center" readingOrder="0"/>
    </xf>
    <xf borderId="1" fillId="0" fontId="38" numFmtId="0" xfId="0" applyBorder="1" applyFont="1"/>
    <xf borderId="1" fillId="3" fontId="50" numFmtId="49" xfId="0" applyAlignment="1" applyBorder="1" applyFill="1" applyFont="1" applyNumberFormat="1">
      <alignment shrinkToFit="0" vertical="bottom" wrapText="0"/>
    </xf>
    <xf borderId="1" fillId="0" fontId="3" numFmtId="164" xfId="0" applyAlignment="1" applyBorder="1" applyFont="1" applyNumberFormat="1">
      <alignment horizontal="center" readingOrder="0"/>
    </xf>
    <xf borderId="1" fillId="3" fontId="52" numFmtId="0" xfId="0" applyAlignment="1" applyBorder="1" applyFill="1" applyFont="1">
      <alignment readingOrder="0"/>
    </xf>
    <xf borderId="0" fillId="3" fontId="41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center"/>
    </xf>
    <xf borderId="0" fillId="2" fontId="1" numFmtId="49" xfId="0" applyAlignment="1" applyFill="1" applyFont="1" applyNumberFormat="1">
      <alignment horizontal="center" readingOrder="0"/>
    </xf>
    <xf borderId="0" fillId="0" fontId="3" numFmtId="49" xfId="0" applyAlignment="1" applyFont="1" applyNumberFormat="1">
      <alignment readingOrder="0"/>
    </xf>
    <xf borderId="1" fillId="0" fontId="3" numFmtId="165" xfId="0" applyAlignment="1" applyBorder="1" applyFont="1" applyNumberFormat="1">
      <alignment horizontal="left" readingOrder="0"/>
    </xf>
    <xf borderId="0" fillId="2" fontId="3" numFmtId="49" xfId="0" applyFill="1" applyFont="1" applyNumberFormat="1"/>
    <xf borderId="1" fillId="3" fontId="13" numFmtId="0" xfId="0" applyAlignment="1" applyBorder="1" applyFill="1" applyFont="1">
      <alignment horizontal="left" readingOrder="0" vertical="bottom"/>
    </xf>
    <xf borderId="0" fillId="0" fontId="44" numFmtId="0" xfId="0" applyAlignment="1" applyFont="1">
      <alignment vertical="bottom"/>
    </xf>
    <xf borderId="0" fillId="0" fontId="44" numFmtId="0" xfId="0" applyAlignment="1" applyFont="1">
      <alignment vertical="bottom"/>
    </xf>
    <xf borderId="1" fillId="3" fontId="13" numFmtId="49" xfId="0" applyAlignment="1" applyBorder="1" applyFill="1" applyFont="1" applyNumberFormat="1">
      <alignment horizontal="left" readingOrder="0" vertical="bottom"/>
    </xf>
    <xf borderId="0" fillId="11" fontId="55" numFmtId="0" xfId="0" applyAlignment="1" applyFill="1" applyFont="1">
      <alignment readingOrder="0"/>
    </xf>
    <xf borderId="0" fillId="3" fontId="56" numFmtId="0" xfId="0" applyAlignment="1" applyFill="1" applyFont="1">
      <alignment readingOrder="0"/>
    </xf>
    <xf borderId="1" fillId="2" fontId="3" numFmtId="165" xfId="0" applyAlignment="1" applyBorder="1" applyFill="1" applyFont="1" applyNumberFormat="1">
      <alignment horizontal="left" readingOrder="0"/>
    </xf>
    <xf borderId="1" fillId="3" fontId="57" numFmtId="0" xfId="0" applyAlignment="1" applyBorder="1" applyFill="1" applyFont="1">
      <alignment readingOrder="0"/>
    </xf>
    <xf borderId="0" fillId="0" fontId="20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left"/>
    </xf>
    <xf borderId="1" fillId="0" fontId="29" numFmtId="0" xfId="0" applyAlignment="1" applyBorder="1" applyFont="1">
      <alignment horizontal="left" readingOrder="0" vertical="bottom"/>
    </xf>
    <xf borderId="0" fillId="0" fontId="4" numFmtId="165" xfId="0" applyAlignment="1" applyFont="1" applyNumberFormat="1">
      <alignment horizontal="right" vertical="bottom"/>
    </xf>
    <xf borderId="1" fillId="0" fontId="30" numFmtId="0" xfId="0" applyAlignment="1" applyBorder="1" applyFont="1">
      <alignment horizontal="left" readingOrder="0" vertical="bottom"/>
    </xf>
    <xf borderId="0" fillId="3" fontId="58" numFmtId="0" xfId="0" applyAlignment="1" applyFill="1" applyFont="1">
      <alignment readingOrder="0"/>
    </xf>
    <xf borderId="1" fillId="0" fontId="3" numFmtId="49" xfId="0" applyAlignment="1" applyBorder="1" applyFont="1" applyNumberFormat="1">
      <alignment horizontal="left" readingOrder="0"/>
    </xf>
    <xf borderId="1" fillId="0" fontId="3" numFmtId="49" xfId="0" applyAlignment="1" applyBorder="1" applyFont="1" applyNumberFormat="1">
      <alignment readingOrder="0"/>
    </xf>
    <xf borderId="1" fillId="0" fontId="3" numFmtId="49" xfId="0" applyBorder="1" applyFont="1" applyNumberFormat="1"/>
    <xf borderId="1" fillId="2" fontId="3" numFmtId="49" xfId="0" applyAlignment="1" applyBorder="1" applyFill="1" applyFont="1" applyNumberFormat="1">
      <alignment horizontal="left"/>
    </xf>
    <xf borderId="1" fillId="2" fontId="3" numFmtId="49" xfId="0" applyBorder="1" applyFill="1" applyFont="1" applyNumberFormat="1"/>
    <xf borderId="0" fillId="3" fontId="59" numFmtId="0" xfId="0" applyAlignment="1" applyFill="1" applyFont="1">
      <alignment horizontal="center" readingOrder="0" shrinkToFit="0" wrapText="0"/>
    </xf>
    <xf borderId="1" fillId="0" fontId="3" numFmtId="49" xfId="0" applyAlignment="1" applyBorder="1" applyFont="1" applyNumberFormat="1">
      <alignment horizontal="right" readingOrder="0"/>
    </xf>
    <xf borderId="1" fillId="0" fontId="3" numFmtId="49" xfId="0" applyAlignment="1" applyBorder="1" applyFont="1" applyNumberFormat="1">
      <alignment horizontal="right"/>
    </xf>
    <xf borderId="0" fillId="0" fontId="3" numFmtId="49" xfId="0" applyFont="1" applyNumberFormat="1"/>
    <xf borderId="1" fillId="0" fontId="4" numFmtId="0" xfId="0" applyAlignment="1" applyBorder="1" applyFont="1">
      <alignment readingOrder="0" vertical="bottom"/>
    </xf>
    <xf borderId="1" fillId="0" fontId="3" numFmtId="49" xfId="0" applyAlignment="1" applyBorder="1" applyFont="1" applyNumberFormat="1">
      <alignment horizontal="left" readingOrder="0" shrinkToFit="0" wrapText="0"/>
    </xf>
    <xf borderId="1" fillId="0" fontId="3" numFmtId="49" xfId="0" applyAlignment="1" applyBorder="1" applyFont="1" applyNumberFormat="1">
      <alignment horizontal="right" readingOrder="0" shrinkToFit="0" wrapText="0"/>
    </xf>
    <xf borderId="1" fillId="0" fontId="3" numFmtId="49" xfId="0" applyAlignment="1" applyBorder="1" applyFont="1" applyNumberFormat="1">
      <alignment horizontal="right" shrinkToFit="0" wrapText="0"/>
    </xf>
    <xf borderId="1" fillId="0" fontId="3" numFmtId="49" xfId="0" applyAlignment="1" applyBorder="1" applyFont="1" applyNumberFormat="1">
      <alignment readingOrder="0" shrinkToFit="0" wrapText="0"/>
    </xf>
    <xf borderId="0" fillId="3" fontId="59" numFmtId="0" xfId="0" applyAlignment="1" applyFill="1" applyFont="1">
      <alignment horizontal="center" readingOrder="0"/>
    </xf>
    <xf borderId="4" fillId="0" fontId="3" numFmtId="0" xfId="0" applyAlignment="1" applyBorder="1" applyFont="1">
      <alignment horizontal="left" readingOrder="0" shrinkToFit="0" wrapText="1"/>
    </xf>
    <xf borderId="0" fillId="3" fontId="60" numFmtId="0" xfId="0" applyAlignment="1" applyFill="1" applyFont="1">
      <alignment readingOrder="0" shrinkToFit="0" wrapText="1"/>
    </xf>
    <xf borderId="0" fillId="0" fontId="61" numFmtId="0" xfId="0" applyAlignment="1" applyFont="1">
      <alignment readingOrder="0"/>
    </xf>
    <xf borderId="1" fillId="3" fontId="4" numFmtId="0" xfId="0" applyAlignment="1" applyBorder="1" applyFill="1" applyFont="1">
      <alignment horizontal="left" readingOrder="0" vertical="bottom"/>
    </xf>
    <xf borderId="1" fillId="3" fontId="4" numFmtId="0" xfId="0" applyAlignment="1" applyBorder="1" applyFill="1" applyFont="1">
      <alignment readingOrder="0" vertical="bottom"/>
    </xf>
    <xf borderId="1" fillId="0" fontId="4" numFmtId="49" xfId="0" applyAlignment="1" applyBorder="1" applyFont="1" applyNumberFormat="1">
      <alignment vertical="bottom"/>
    </xf>
    <xf borderId="0" fillId="0" fontId="62" numFmtId="0" xfId="0" applyAlignment="1" applyFont="1">
      <alignment horizontal="left" readingOrder="0"/>
    </xf>
    <xf borderId="1" fillId="3" fontId="4" numFmtId="49" xfId="0" applyAlignment="1" applyBorder="1" applyFill="1" applyFont="1" applyNumberFormat="1">
      <alignment readingOrder="0" vertical="bottom"/>
    </xf>
    <xf borderId="0" fillId="0" fontId="63" numFmtId="49" xfId="0" applyAlignment="1" applyFont="1" applyNumberFormat="1">
      <alignment readingOrder="0" shrinkToFit="0" vertical="center" wrapText="0"/>
    </xf>
    <xf borderId="0" fillId="3" fontId="3" numFmtId="0" xfId="0" applyAlignment="1" applyFill="1" applyFont="1">
      <alignment readingOrder="0"/>
    </xf>
    <xf borderId="1" fillId="0" fontId="4" numFmtId="49" xfId="0" applyAlignment="1" applyBorder="1" applyFont="1" applyNumberFormat="1">
      <alignment horizontal="center" vertical="bottom"/>
    </xf>
    <xf borderId="1" fillId="0" fontId="22" numFmtId="49" xfId="0" applyAlignment="1" applyBorder="1" applyFont="1" applyNumberFormat="1">
      <alignment readingOrder="0"/>
    </xf>
    <xf borderId="1" fillId="0" fontId="22" numFmtId="49" xfId="0" applyAlignment="1" applyBorder="1" applyFont="1" applyNumberFormat="1">
      <alignment horizontal="left" readingOrder="0"/>
    </xf>
    <xf borderId="1" fillId="0" fontId="22" numFmtId="0" xfId="0" applyAlignment="1" applyBorder="1" applyFont="1">
      <alignment horizontal="right" readingOrder="0"/>
    </xf>
    <xf borderId="1" fillId="0" fontId="22" numFmtId="0" xfId="0" applyAlignment="1" applyBorder="1" applyFont="1">
      <alignment horizontal="right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/>
    </xf>
    <xf borderId="1" fillId="3" fontId="4" numFmtId="49" xfId="0" applyAlignment="1" applyBorder="1" applyFill="1" applyFont="1" applyNumberFormat="1">
      <alignment horizontal="center" readingOrder="0" vertical="bottom"/>
    </xf>
    <xf borderId="1" fillId="0" fontId="4" numFmtId="49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/>
    </xf>
    <xf borderId="0" fillId="3" fontId="59" numFmtId="49" xfId="0" applyAlignment="1" applyFill="1" applyFont="1" applyNumberFormat="1">
      <alignment horizontal="center" readingOrder="0"/>
    </xf>
    <xf borderId="1" fillId="0" fontId="22" numFmtId="165" xfId="0" applyAlignment="1" applyBorder="1" applyFont="1" applyNumberFormat="1">
      <alignment horizontal="left" readingOrder="0"/>
    </xf>
    <xf borderId="1" fillId="2" fontId="3" numFmtId="0" xfId="0" applyAlignment="1" applyBorder="1" applyFill="1" applyFont="1">
      <alignment horizontal="right"/>
    </xf>
    <xf borderId="5" fillId="2" fontId="3" numFmtId="0" xfId="0" applyBorder="1" applyFill="1" applyFont="1"/>
    <xf borderId="6" fillId="3" fontId="3" numFmtId="0" xfId="0" applyBorder="1" applyFill="1" applyFont="1"/>
    <xf borderId="1" fillId="0" fontId="22" numFmtId="0" xfId="0" applyBorder="1" applyFont="1"/>
    <xf borderId="1" fillId="3" fontId="3" numFmtId="0" xfId="0" applyAlignment="1" applyBorder="1" applyFill="1" applyFont="1">
      <alignment horizontal="left" readingOrder="0"/>
    </xf>
    <xf borderId="1" fillId="3" fontId="3" numFmtId="49" xfId="0" applyAlignment="1" applyBorder="1" applyFill="1" applyFont="1" applyNumberFormat="1">
      <alignment horizontal="left" readingOrder="0"/>
    </xf>
    <xf borderId="1" fillId="3" fontId="3" numFmtId="0" xfId="0" applyAlignment="1" applyBorder="1" applyFill="1" applyFont="1">
      <alignment readingOrder="0"/>
    </xf>
    <xf borderId="1" fillId="3" fontId="3" numFmtId="0" xfId="0" applyBorder="1" applyFill="1" applyFont="1"/>
    <xf borderId="0" fillId="0" fontId="3" numFmtId="49" xfId="0" applyAlignment="1" applyFont="1" applyNumberFormat="1">
      <alignment readingOrder="0" shrinkToFit="0" vertical="center" wrapText="1"/>
    </xf>
    <xf borderId="0" fillId="3" fontId="64" numFmtId="0" xfId="0" applyAlignment="1" applyFill="1" applyFont="1">
      <alignment horizontal="left" readingOrder="0" shrinkToFit="0" vertical="center" wrapText="0"/>
    </xf>
    <xf borderId="0" fillId="3" fontId="64" numFmtId="49" xfId="0" applyAlignment="1" applyFill="1" applyFont="1" applyNumberFormat="1">
      <alignment readingOrder="0" shrinkToFit="0" vertical="center" wrapText="0"/>
    </xf>
    <xf borderId="0" fillId="3" fontId="65" numFmtId="0" xfId="0" applyAlignment="1" applyFill="1" applyFont="1">
      <alignment horizontal="left" readingOrder="0" shrinkToFit="0" vertical="center" wrapText="0"/>
    </xf>
    <xf borderId="0" fillId="3" fontId="64" numFmtId="49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shrinkToFit="0" wrapText="0"/>
    </xf>
    <xf borderId="0" fillId="3" fontId="3" numFmtId="0" xfId="0" applyAlignment="1" applyFill="1" applyFont="1">
      <alignment horizontal="left" shrinkToFit="0" wrapText="0"/>
    </xf>
    <xf borderId="0" fillId="3" fontId="3" numFmtId="0" xfId="0" applyAlignment="1" applyFill="1" applyFont="1">
      <alignment horizontal="center" shrinkToFit="0" wrapText="0"/>
    </xf>
    <xf borderId="0" fillId="3" fontId="3" numFmtId="0" xfId="0" applyAlignment="1" applyFill="1" applyFont="1">
      <alignment shrinkToFit="0" wrapText="0"/>
    </xf>
    <xf borderId="0" fillId="0" fontId="66" numFmtId="0" xfId="0" applyAlignment="1" applyFont="1">
      <alignment readingOrder="0" shrinkToFit="0" vertical="center" wrapText="0"/>
    </xf>
    <xf borderId="0" fillId="3" fontId="67" numFmtId="0" xfId="0" applyAlignment="1" applyFill="1" applyFont="1">
      <alignment horizontal="left" readingOrder="0" shrinkToFit="0" vertical="center" wrapText="0"/>
    </xf>
    <xf borderId="0" fillId="3" fontId="68" numFmtId="0" xfId="0" applyAlignment="1" applyFill="1" applyFont="1">
      <alignment readingOrder="0" shrinkToFit="0" vertical="center" wrapText="0"/>
    </xf>
    <xf borderId="0" fillId="3" fontId="7" numFmtId="0" xfId="0" applyAlignment="1" applyFill="1" applyFont="1">
      <alignment horizontal="left" readingOrder="0" shrinkToFit="0" vertical="center" wrapText="0"/>
    </xf>
    <xf borderId="0" fillId="3" fontId="68" numFmtId="0" xfId="0" applyAlignment="1" applyFill="1" applyFont="1">
      <alignment readingOrder="0"/>
    </xf>
    <xf borderId="7" fillId="3" fontId="69" numFmtId="49" xfId="0" applyAlignment="1" applyBorder="1" applyFill="1" applyFont="1" applyNumberFormat="1">
      <alignment readingOrder="0" shrinkToFit="0" vertical="center" wrapText="0"/>
    </xf>
    <xf borderId="8" fillId="12" fontId="4" numFmtId="0" xfId="0" applyAlignment="1" applyBorder="1" applyFill="1" applyFont="1">
      <alignment horizontal="left" readingOrder="0" shrinkToFit="0" vertical="center" wrapText="0"/>
    </xf>
    <xf borderId="3" fillId="3" fontId="69" numFmtId="0" xfId="0" applyAlignment="1" applyBorder="1" applyFill="1" applyFont="1">
      <alignment horizontal="center" readingOrder="0" shrinkToFit="0" vertical="center" wrapText="0"/>
    </xf>
    <xf borderId="3" fillId="3" fontId="70" numFmtId="0" xfId="0" applyAlignment="1" applyBorder="1" applyFill="1" applyFont="1">
      <alignment readingOrder="0" shrinkToFit="0" vertical="center" wrapText="0"/>
    </xf>
    <xf borderId="3" fillId="3" fontId="69" numFmtId="0" xfId="0" applyAlignment="1" applyBorder="1" applyFill="1" applyFont="1">
      <alignment horizontal="right" readingOrder="0" shrinkToFit="0" vertical="center" wrapText="0"/>
    </xf>
    <xf borderId="3" fillId="3" fontId="69" numFmtId="166" xfId="0" applyAlignment="1" applyBorder="1" applyFill="1" applyFont="1" applyNumberFormat="1">
      <alignment horizontal="right" readingOrder="0" shrinkToFit="0" vertical="center" wrapText="0"/>
    </xf>
    <xf borderId="8" fillId="12" fontId="4" numFmtId="0" xfId="0" applyAlignment="1" applyBorder="1" applyFill="1" applyFont="1">
      <alignment readingOrder="0" shrinkToFit="0" vertical="center" wrapText="0"/>
    </xf>
    <xf borderId="9" fillId="3" fontId="4" numFmtId="49" xfId="0" applyAlignment="1" applyBorder="1" applyFill="1" applyFont="1" applyNumberFormat="1">
      <alignment shrinkToFit="0" vertical="center" wrapText="0"/>
    </xf>
    <xf borderId="10" fillId="12" fontId="4" numFmtId="49" xfId="0" applyAlignment="1" applyBorder="1" applyFill="1" applyFont="1" applyNumberFormat="1">
      <alignment readingOrder="0" shrinkToFit="0" vertical="center" wrapText="0"/>
    </xf>
    <xf borderId="8" fillId="12" fontId="4" numFmtId="0" xfId="0" applyAlignment="1" applyBorder="1" applyFill="1" applyFont="1">
      <alignment horizontal="center" readingOrder="0" shrinkToFit="0" vertical="center" wrapText="0"/>
    </xf>
    <xf borderId="8" fillId="12" fontId="4" numFmtId="0" xfId="0" applyAlignment="1" applyBorder="1" applyFill="1" applyFont="1">
      <alignment readingOrder="0" shrinkToFit="0" vertical="center" wrapText="0"/>
    </xf>
    <xf borderId="8" fillId="12" fontId="4" numFmtId="166" xfId="0" applyAlignment="1" applyBorder="1" applyFill="1" applyFont="1" applyNumberFormat="1">
      <alignment readingOrder="0" shrinkToFit="0" vertical="center" wrapText="0"/>
    </xf>
    <xf borderId="11" fillId="12" fontId="4" numFmtId="49" xfId="0" applyAlignment="1" applyBorder="1" applyFill="1" applyFont="1" applyNumberFormat="1">
      <alignment shrinkToFit="0" vertical="center" wrapText="0"/>
    </xf>
    <xf borderId="7" fillId="3" fontId="4" numFmtId="49" xfId="0" applyAlignment="1" applyBorder="1" applyFill="1" applyFont="1" applyNumberFormat="1">
      <alignment readingOrder="0" shrinkToFit="0" vertical="center" wrapText="0"/>
    </xf>
    <xf borderId="3" fillId="3" fontId="4" numFmtId="0" xfId="0" applyAlignment="1" applyBorder="1" applyFill="1" applyFont="1">
      <alignment horizontal="left" readingOrder="0" shrinkToFit="0" vertical="center" wrapText="0"/>
    </xf>
    <xf borderId="3" fillId="3" fontId="4" numFmtId="0" xfId="0" applyAlignment="1" applyBorder="1" applyFill="1" applyFont="1">
      <alignment horizontal="center" readingOrder="0"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3" fillId="3" fontId="4" numFmtId="166" xfId="0" applyAlignment="1" applyBorder="1" applyFill="1" applyFont="1" applyNumberFormat="1">
      <alignment readingOrder="0" shrinkToFit="0" vertical="center" wrapText="0"/>
    </xf>
    <xf borderId="0" fillId="3" fontId="32" numFmtId="49" xfId="0" applyAlignment="1" applyFill="1" applyFont="1" applyNumberFormat="1">
      <alignment readingOrder="0" shrinkToFit="0" vertical="center" wrapText="0"/>
    </xf>
    <xf borderId="0" fillId="3" fontId="64" numFmtId="0" xfId="0" applyAlignment="1" applyFill="1" applyFont="1">
      <alignment readingOrder="0" shrinkToFit="0" vertical="center" wrapText="0"/>
    </xf>
    <xf borderId="0" fillId="3" fontId="71" numFmtId="0" xfId="0" applyAlignment="1" applyFill="1" applyFont="1">
      <alignment horizontal="left" readingOrder="0" shrinkToFit="0" vertical="center" wrapText="0"/>
    </xf>
    <xf borderId="0" fillId="3" fontId="72" numFmtId="0" xfId="0" applyAlignment="1" applyFill="1" applyFont="1">
      <alignment horizontal="left" readingOrder="0" shrinkToFit="0" vertical="center" wrapText="0"/>
    </xf>
    <xf borderId="0" fillId="3" fontId="73" numFmtId="49" xfId="0" applyAlignment="1" applyFill="1" applyFont="1" applyNumberFormat="1">
      <alignment readingOrder="0" shrinkToFit="0" vertical="center" wrapText="0"/>
    </xf>
    <xf borderId="0" fillId="0" fontId="54" numFmtId="1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12" fillId="13" fontId="4" numFmtId="0" xfId="0" applyAlignment="1" applyBorder="1" applyFill="1" applyFont="1">
      <alignment shrinkToFit="0" vertical="center" wrapText="0"/>
    </xf>
    <xf borderId="13" fillId="13" fontId="4" numFmtId="0" xfId="0" applyAlignment="1" applyBorder="1" applyFill="1" applyFont="1">
      <alignment horizontal="left" shrinkToFit="0" vertical="center" wrapText="0"/>
    </xf>
    <xf borderId="13" fillId="13" fontId="4" numFmtId="0" xfId="0" applyAlignment="1" applyBorder="1" applyFill="1" applyFont="1">
      <alignment horizontal="center" shrinkToFit="0" vertical="center" wrapText="0"/>
    </xf>
    <xf borderId="13" fillId="13" fontId="4" numFmtId="14" xfId="0" applyAlignment="1" applyBorder="1" applyFill="1" applyFont="1" applyNumberFormat="1">
      <alignment shrinkToFit="0" vertical="center" wrapText="0"/>
    </xf>
    <xf borderId="13" fillId="13" fontId="4" numFmtId="0" xfId="0" applyAlignment="1" applyBorder="1" applyFill="1" applyFont="1">
      <alignment shrinkToFit="0" vertical="center" wrapText="0"/>
    </xf>
    <xf borderId="14" fillId="13" fontId="4" numFmtId="0" xfId="0" applyAlignment="1" applyBorder="1" applyFill="1" applyFont="1">
      <alignment shrinkToFit="0" vertical="center" wrapText="0"/>
    </xf>
    <xf borderId="0" fillId="3" fontId="32" numFmtId="0" xfId="0" applyAlignment="1" applyFill="1" applyFont="1">
      <alignment readingOrder="0" shrinkToFit="0" vertical="center" wrapText="0"/>
    </xf>
    <xf borderId="0" fillId="3" fontId="73" numFmtId="0" xfId="0" applyAlignment="1" applyFill="1" applyFont="1">
      <alignment readingOrder="0" shrinkToFit="0" vertical="center" wrapText="0"/>
    </xf>
    <xf borderId="15" fillId="0" fontId="74" numFmtId="0" xfId="0" applyAlignment="1" applyBorder="1" applyFont="1">
      <alignment readingOrder="0" shrinkToFit="0" vertical="top" wrapText="1"/>
    </xf>
    <xf borderId="0" fillId="3" fontId="75" numFmtId="0" xfId="0" applyAlignment="1" applyFill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3" fontId="76" numFmtId="49" xfId="0" applyAlignment="1" applyFill="1" applyFont="1" applyNumberFormat="1">
      <alignment readingOrder="0" shrinkToFit="0" vertical="center" wrapText="0"/>
    </xf>
    <xf borderId="15" fillId="0" fontId="77" numFmtId="0" xfId="0" applyAlignment="1" applyBorder="1" applyFont="1">
      <alignment readingOrder="0" shrinkToFit="0" vertical="top" wrapText="1"/>
    </xf>
    <xf borderId="0" fillId="0" fontId="29" numFmtId="0" xfId="0" applyAlignment="1" applyFont="1">
      <alignment horizontal="left" readingOrder="0" shrinkToFit="0" vertical="center" wrapText="0"/>
    </xf>
    <xf borderId="0" fillId="3" fontId="67" numFmtId="0" xfId="0" applyAlignment="1" applyFill="1" applyFont="1">
      <alignment readingOrder="0"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3" fillId="3" fontId="70" numFmtId="0" xfId="0" applyAlignment="1" applyBorder="1" applyFill="1" applyFont="1">
      <alignment shrinkToFit="0" vertical="center" wrapText="0"/>
    </xf>
    <xf borderId="3" fillId="3" fontId="70" numFmtId="0" xfId="0" applyAlignment="1" applyBorder="1" applyFill="1" applyFont="1">
      <alignment shrinkToFit="0" vertical="center" wrapText="0"/>
    </xf>
    <xf borderId="8" fillId="12" fontId="70" numFmtId="0" xfId="0" applyAlignment="1" applyBorder="1" applyFill="1" applyFont="1">
      <alignment shrinkToFit="0" vertical="center" wrapText="0"/>
    </xf>
    <xf borderId="1" fillId="0" fontId="4" numFmtId="49" xfId="0" applyAlignment="1" applyBorder="1" applyFont="1" applyNumberFormat="1">
      <alignment horizontal="center" readingOrder="0" shrinkToFit="0" vertical="bottom" wrapText="0"/>
    </xf>
    <xf borderId="0" fillId="3" fontId="78" numFmtId="0" xfId="0" applyAlignment="1" applyFill="1" applyFont="1">
      <alignment readingOrder="0" shrinkToFit="0" vertical="center" wrapText="0"/>
    </xf>
    <xf borderId="0" fillId="0" fontId="79" numFmtId="49" xfId="0" applyAlignment="1" applyFont="1" applyNumberFormat="1">
      <alignment readingOrder="0" shrinkToFit="0" vertical="center" wrapText="0"/>
    </xf>
    <xf borderId="0" fillId="0" fontId="80" numFmtId="49" xfId="0" applyAlignment="1" applyFont="1" applyNumberFormat="1">
      <alignment readingOrder="0" shrinkToFit="0" vertical="center" wrapText="0"/>
    </xf>
    <xf borderId="0" fillId="3" fontId="58" numFmtId="0" xfId="0" applyAlignment="1" applyFill="1" applyFont="1">
      <alignment readingOrder="0" shrinkToFit="0" vertical="center" wrapText="0"/>
    </xf>
    <xf borderId="0" fillId="3" fontId="58" numFmtId="0" xfId="0" applyAlignment="1" applyFill="1" applyFont="1">
      <alignment horizontal="left" readingOrder="0" shrinkToFit="0" vertical="center" wrapText="0"/>
    </xf>
    <xf borderId="0" fillId="3" fontId="81" numFmtId="0" xfId="0" applyAlignment="1" applyFill="1" applyFont="1">
      <alignment readingOrder="0" shrinkToFit="0" vertical="center" wrapText="0"/>
    </xf>
    <xf borderId="0" fillId="0" fontId="82" numFmtId="49" xfId="0" applyAlignment="1" applyFont="1" applyNumberFormat="1">
      <alignment readingOrder="0" shrinkToFit="0" vertical="center" wrapText="0"/>
    </xf>
    <xf borderId="0" fillId="4" fontId="83" numFmtId="0" xfId="0" applyAlignment="1" applyFill="1" applyFont="1">
      <alignment horizontal="lef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0" fontId="84" numFmtId="49" xfId="0" applyAlignment="1" applyFont="1" applyNumberFormat="1">
      <alignment readingOrder="0" shrinkToFit="0" vertical="center" wrapText="0"/>
    </xf>
    <xf borderId="8" fillId="12" fontId="70" numFmtId="0" xfId="0" applyAlignment="1" applyBorder="1" applyFill="1" applyFont="1">
      <alignment readingOrder="0" shrinkToFit="0" vertical="center" wrapText="0"/>
    </xf>
    <xf borderId="0" fillId="4" fontId="85" numFmtId="49" xfId="0" applyAlignment="1" applyFill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42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horizontal="left" readingOrder="0" shrinkToFit="0" vertical="center" wrapText="0"/>
    </xf>
    <xf borderId="0" fillId="0" fontId="86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3" fontId="12" numFmtId="49" xfId="0" applyAlignment="1" applyFill="1" applyFont="1" applyNumberFormat="1">
      <alignment horizontal="left" readingOrder="0" shrinkToFit="0" vertical="bottom" wrapText="0"/>
    </xf>
    <xf borderId="0" fillId="3" fontId="12" numFmtId="0" xfId="0" applyAlignment="1" applyFill="1" applyFont="1">
      <alignment horizontal="left" shrinkToFit="0" vertical="bottom" wrapText="0"/>
    </xf>
    <xf borderId="0" fillId="0" fontId="53" numFmtId="0" xfId="0" applyAlignment="1" applyFont="1">
      <alignment horizontal="left" readingOrder="0" shrinkToFit="0" vertical="center" wrapText="0"/>
    </xf>
    <xf borderId="0" fillId="0" fontId="87" numFmtId="49" xfId="0" applyAlignment="1" applyFont="1" applyNumberFormat="1">
      <alignment readingOrder="0" shrinkToFit="0" vertical="center" wrapText="0"/>
    </xf>
    <xf borderId="0" fillId="0" fontId="53" numFmtId="0" xfId="0" applyAlignment="1" applyFont="1">
      <alignment horizontal="left" readingOrder="0" shrinkToFit="0" vertical="center" wrapText="0"/>
    </xf>
    <xf borderId="0" fillId="3" fontId="88" numFmtId="0" xfId="0" applyAlignment="1" applyFill="1" applyFont="1">
      <alignment horizontal="left" readingOrder="0" shrinkToFit="0" vertical="center" wrapText="0"/>
    </xf>
    <xf borderId="15" fillId="0" fontId="50" numFmtId="0" xfId="0" applyAlignment="1" applyBorder="1" applyFont="1">
      <alignment horizontal="left" readingOrder="0" shrinkToFit="0" vertical="top" wrapText="1"/>
    </xf>
    <xf borderId="0" fillId="0" fontId="51" numFmtId="0" xfId="0" applyAlignment="1" applyFont="1">
      <alignment horizontal="left" readingOrder="0" shrinkToFit="0" vertical="center" wrapText="0"/>
    </xf>
    <xf borderId="0" fillId="0" fontId="51" numFmtId="0" xfId="0" applyAlignment="1" applyFont="1">
      <alignment horizontal="left" readingOrder="0" shrinkToFit="0" vertical="center" wrapText="0"/>
    </xf>
    <xf borderId="0" fillId="14" fontId="89" numFmtId="49" xfId="0" applyAlignment="1" applyFill="1" applyFont="1" applyNumberFormat="1">
      <alignment horizontal="center" readingOrder="0" shrinkToFit="0" vertical="center" wrapText="0"/>
    </xf>
    <xf borderId="0" fillId="0" fontId="51" numFmtId="0" xfId="0" applyAlignment="1" applyFont="1">
      <alignment readingOrder="0" shrinkToFit="0" vertical="center" wrapText="0"/>
    </xf>
    <xf borderId="0" fillId="0" fontId="53" numFmtId="0" xfId="0" applyAlignment="1" applyFont="1">
      <alignment horizontal="center" readingOrder="0" shrinkToFit="0" vertical="center" wrapText="0"/>
    </xf>
    <xf borderId="0" fillId="0" fontId="53" numFmtId="0" xfId="0" applyAlignment="1" applyFont="1">
      <alignment horizontal="center" readingOrder="0" shrinkToFit="0" vertical="center" wrapText="0"/>
    </xf>
    <xf borderId="0" fillId="3" fontId="53" numFmtId="0" xfId="0" applyAlignment="1" applyFill="1" applyFont="1">
      <alignment horizontal="center" readingOrder="0" shrinkToFit="0" vertical="center" wrapText="0"/>
    </xf>
    <xf borderId="0" fillId="0" fontId="51" numFmtId="0" xfId="0" applyAlignment="1" applyFont="1">
      <alignment horizontal="left" readingOrder="0" shrinkToFit="0" vertical="center" wrapText="0"/>
    </xf>
    <xf borderId="0" fillId="0" fontId="51" numFmtId="0" xfId="0" applyAlignment="1" applyFont="1">
      <alignment readingOrder="0" shrinkToFit="0" vertical="center" wrapText="0"/>
    </xf>
    <xf borderId="0" fillId="0" fontId="51" numFmtId="49" xfId="0" applyAlignment="1" applyFont="1" applyNumberFormat="1">
      <alignment readingOrder="0" shrinkToFit="0" vertical="center" wrapText="0"/>
    </xf>
    <xf borderId="0" fillId="3" fontId="88" numFmtId="49" xfId="0" applyAlignment="1" applyFill="1" applyFont="1" applyNumberFormat="1">
      <alignment readingOrder="0" shrinkToFit="0" vertical="center" wrapText="1"/>
    </xf>
    <xf borderId="0" fillId="3" fontId="53" numFmtId="0" xfId="0" applyAlignment="1" applyFill="1" applyFont="1">
      <alignment horizontal="left" readingOrder="0" shrinkToFit="0" vertical="center" wrapText="0"/>
    </xf>
    <xf borderId="0" fillId="0" fontId="90" numFmtId="0" xfId="0" applyAlignment="1" applyFont="1">
      <alignment horizontal="left" readingOrder="0" shrinkToFit="0" vertical="center" wrapText="0"/>
    </xf>
    <xf borderId="0" fillId="0" fontId="51" numFmtId="0" xfId="0" applyAlignment="1" applyFont="1">
      <alignment readingOrder="0" shrinkToFit="0" vertical="center" wrapText="0"/>
    </xf>
    <xf borderId="0" fillId="0" fontId="91" numFmtId="0" xfId="0" applyAlignment="1" applyFont="1">
      <alignment horizontal="left" readingOrder="0" shrinkToFit="0" vertical="center" wrapText="0"/>
    </xf>
    <xf borderId="0" fillId="3" fontId="52" numFmtId="0" xfId="0" applyAlignment="1" applyFill="1" applyFont="1">
      <alignment horizontal="left" readingOrder="0" shrinkToFit="0" vertical="center" wrapText="0"/>
    </xf>
    <xf borderId="0" fillId="3" fontId="52" numFmtId="0" xfId="0" applyAlignment="1" applyFill="1" applyFont="1">
      <alignment readingOrder="0" shrinkToFit="0" vertical="center" wrapText="0"/>
    </xf>
    <xf borderId="0" fillId="3" fontId="50" numFmtId="0" xfId="0" applyAlignment="1" applyFill="1" applyFont="1">
      <alignment readingOrder="0" shrinkToFit="0" vertical="center" wrapText="0"/>
    </xf>
    <xf borderId="0" fillId="0" fontId="92" numFmtId="0" xfId="0" applyAlignment="1" applyFont="1">
      <alignment horizontal="left" readingOrder="0" shrinkToFit="0" vertical="center" wrapText="0"/>
    </xf>
    <xf borderId="7" fillId="3" fontId="93" numFmtId="49" xfId="0" applyAlignment="1" applyBorder="1" applyFill="1" applyFont="1" applyNumberFormat="1">
      <alignment shrinkToFit="0" vertical="center" wrapText="0"/>
    </xf>
    <xf borderId="3" fillId="3" fontId="69" numFmtId="0" xfId="0" applyAlignment="1" applyBorder="1" applyFill="1" applyFont="1">
      <alignment shrinkToFit="0" vertical="center" wrapText="0"/>
    </xf>
    <xf borderId="3" fillId="3" fontId="69" numFmtId="0" xfId="0" applyAlignment="1" applyBorder="1" applyFill="1" applyFont="1">
      <alignment horizontal="center" shrinkToFit="0" vertical="center" wrapText="0"/>
    </xf>
    <xf borderId="0" fillId="0" fontId="51" numFmtId="0" xfId="0" applyAlignment="1" applyFont="1">
      <alignment horizontal="left" shrinkToFit="0" vertical="center" wrapText="0"/>
    </xf>
    <xf borderId="0" fillId="0" fontId="51" numFmtId="0" xfId="0" applyAlignment="1" applyFont="1">
      <alignment horizontal="left" shrinkToFit="0" wrapText="0"/>
    </xf>
    <xf borderId="0" fillId="0" fontId="9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shrinkToFit="0" vertical="bottom" wrapText="0"/>
    </xf>
    <xf borderId="0" fillId="0" fontId="95" numFmtId="0" xfId="0" applyAlignment="1" applyFont="1">
      <alignment readingOrder="0" shrinkToFit="0" vertical="center" wrapText="0"/>
    </xf>
    <xf borderId="3" fillId="3" fontId="53" numFmtId="0" xfId="0" applyAlignment="1" applyBorder="1" applyFill="1" applyFont="1">
      <alignment readingOrder="0" shrinkToFit="0" vertical="center" wrapText="0"/>
    </xf>
    <xf borderId="9" fillId="3" fontId="4" numFmtId="49" xfId="0" applyAlignment="1" applyBorder="1" applyFill="1" applyFont="1" applyNumberFormat="1">
      <alignment readingOrder="0" shrinkToFit="0" vertical="center" wrapText="0"/>
    </xf>
    <xf borderId="16" fillId="12" fontId="4" numFmtId="0" xfId="0" applyAlignment="1" applyBorder="1" applyFill="1" applyFont="1">
      <alignment horizontal="center" readingOrder="0" shrinkToFit="0" vertical="center" wrapText="0"/>
    </xf>
    <xf borderId="0" fillId="0" fontId="53" numFmtId="0" xfId="0" applyAlignment="1" applyFont="1">
      <alignment readingOrder="0" shrinkToFit="0" vertical="center" wrapText="0"/>
    </xf>
    <xf borderId="0" fillId="15" fontId="96" numFmtId="49" xfId="0" applyAlignment="1" applyFill="1" applyFont="1" applyNumberForma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3" fontId="58" numFmtId="49" xfId="0" applyAlignment="1" applyFill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3" fontId="69" numFmtId="0" xfId="0" applyAlignment="1" applyFill="1" applyFont="1">
      <alignment horizontal="left" readingOrder="0" shrinkToFit="0" vertical="bottom" wrapText="0"/>
    </xf>
    <xf borderId="0" fillId="0" fontId="5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1" numFmtId="0" xfId="0" applyAlignment="1" applyFont="1">
      <alignment horizontal="center" readingOrder="0" shrinkToFit="0" vertical="center" wrapText="0"/>
    </xf>
    <xf borderId="0" fillId="0" fontId="51" numFmtId="0" xfId="0" applyAlignment="1" applyFont="1">
      <alignment horizontal="center" readingOrder="0" shrinkToFit="0" vertical="center" wrapText="0"/>
    </xf>
    <xf borderId="0" fillId="0" fontId="51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0" fontId="69" numFmtId="0" xfId="0" applyAlignment="1" applyFont="1">
      <alignment horizontal="left" readingOrder="0" shrinkToFit="0" vertical="center" wrapText="0"/>
    </xf>
    <xf borderId="0" fillId="0" fontId="88" numFmtId="0" xfId="0" applyAlignment="1" applyFont="1">
      <alignment horizontal="left" readingOrder="0" shrinkToFit="0" vertical="center" wrapText="0"/>
    </xf>
    <xf borderId="0" fillId="0" fontId="69" numFmtId="0" xfId="0" applyAlignment="1" applyFont="1">
      <alignment horizontal="left" readingOrder="0" shrinkToFit="0" vertical="center" wrapText="0"/>
    </xf>
    <xf borderId="0" fillId="3" fontId="88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97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7" fillId="3" fontId="98" numFmtId="49" xfId="0" applyAlignment="1" applyBorder="1" applyFill="1" applyFont="1" applyNumberFormat="1">
      <alignment shrinkToFit="0" vertical="center" wrapText="0"/>
    </xf>
    <xf borderId="3" fillId="3" fontId="99" numFmtId="0" xfId="0" applyAlignment="1" applyBorder="1" applyFill="1" applyFont="1">
      <alignment readingOrder="0" shrinkToFit="0" vertical="center" wrapText="0"/>
    </xf>
    <xf borderId="3" fillId="3" fontId="69" numFmtId="166" xfId="0" applyAlignment="1" applyBorder="1" applyFill="1" applyFont="1" applyNumberFormat="1">
      <alignment horizontal="right" shrinkToFit="0" vertical="center" wrapText="0"/>
    </xf>
    <xf borderId="3" fillId="3" fontId="100" numFmtId="0" xfId="0" applyAlignment="1" applyBorder="1" applyFill="1" applyFont="1">
      <alignment shrinkToFit="0" vertical="center" wrapText="0"/>
    </xf>
    <xf borderId="3" fillId="3" fontId="69" numFmtId="0" xfId="0" applyAlignment="1" applyBorder="1" applyFill="1" applyFont="1">
      <alignment shrinkToFit="0" vertical="center" wrapText="0"/>
    </xf>
    <xf borderId="9" fillId="3" fontId="101" numFmtId="49" xfId="0" applyAlignment="1" applyBorder="1" applyFill="1" applyFont="1" applyNumberFormat="1">
      <alignment readingOrder="0" shrinkToFit="0" vertical="center" wrapText="1"/>
    </xf>
    <xf borderId="0" fillId="0" fontId="54" numFmtId="14" xfId="0" applyAlignment="1" applyFont="1" applyNumberFormat="1">
      <alignment readingOrder="0" shrinkToFit="0" vertical="bottom" wrapText="0"/>
    </xf>
    <xf borderId="0" fillId="4" fontId="102" numFmtId="0" xfId="0" applyAlignment="1" applyFill="1" applyFont="1">
      <alignment horizontal="center" readingOrder="0" shrinkToFit="0" vertical="center" wrapText="1"/>
    </xf>
    <xf borderId="0" fillId="0" fontId="102" numFmtId="0" xfId="0" applyAlignment="1" applyFont="1">
      <alignment horizontal="center" readingOrder="0" shrinkToFit="0" vertical="center" wrapText="1"/>
    </xf>
    <xf borderId="0" fillId="0" fontId="102" numFmtId="0" xfId="0" applyAlignment="1" applyFont="1">
      <alignment horizontal="center" readingOrder="0" shrinkToFit="0" vertical="center" wrapText="1"/>
    </xf>
    <xf borderId="3" fillId="3" fontId="69" numFmtId="0" xfId="0" applyAlignment="1" applyBorder="1" applyFill="1" applyFont="1">
      <alignment horizontal="left" readingOrder="0" shrinkToFit="0" vertical="center" wrapText="0"/>
    </xf>
    <xf borderId="3" fillId="3" fontId="100" numFmtId="0" xfId="0" applyAlignment="1" applyBorder="1" applyFill="1" applyFont="1">
      <alignment readingOrder="0" shrinkToFit="0" vertical="center" wrapText="0"/>
    </xf>
    <xf borderId="3" fillId="3" fontId="69" numFmtId="0" xfId="0" applyAlignment="1" applyBorder="1" applyFill="1" applyFont="1">
      <alignment readingOrder="0" shrinkToFit="0" vertical="center" wrapText="0"/>
    </xf>
    <xf borderId="0" fillId="14" fontId="103" numFmtId="49" xfId="0" applyAlignment="1" applyFill="1" applyFont="1" applyNumberFormat="1">
      <alignment horizontal="center" readingOrder="0" shrinkToFit="0" vertical="center" wrapText="0"/>
    </xf>
    <xf borderId="11" fillId="12" fontId="4" numFmtId="49" xfId="0" applyAlignment="1" applyBorder="1" applyFill="1" applyFont="1" applyNumberFormat="1">
      <alignment readingOrder="0" shrinkToFit="0" vertical="center" wrapText="0"/>
    </xf>
    <xf borderId="13" fillId="13" fontId="69" numFmtId="0" xfId="0" applyAlignment="1" applyBorder="1" applyFill="1" applyFont="1">
      <alignment horizontal="right" shrinkToFit="0" vertical="center" wrapText="0"/>
    </xf>
    <xf borderId="3" fillId="3" fontId="69" numFmtId="0" xfId="0" applyAlignment="1" applyBorder="1" applyFill="1" applyFont="1">
      <alignment readingOrder="0" shrinkToFit="0" vertical="center" wrapText="0"/>
    </xf>
    <xf borderId="3" fillId="3" fontId="51" numFmtId="166" xfId="0" applyAlignment="1" applyBorder="1" applyFill="1" applyFont="1" applyNumberFormat="1">
      <alignment horizontal="right" readingOrder="0" shrinkToFit="0" vertical="center" wrapText="0"/>
    </xf>
    <xf borderId="0" fillId="3" fontId="104" numFmtId="49" xfId="0" applyAlignment="1" applyFill="1" applyFont="1" applyNumberFormat="1">
      <alignment readingOrder="0" shrinkToFit="0" vertical="center" wrapText="0"/>
    </xf>
    <xf borderId="3" fillId="3" fontId="5" numFmtId="0" xfId="0" applyAlignment="1" applyBorder="1" applyFill="1" applyFont="1">
      <alignment readingOrder="0" shrinkToFit="0" vertical="center" wrapText="0"/>
    </xf>
    <xf borderId="8" fillId="12" fontId="5" numFmtId="0" xfId="0" applyAlignment="1" applyBorder="1" applyFill="1" applyFont="1">
      <alignment horizontal="center" readingOrder="0" shrinkToFit="0" vertical="center" wrapText="0"/>
    </xf>
    <xf borderId="8" fillId="12" fontId="3" numFmtId="166" xfId="0" applyAlignment="1" applyBorder="1" applyFill="1" applyFont="1" applyNumberFormat="1">
      <alignment readingOrder="0" shrinkToFit="0" vertical="center" wrapText="0"/>
    </xf>
    <xf borderId="0" fillId="0" fontId="105" numFmtId="49" xfId="0" applyAlignment="1" applyFont="1" applyNumberFormat="1">
      <alignment readingOrder="0" shrinkToFit="0" vertical="center" wrapText="0"/>
    </xf>
    <xf borderId="3" fillId="3" fontId="5" numFmtId="0" xfId="0" applyAlignment="1" applyBorder="1" applyFill="1" applyFont="1">
      <alignment horizontal="center" readingOrder="0" shrinkToFit="0" vertical="center" wrapText="0"/>
    </xf>
    <xf borderId="3" fillId="3" fontId="3" numFmtId="166" xfId="0" applyAlignment="1" applyBorder="1" applyFill="1" applyFont="1" applyNumberFormat="1">
      <alignment readingOrder="0" shrinkToFit="0" vertical="center" wrapText="0"/>
    </xf>
    <xf borderId="8" fillId="12" fontId="4" numFmtId="0" xfId="0" applyAlignment="1" applyBorder="1" applyFill="1" applyFont="1">
      <alignment readingOrder="0"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0" fillId="0" fontId="62" numFmtId="0" xfId="0" applyAlignment="1" applyFont="1">
      <alignment readingOrder="0" shrinkToFit="0" vertical="center" wrapText="0"/>
    </xf>
    <xf borderId="0" fillId="3" fontId="78" numFmtId="0" xfId="0" applyAlignment="1" applyFill="1" applyFont="1">
      <alignment horizontal="left" readingOrder="0" shrinkToFit="0" vertical="center" wrapText="0"/>
    </xf>
    <xf borderId="0" fillId="0" fontId="42" numFmtId="0" xfId="0" applyAlignment="1" applyFont="1">
      <alignment readingOrder="0" shrinkToFit="0" vertical="center" wrapText="0"/>
    </xf>
    <xf borderId="0" fillId="12" fontId="4" numFmtId="0" xfId="0" applyAlignment="1" applyFill="1" applyFont="1">
      <alignment horizontal="left" readingOrder="0" shrinkToFit="0" vertical="center" wrapText="0"/>
    </xf>
    <xf borderId="0" fillId="12" fontId="4" numFmtId="0" xfId="0" applyAlignment="1" applyFill="1" applyFont="1">
      <alignment horizontal="center" readingOrder="0" shrinkToFit="0" vertical="center" wrapText="0"/>
    </xf>
    <xf borderId="0" fillId="12" fontId="4" numFmtId="0" xfId="0" applyAlignment="1" applyFill="1" applyFont="1">
      <alignment readingOrder="0" shrinkToFit="0" vertical="center" wrapText="0"/>
    </xf>
    <xf borderId="0" fillId="12" fontId="4" numFmtId="0" xfId="0" applyAlignment="1" applyFill="1" applyFont="1">
      <alignment readingOrder="0" shrinkToFit="0" vertical="center" wrapText="0"/>
    </xf>
    <xf borderId="0" fillId="12" fontId="4" numFmtId="166" xfId="0" applyAlignment="1" applyFill="1" applyFont="1" applyNumberFormat="1">
      <alignment readingOrder="0" shrinkToFit="0" vertical="center" wrapText="0"/>
    </xf>
    <xf borderId="17" fillId="3" fontId="4" numFmtId="49" xfId="0" applyAlignment="1" applyBorder="1" applyFill="1" applyFont="1" applyNumberFormat="1">
      <alignment readingOrder="0" shrinkToFit="0" vertical="center" wrapText="0"/>
    </xf>
    <xf borderId="0" fillId="12" fontId="4" numFmtId="0" xfId="0" applyAlignment="1" applyFill="1" applyFont="1">
      <alignment readingOrder="0" shrinkToFit="0" vertical="center" wrapText="0"/>
    </xf>
    <xf borderId="0" fillId="3" fontId="32" numFmtId="0" xfId="0" applyAlignment="1" applyFill="1" applyFont="1">
      <alignment readingOrder="0" shrinkToFit="0" vertical="center" wrapText="0"/>
    </xf>
    <xf borderId="0" fillId="12" fontId="4" numFmtId="0" xfId="0" applyAlignment="1" applyFill="1" applyFont="1">
      <alignment shrinkToFit="0" vertical="center" wrapText="0"/>
    </xf>
    <xf borderId="0" fillId="3" fontId="52" numFmtId="0" xfId="0" applyAlignment="1" applyFill="1" applyFont="1">
      <alignment readingOrder="0" shrinkToFit="0" vertical="center" wrapText="0"/>
    </xf>
    <xf borderId="8" fillId="12" fontId="4" numFmtId="0" xfId="0" applyAlignment="1" applyBorder="1" applyFill="1" applyFont="1">
      <alignment shrinkToFit="0" vertical="center" wrapText="0"/>
    </xf>
    <xf borderId="0" fillId="2" fontId="106" numFmtId="49" xfId="0" applyAlignment="1" applyFill="1" applyFont="1" applyNumberFormat="1">
      <alignment readingOrder="0" shrinkToFit="0" vertical="center" wrapText="0"/>
    </xf>
    <xf borderId="10" fillId="12" fontId="107" numFmtId="49" xfId="0" applyAlignment="1" applyBorder="1" applyFill="1" applyFont="1" applyNumberFormat="1">
      <alignment shrinkToFit="0" vertical="center" wrapText="0"/>
    </xf>
    <xf borderId="3" fillId="12" fontId="49" numFmtId="0" xfId="0" applyAlignment="1" applyBorder="1" applyFill="1" applyFont="1">
      <alignment shrinkToFit="0" vertical="center" wrapText="0"/>
    </xf>
    <xf borderId="3" fillId="12" fontId="49" numFmtId="0" xfId="0" applyAlignment="1" applyBorder="1" applyFill="1" applyFont="1">
      <alignment horizontal="center" shrinkToFit="0" vertical="center" wrapText="0"/>
    </xf>
    <xf borderId="3" fillId="12" fontId="108" numFmtId="0" xfId="0" applyAlignment="1" applyBorder="1" applyFill="1" applyFont="1">
      <alignment readingOrder="0" shrinkToFit="0" vertical="center" wrapText="0"/>
    </xf>
    <xf borderId="3" fillId="12" fontId="4" numFmtId="0" xfId="0" applyAlignment="1" applyBorder="1" applyFill="1" applyFont="1">
      <alignment readingOrder="0" shrinkToFit="0" vertical="center" wrapText="0"/>
    </xf>
    <xf borderId="3" fillId="12" fontId="49" numFmtId="166" xfId="0" applyAlignment="1" applyBorder="1" applyFill="1" applyFont="1" applyNumberFormat="1">
      <alignment horizontal="right" shrinkToFit="0" vertical="center" wrapText="0"/>
    </xf>
    <xf borderId="3" fillId="12" fontId="109" numFmtId="0" xfId="0" applyAlignment="1" applyBorder="1" applyFill="1" applyFont="1">
      <alignment shrinkToFit="0" vertical="center" wrapText="0"/>
    </xf>
    <xf borderId="3" fillId="12" fontId="49" numFmtId="0" xfId="0" applyAlignment="1" applyBorder="1" applyFill="1" applyFont="1">
      <alignment shrinkToFit="0" vertical="center" wrapText="0"/>
    </xf>
    <xf borderId="9" fillId="12" fontId="49" numFmtId="49" xfId="0" applyAlignment="1" applyBorder="1" applyFill="1" applyFont="1" applyNumberFormat="1">
      <alignment readingOrder="0" shrinkToFit="0" vertical="center" wrapText="0"/>
    </xf>
    <xf borderId="3" fillId="3" fontId="69" numFmtId="0" xfId="0" applyAlignment="1" applyBorder="1" applyFill="1" applyFont="1">
      <alignment shrinkToFit="0" vertical="center" wrapText="0"/>
    </xf>
    <xf borderId="3" fillId="3" fontId="49" numFmtId="0" xfId="0" applyAlignment="1" applyBorder="1" applyFill="1" applyFont="1">
      <alignment horizontal="center" shrinkToFit="0" vertical="center" wrapText="0"/>
    </xf>
    <xf borderId="3" fillId="3" fontId="108" numFmtId="0" xfId="0" applyAlignment="1" applyBorder="1" applyFill="1" applyFont="1">
      <alignment readingOrder="0" shrinkToFit="0" vertical="center" wrapText="0"/>
    </xf>
    <xf borderId="3" fillId="3" fontId="49" numFmtId="166" xfId="0" applyAlignment="1" applyBorder="1" applyFill="1" applyFont="1" applyNumberFormat="1">
      <alignment horizontal="right" shrinkToFit="0" vertical="center" wrapText="0"/>
    </xf>
    <xf borderId="3" fillId="3" fontId="109" numFmtId="0" xfId="0" applyAlignment="1" applyBorder="1" applyFill="1" applyFont="1">
      <alignment shrinkToFit="0" vertical="center" wrapText="0"/>
    </xf>
    <xf borderId="3" fillId="3" fontId="49" numFmtId="0" xfId="0" applyAlignment="1" applyBorder="1" applyFill="1" applyFont="1">
      <alignment shrinkToFit="0" vertical="center" wrapText="0"/>
    </xf>
    <xf borderId="9" fillId="3" fontId="49" numFmtId="49" xfId="0" applyAlignment="1" applyBorder="1" applyFill="1" applyFont="1" applyNumberFormat="1">
      <alignment readingOrder="0" shrinkToFit="0" vertical="center" wrapText="0"/>
    </xf>
    <xf borderId="0" fillId="3" fontId="53" numFmtId="0" xfId="0" applyAlignment="1" applyFill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3" fillId="3" fontId="49" numFmtId="0" xfId="0" applyAlignment="1" applyBorder="1" applyFill="1" applyFont="1">
      <alignment shrinkToFit="0" vertical="center" wrapText="0"/>
    </xf>
    <xf borderId="3" fillId="3" fontId="49" numFmtId="0" xfId="0" applyAlignment="1" applyBorder="1" applyFill="1" applyFont="1">
      <alignment horizontal="center" shrinkToFit="0" vertical="center" wrapText="0"/>
    </xf>
    <xf borderId="0" fillId="2" fontId="68" numFmtId="0" xfId="0" applyAlignment="1" applyFill="1" applyFont="1">
      <alignment horizontal="left" readingOrder="0" shrinkToFit="0" vertical="center" wrapText="0"/>
    </xf>
    <xf borderId="8" fillId="2" fontId="4" numFmtId="0" xfId="0" applyAlignment="1" applyBorder="1" applyFill="1" applyFont="1">
      <alignment horizontal="center" readingOrder="0" shrinkToFit="0" vertical="center" wrapText="0"/>
    </xf>
    <xf borderId="8" fillId="2" fontId="4" numFmtId="0" xfId="0" applyAlignment="1" applyBorder="1" applyFill="1" applyFont="1">
      <alignment readingOrder="0" shrinkToFit="0" vertical="center" wrapText="0"/>
    </xf>
    <xf borderId="8" fillId="2" fontId="4" numFmtId="0" xfId="0" applyAlignment="1" applyBorder="1" applyFill="1" applyFont="1">
      <alignment readingOrder="0" shrinkToFit="0" vertical="center" wrapText="0"/>
    </xf>
    <xf borderId="8" fillId="2" fontId="4" numFmtId="166" xfId="0" applyAlignment="1" applyBorder="1" applyFill="1" applyFont="1" applyNumberFormat="1">
      <alignment readingOrder="0" shrinkToFit="0" vertical="center" wrapText="0"/>
    </xf>
    <xf borderId="11" fillId="2" fontId="4" numFmtId="49" xfId="0" applyAlignment="1" applyBorder="1" applyFill="1" applyFont="1" applyNumberFormat="1">
      <alignment readingOrder="0" shrinkToFit="0" vertical="center" wrapText="0"/>
    </xf>
    <xf borderId="8" fillId="12" fontId="49" numFmtId="0" xfId="0" applyAlignment="1" applyBorder="1" applyFill="1" applyFont="1">
      <alignment horizontal="left" shrinkToFit="0" vertical="center" wrapText="0"/>
    </xf>
    <xf borderId="0" fillId="0" fontId="110" numFmtId="49" xfId="0" applyAlignment="1" applyFont="1" applyNumberFormat="1">
      <alignment readingOrder="0" shrinkToFit="0" vertical="center" wrapText="0"/>
    </xf>
    <xf borderId="0" fillId="3" fontId="32" numFmtId="0" xfId="0" applyAlignment="1" applyFill="1" applyFont="1">
      <alignment horizontal="left" readingOrder="0" shrinkToFit="0" vertical="center" wrapText="0"/>
    </xf>
    <xf borderId="18" fillId="12" fontId="4" numFmtId="0" xfId="0" applyAlignment="1" applyBorder="1" applyFill="1" applyFont="1">
      <alignment horizontal="left" readingOrder="0" shrinkToFit="0" vertical="center" wrapText="0"/>
    </xf>
    <xf borderId="0" fillId="3" fontId="88" numFmtId="0" xfId="0" applyAlignment="1" applyFill="1" applyFont="1">
      <alignment readingOrder="0" shrinkToFit="0" vertical="bottom" wrapText="0"/>
    </xf>
    <xf borderId="19" fillId="3" fontId="4" numFmtId="0" xfId="0" applyAlignment="1" applyBorder="1" applyFill="1" applyFont="1">
      <alignment horizontal="center" readingOrder="0" shrinkToFit="0" vertical="center" wrapText="0"/>
    </xf>
    <xf borderId="18" fillId="12" fontId="4" numFmtId="0" xfId="0" applyAlignment="1" applyBorder="1" applyFill="1" applyFont="1">
      <alignment horizontal="center" readingOrder="0" shrinkToFit="0" vertical="center" wrapText="0"/>
    </xf>
    <xf borderId="0" fillId="12" fontId="88" numFmtId="0" xfId="0" applyAlignment="1" applyFill="1" applyFont="1">
      <alignment horizontal="left" readingOrder="0" shrinkToFit="0" vertical="bottom" wrapText="0"/>
    </xf>
    <xf borderId="0" fillId="3" fontId="4" numFmtId="0" xfId="0" applyAlignment="1" applyFill="1" applyFont="1">
      <alignment horizontal="center" readingOrder="0" shrinkToFit="0" vertical="center" wrapText="0"/>
    </xf>
    <xf borderId="19" fillId="3" fontId="4" numFmtId="0" xfId="0" applyAlignment="1" applyBorder="1" applyFill="1" applyFont="1">
      <alignment readingOrder="0" shrinkToFit="0" vertical="center" wrapText="0"/>
    </xf>
    <xf borderId="0" fillId="3" fontId="4" numFmtId="0" xfId="0" applyAlignment="1" applyFill="1" applyFont="1">
      <alignment horizontal="left" readingOrder="0" shrinkToFit="0" vertical="center" wrapText="0"/>
    </xf>
    <xf borderId="0" fillId="0" fontId="62" numFmtId="49" xfId="0" applyAlignment="1" applyFont="1" applyNumberFormat="1">
      <alignment horizontal="left" readingOrder="0" shrinkToFit="0" vertical="center" wrapText="0"/>
    </xf>
    <xf borderId="0" fillId="3" fontId="102" numFmtId="49" xfId="0" applyAlignment="1" applyFill="1" applyFont="1" applyNumberFormat="1">
      <alignment horizontal="left" shrinkToFit="0" vertical="bottom" wrapText="0"/>
    </xf>
    <xf borderId="0" fillId="3" fontId="102" numFmtId="0" xfId="0" applyAlignment="1" applyFill="1" applyFont="1">
      <alignment horizontal="center" readingOrder="0" shrinkToFit="0" vertical="bottom" wrapText="0"/>
    </xf>
    <xf borderId="16" fillId="12" fontId="4" numFmtId="0" xfId="0" applyAlignment="1" applyBorder="1" applyFill="1" applyFont="1">
      <alignment readingOrder="0" shrinkToFit="0" vertical="center" wrapText="0"/>
    </xf>
    <xf borderId="3" fillId="3" fontId="69" numFmtId="0" xfId="0" applyAlignment="1" applyBorder="1" applyFill="1" applyFont="1">
      <alignment horizontal="left" shrinkToFit="0" vertical="center" wrapText="0"/>
    </xf>
    <xf borderId="20" fillId="3" fontId="49" numFmtId="0" xfId="0" applyAlignment="1" applyBorder="1" applyFill="1" applyFont="1">
      <alignment horizontal="center" shrinkToFit="0" vertical="center" wrapText="0"/>
    </xf>
    <xf borderId="8" fillId="3" fontId="108" numFmtId="0" xfId="0" applyAlignment="1" applyBorder="1" applyFill="1" applyFont="1">
      <alignment readingOrder="0" shrinkToFit="0" vertical="center" wrapText="0"/>
    </xf>
    <xf borderId="8" fillId="3" fontId="49" numFmtId="0" xfId="0" applyAlignment="1" applyBorder="1" applyFill="1" applyFont="1">
      <alignment horizontal="right" readingOrder="0" shrinkToFit="0" vertical="center" wrapText="0"/>
    </xf>
    <xf borderId="8" fillId="3" fontId="49" numFmtId="166" xfId="0" applyAlignment="1" applyBorder="1" applyFill="1" applyFont="1" applyNumberFormat="1">
      <alignment horizontal="right" shrinkToFit="0" vertical="center" wrapText="0"/>
    </xf>
    <xf borderId="8" fillId="3" fontId="109" numFmtId="0" xfId="0" applyAlignment="1" applyBorder="1" applyFill="1" applyFont="1">
      <alignment shrinkToFit="0" vertical="center" wrapText="0"/>
    </xf>
    <xf borderId="8" fillId="3" fontId="49" numFmtId="0" xfId="0" applyAlignment="1" applyBorder="1" applyFill="1" applyFont="1">
      <alignment shrinkToFit="0" vertical="center" wrapText="0"/>
    </xf>
    <xf borderId="21" fillId="12" fontId="4" numFmtId="0" xfId="0" applyAlignment="1" applyBorder="1" applyFill="1" applyFont="1">
      <alignment horizontal="center" readingOrder="0" shrinkToFit="0" vertical="center" wrapText="0"/>
    </xf>
    <xf borderId="0" fillId="3" fontId="102" numFmtId="49" xfId="0" applyAlignment="1" applyFill="1" applyFont="1" applyNumberFormat="1">
      <alignment horizontal="left" readingOrder="0" shrinkToFit="0" vertical="bottom" wrapText="0"/>
    </xf>
    <xf borderId="8" fillId="12" fontId="4" numFmtId="0" xfId="0" applyAlignment="1" applyBorder="1" applyFill="1" applyFont="1">
      <alignment horizontal="center" shrinkToFit="0" vertical="center" wrapText="0"/>
    </xf>
    <xf borderId="0" fillId="3" fontId="32" numFmtId="49" xfId="0" applyAlignment="1" applyFill="1" applyFont="1" applyNumberFormat="1">
      <alignment readingOrder="0" shrinkToFit="0" vertical="center" wrapText="0"/>
    </xf>
    <xf borderId="0" fillId="3" fontId="111" numFmtId="49" xfId="0" applyAlignment="1" applyFill="1" applyFont="1" applyNumberFormat="1">
      <alignment readingOrder="0" shrinkToFit="0" vertical="center" wrapText="0"/>
    </xf>
    <xf borderId="0" fillId="0" fontId="20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3" fontId="72" numFmtId="0" xfId="0" applyAlignment="1" applyFill="1" applyFont="1">
      <alignment readingOrder="0" shrinkToFit="0" vertical="center" wrapText="0"/>
    </xf>
    <xf borderId="0" fillId="16" fontId="102" numFmtId="0" xfId="0" applyAlignment="1" applyFill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0"/>
    </xf>
    <xf borderId="0" fillId="3" fontId="112" numFmtId="49" xfId="0" applyAlignment="1" applyFill="1" applyFont="1" applyNumberFormat="1">
      <alignment readingOrder="0" shrinkToFit="0" vertical="center" wrapText="0"/>
    </xf>
    <xf borderId="0" fillId="0" fontId="42" numFmtId="49" xfId="0" applyAlignment="1" applyFont="1" applyNumberFormat="1">
      <alignment horizontal="left" readingOrder="0" shrinkToFit="0" vertical="center" wrapText="0"/>
    </xf>
    <xf borderId="18" fillId="12" fontId="4" numFmtId="0" xfId="0" applyAlignment="1" applyBorder="1" applyFill="1" applyFont="1">
      <alignment readingOrder="0" shrinkToFit="0" vertical="center" wrapText="0"/>
    </xf>
    <xf borderId="0" fillId="3" fontId="4" numFmtId="49" xfId="0" applyAlignment="1" applyFill="1" applyFont="1" applyNumberFormat="1">
      <alignment readingOrder="0" shrinkToFit="0" vertical="center" wrapText="0"/>
    </xf>
    <xf borderId="21" fillId="12" fontId="4" numFmtId="0" xfId="0" applyAlignment="1" applyBorder="1" applyFill="1" applyFont="1">
      <alignment readingOrder="0" shrinkToFit="0" vertical="center" wrapText="0"/>
    </xf>
    <xf borderId="8" fillId="12" fontId="113" numFmtId="0" xfId="0" applyAlignment="1" applyBorder="1" applyFill="1" applyFont="1">
      <alignment shrinkToFit="0" vertical="center" wrapText="0"/>
    </xf>
    <xf borderId="8" fillId="12" fontId="49" numFmtId="0" xfId="0" applyAlignment="1" applyBorder="1" applyFill="1" applyFont="1">
      <alignment horizontal="center" shrinkToFit="0" vertical="center" wrapText="0"/>
    </xf>
    <xf borderId="8" fillId="12" fontId="108" numFmtId="0" xfId="0" applyAlignment="1" applyBorder="1" applyFill="1" applyFont="1">
      <alignment readingOrder="0" shrinkToFit="0" vertical="center" wrapText="0"/>
    </xf>
    <xf borderId="8" fillId="12" fontId="49" numFmtId="166" xfId="0" applyAlignment="1" applyBorder="1" applyFill="1" applyFont="1" applyNumberFormat="1">
      <alignment horizontal="right" shrinkToFit="0" vertical="center" wrapText="0"/>
    </xf>
    <xf borderId="8" fillId="12" fontId="109" numFmtId="0" xfId="0" applyAlignment="1" applyBorder="1" applyFill="1" applyFont="1">
      <alignment shrinkToFit="0" vertical="center" wrapText="0"/>
    </xf>
    <xf borderId="8" fillId="12" fontId="49" numFmtId="0" xfId="0" applyAlignment="1" applyBorder="1" applyFill="1" applyFont="1">
      <alignment shrinkToFit="0" vertical="center" wrapText="0"/>
    </xf>
    <xf borderId="0" fillId="12" fontId="69" numFmtId="49" xfId="0" applyAlignment="1" applyFill="1" applyFont="1" applyNumberFormat="1">
      <alignment horizontal="left" shrinkToFit="0" vertical="center" wrapText="0"/>
    </xf>
    <xf borderId="8" fillId="12" fontId="50" numFmtId="0" xfId="0" applyAlignment="1" applyBorder="1" applyFill="1" applyFont="1">
      <alignment readingOrder="0" shrinkToFit="0" vertical="center" wrapText="0"/>
    </xf>
    <xf borderId="8" fillId="12" fontId="49" numFmtId="0" xfId="0" applyAlignment="1" applyBorder="1" applyFill="1" applyFont="1">
      <alignment horizontal="center" readingOrder="0" shrinkToFit="0" vertical="center" wrapText="0"/>
    </xf>
    <xf borderId="8" fillId="12" fontId="49" numFmtId="166" xfId="0" applyAlignment="1" applyBorder="1" applyFill="1" applyFont="1" applyNumberFormat="1">
      <alignment horizontal="right" readingOrder="0" shrinkToFit="0" vertical="center" wrapText="0"/>
    </xf>
    <xf borderId="8" fillId="12" fontId="109" numFmtId="0" xfId="0" applyAlignment="1" applyBorder="1" applyFill="1" applyFont="1">
      <alignment readingOrder="0" shrinkToFit="0" vertical="center" wrapText="0"/>
    </xf>
    <xf borderId="8" fillId="12" fontId="49" numFmtId="0" xfId="0" applyAlignment="1" applyBorder="1" applyFill="1" applyFont="1">
      <alignment readingOrder="0" shrinkToFit="0" vertical="center" wrapText="0"/>
    </xf>
    <xf borderId="9" fillId="12" fontId="49" numFmtId="49" xfId="0" applyAlignment="1" applyBorder="1" applyFill="1" applyFont="1" applyNumberFormat="1">
      <alignment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19" fillId="3" fontId="4" numFmtId="0" xfId="0" applyAlignment="1" applyBorder="1" applyFill="1" applyFont="1">
      <alignment readingOrder="0" shrinkToFit="0" vertical="center" wrapText="0"/>
    </xf>
    <xf borderId="16" fillId="12" fontId="4" numFmtId="0" xfId="0" applyAlignment="1" applyBorder="1" applyFill="1" applyFont="1">
      <alignment readingOrder="0" shrinkToFit="0" vertical="center" wrapText="0"/>
    </xf>
    <xf borderId="8" fillId="12" fontId="108" numFmtId="0" xfId="0" applyAlignment="1" applyBorder="1" applyFill="1" applyFont="1">
      <alignment readingOrder="0" shrinkToFit="0" vertical="center" wrapText="0"/>
    </xf>
    <xf borderId="8" fillId="12" fontId="109" numFmtId="0" xfId="0" applyAlignment="1" applyBorder="1" applyFill="1" applyFont="1">
      <alignment readingOrder="0" shrinkToFit="0" vertical="center" wrapText="0"/>
    </xf>
    <xf borderId="8" fillId="12" fontId="49" numFmtId="0" xfId="0" applyAlignment="1" applyBorder="1" applyFill="1" applyFont="1">
      <alignment readingOrder="0" shrinkToFit="0" vertical="center" wrapText="0"/>
    </xf>
    <xf borderId="8" fillId="12" fontId="4" numFmtId="0" xfId="0" applyAlignment="1" applyBorder="1" applyFill="1" applyFont="1">
      <alignment readingOrder="0" shrinkToFit="0" vertical="center" wrapText="0"/>
    </xf>
    <xf borderId="10" fillId="12" fontId="4" numFmtId="49" xfId="0" applyAlignment="1" applyBorder="1" applyFill="1" applyFont="1" applyNumberFormat="1">
      <alignment shrinkToFit="0" vertical="center" wrapText="0"/>
    </xf>
    <xf borderId="8" fillId="12" fontId="4" numFmtId="0" xfId="0" applyAlignment="1" applyBorder="1" applyFill="1" applyFont="1">
      <alignment shrinkToFit="0" vertical="center" wrapText="0"/>
    </xf>
    <xf borderId="8" fillId="12" fontId="4" numFmtId="0" xfId="0" applyAlignment="1" applyBorder="1" applyFill="1" applyFont="1">
      <alignment shrinkToFit="0" vertical="center" wrapText="0"/>
    </xf>
    <xf borderId="8" fillId="12" fontId="4" numFmtId="166" xfId="0" applyAlignment="1" applyBorder="1" applyFill="1" applyFont="1" applyNumberFormat="1">
      <alignment shrinkToFit="0" vertical="center" wrapText="0"/>
    </xf>
    <xf borderId="7" fillId="3" fontId="4" numFmtId="49" xfId="0" applyAlignment="1" applyBorder="1" applyFill="1" applyFont="1" applyNumberFormat="1">
      <alignment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3" fillId="3" fontId="4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3" fillId="3" fontId="4" numFmtId="166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7DADD"/>
          <bgColor rgb="FFD7DADD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41">
    <tableStyle count="5" pivot="0" name="ALL SAL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2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3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4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5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6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7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8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9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0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1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2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3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40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LL SALES-style 141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6" displayName="Sales_orders" name="Sales_orders" id="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" showColumnStripes="0" showFirstColumn="1" showLastColumn="1" showRowStripes="1"/>
</table>
</file>

<file path=xl/tables/table2.xml><?xml version="1.0" encoding="utf-8"?>
<table xmlns="http://schemas.openxmlformats.org/spreadsheetml/2006/main" totalsRowCount="1" ref="A9:I13" displayName="Table_1" name="Table_1" id="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" showColumnStripes="0" showFirstColumn="1" showLastColumn="1" showRowStripes="1"/>
</table>
</file>

<file path=xl/tables/table3.xml><?xml version="1.0" encoding="utf-8"?>
<table xmlns="http://schemas.openxmlformats.org/spreadsheetml/2006/main" totalsRowCount="1" ref="A17:I30" displayName="Table2" name="Table2" id="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" showColumnStripes="0" showFirstColumn="1" showLastColumn="1" showRowStripes="1"/>
</table>
</file>

<file path=xl/tables/table4.xml><?xml version="1.0" encoding="utf-8"?>
<table xmlns="http://schemas.openxmlformats.org/spreadsheetml/2006/main" totalsRowCount="1" ref="A33:I40" displayName="Table3" name="Table3" id="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" showColumnStripes="0" showFirstColumn="1" showLastColumn="1" showRowStripes="1"/>
</table>
</file>

<file path=xl/tables/table5.xml><?xml version="1.0" encoding="utf-8"?>
<table xmlns="http://schemas.openxmlformats.org/spreadsheetml/2006/main" totalsRowCount="1" ref="A43:I58" displayName="Table4" name="Table4" id="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" showColumnStripes="0" showFirstColumn="1" showLastColumn="1" showRowStripes="1"/>
</table>
</file>

<file path=xl/tables/table6.xml><?xml version="1.0" encoding="utf-8"?>
<table xmlns="http://schemas.openxmlformats.org/spreadsheetml/2006/main" totalsRowCount="1" ref="A61:I64" displayName="Table5" name="Table5" id="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" showColumnStripes="0" showFirstColumn="1" showLastColumn="1" showRowStripes="1"/>
</table>
</file>

<file path=xl/tables/table7.xml><?xml version="1.0" encoding="utf-8"?>
<table xmlns="http://schemas.openxmlformats.org/spreadsheetml/2006/main" totalsRowCount="1" ref="A67:I70" displayName="Table6" name="Table6" id="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" showColumnStripes="0" showFirstColumn="1" showLastColumn="1" showRowStripes="1"/>
</table>
</file>

<file path=xl/tables/table8.xml><?xml version="1.0" encoding="utf-8"?>
<table xmlns="http://schemas.openxmlformats.org/spreadsheetml/2006/main" totalsRowCount="1" ref="A73:I81" displayName="Table7" name="Table7" id="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" showColumnStripes="0" showFirstColumn="1" showLastColumn="1" showRowStripes="1"/>
</table>
</file>

<file path=xl/tables/table9.xml><?xml version="1.0" encoding="utf-8"?>
<table xmlns="http://schemas.openxmlformats.org/spreadsheetml/2006/main" totalsRowCount="1" ref="A84:I91" displayName="Table8" name="Table8" id="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" showColumnStripes="0" showFirstColumn="1" showLastColumn="1" showRowStripes="1"/>
</table>
</file>

<file path=xl/tables/table10.xml><?xml version="1.0" encoding="utf-8"?>
<table xmlns="http://schemas.openxmlformats.org/spreadsheetml/2006/main" totalsRowCount="1" ref="A94:I97" displayName="Table9" name="Table9" id="1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" showColumnStripes="0" showFirstColumn="1" showLastColumn="1" showRowStripes="1"/>
</table>
</file>

<file path=xl/tables/table11.xml><?xml version="1.0" encoding="utf-8"?>
<table xmlns="http://schemas.openxmlformats.org/spreadsheetml/2006/main" totalsRowCount="1" ref="A100:I106" displayName="Table10" name="Table10" id="1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" showColumnStripes="0" showFirstColumn="1" showLastColumn="1" showRowStripes="1"/>
</table>
</file>

<file path=xl/tables/table12.xml><?xml version="1.0" encoding="utf-8"?>
<table xmlns="http://schemas.openxmlformats.org/spreadsheetml/2006/main" totalsRowCount="1" ref="A109:I112" displayName="Table11" name="Table11" id="1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" showColumnStripes="0" showFirstColumn="1" showLastColumn="1" showRowStripes="1"/>
</table>
</file>

<file path=xl/tables/table13.xml><?xml version="1.0" encoding="utf-8"?>
<table xmlns="http://schemas.openxmlformats.org/spreadsheetml/2006/main" totalsRowCount="1" ref="A116:I127" displayName="Table12" name="Table12" id="1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" showColumnStripes="0" showFirstColumn="1" showLastColumn="1" showRowStripes="1"/>
</table>
</file>

<file path=xl/tables/table14.xml><?xml version="1.0" encoding="utf-8"?>
<table xmlns="http://schemas.openxmlformats.org/spreadsheetml/2006/main" totalsRowCount="1" ref="A130:I136" displayName="Table13" name="Table13" id="1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4" showColumnStripes="0" showFirstColumn="1" showLastColumn="1" showRowStripes="1"/>
</table>
</file>

<file path=xl/tables/table15.xml><?xml version="1.0" encoding="utf-8"?>
<table xmlns="http://schemas.openxmlformats.org/spreadsheetml/2006/main" totalsRowCount="1" ref="A139:I147" displayName="Table14" name="Table14" id="1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5" showColumnStripes="0" showFirstColumn="1" showLastColumn="1" showRowStripes="1"/>
</table>
</file>

<file path=xl/tables/table16.xml><?xml version="1.0" encoding="utf-8"?>
<table xmlns="http://schemas.openxmlformats.org/spreadsheetml/2006/main" totalsRowCount="1" ref="A150:I156" displayName="Table15" name="Table15" id="1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6" showColumnStripes="0" showFirstColumn="1" showLastColumn="1" showRowStripes="1"/>
</table>
</file>

<file path=xl/tables/table17.xml><?xml version="1.0" encoding="utf-8"?>
<table xmlns="http://schemas.openxmlformats.org/spreadsheetml/2006/main" totalsRowCount="1" ref="A159:I167" displayName="Table16" name="Table16" id="1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7" showColumnStripes="0" showFirstColumn="1" showLastColumn="1" showRowStripes="1"/>
</table>
</file>

<file path=xl/tables/table18.xml><?xml version="1.0" encoding="utf-8"?>
<table xmlns="http://schemas.openxmlformats.org/spreadsheetml/2006/main" totalsRowCount="1" ref="A170:I180" displayName="Table17" name="Table17" id="1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8" showColumnStripes="0" showFirstColumn="1" showLastColumn="1" showRowStripes="1"/>
</table>
</file>

<file path=xl/tables/table19.xml><?xml version="1.0" encoding="utf-8"?>
<table xmlns="http://schemas.openxmlformats.org/spreadsheetml/2006/main" totalsRowCount="1" ref="A183:I188" displayName="Table18" name="Table18" id="1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9" showColumnStripes="0" showFirstColumn="1" showLastColumn="1" showRowStripes="1"/>
</table>
</file>

<file path=xl/tables/table20.xml><?xml version="1.0" encoding="utf-8"?>
<table xmlns="http://schemas.openxmlformats.org/spreadsheetml/2006/main" totalsRowCount="1" ref="A191:I202" displayName="Table19" name="Table19" id="2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0" showColumnStripes="0" showFirstColumn="1" showLastColumn="1" showRowStripes="1"/>
</table>
</file>

<file path=xl/tables/table21.xml><?xml version="1.0" encoding="utf-8"?>
<table xmlns="http://schemas.openxmlformats.org/spreadsheetml/2006/main" totalsRowCount="1" ref="A205:I209" displayName="Table20" name="Table20" id="2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1" showColumnStripes="0" showFirstColumn="1" showLastColumn="1" showRowStripes="1"/>
</table>
</file>

<file path=xl/tables/table22.xml><?xml version="1.0" encoding="utf-8"?>
<table xmlns="http://schemas.openxmlformats.org/spreadsheetml/2006/main" totalsRowCount="1" ref="A212:I217" displayName="Table21" name="Table21" id="2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2" showColumnStripes="0" showFirstColumn="1" showLastColumn="1" showRowStripes="1"/>
</table>
</file>

<file path=xl/tables/table23.xml><?xml version="1.0" encoding="utf-8"?>
<table xmlns="http://schemas.openxmlformats.org/spreadsheetml/2006/main" totalsRowCount="1" ref="A220:I225" displayName="Table22" name="Table22" id="2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3" showColumnStripes="0" showFirstColumn="1" showLastColumn="1" showRowStripes="1"/>
</table>
</file>

<file path=xl/tables/table24.xml><?xml version="1.0" encoding="utf-8"?>
<table xmlns="http://schemas.openxmlformats.org/spreadsheetml/2006/main" totalsRowCount="1" ref="A228:I239" displayName="Table23" name="Table23" id="2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4" showColumnStripes="0" showFirstColumn="1" showLastColumn="1" showRowStripes="1"/>
</table>
</file>

<file path=xl/tables/table25.xml><?xml version="1.0" encoding="utf-8"?>
<table xmlns="http://schemas.openxmlformats.org/spreadsheetml/2006/main" totalsRowCount="1" ref="A242:I246" displayName="Table25" name="Table25" id="2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5" showColumnStripes="0" showFirstColumn="1" showLastColumn="1" showRowStripes="1"/>
</table>
</file>

<file path=xl/tables/table26.xml><?xml version="1.0" encoding="utf-8"?>
<table xmlns="http://schemas.openxmlformats.org/spreadsheetml/2006/main" totalsRowCount="1" ref="A249:I253" displayName="Table26" name="Table26" id="2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6" showColumnStripes="0" showFirstColumn="1" showLastColumn="1" showRowStripes="1"/>
</table>
</file>

<file path=xl/tables/table27.xml><?xml version="1.0" encoding="utf-8"?>
<table xmlns="http://schemas.openxmlformats.org/spreadsheetml/2006/main" totalsRowCount="1" ref="A256:I263" displayName="Table27" name="Table27" id="2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7" showColumnStripes="0" showFirstColumn="1" showLastColumn="1" showRowStripes="1"/>
</table>
</file>

<file path=xl/tables/table28.xml><?xml version="1.0" encoding="utf-8"?>
<table xmlns="http://schemas.openxmlformats.org/spreadsheetml/2006/main" totalsRowCount="1" ref="A266:I271" displayName="Table28" name="Table28" id="2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8" showColumnStripes="0" showFirstColumn="1" showLastColumn="1" showRowStripes="1"/>
</table>
</file>

<file path=xl/tables/table29.xml><?xml version="1.0" encoding="utf-8"?>
<table xmlns="http://schemas.openxmlformats.org/spreadsheetml/2006/main" totalsRowCount="1" ref="A274:I283" displayName="Table29" name="Table29" id="2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29" showColumnStripes="0" showFirstColumn="1" showLastColumn="1" showRowStripes="1"/>
</table>
</file>

<file path=xl/tables/table30.xml><?xml version="1.0" encoding="utf-8"?>
<table xmlns="http://schemas.openxmlformats.org/spreadsheetml/2006/main" totalsRowCount="1" ref="A286:I290" displayName="Table30" name="Table30" id="3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0" showColumnStripes="0" showFirstColumn="1" showLastColumn="1" showRowStripes="1"/>
</table>
</file>

<file path=xl/tables/table31.xml><?xml version="1.0" encoding="utf-8"?>
<table xmlns="http://schemas.openxmlformats.org/spreadsheetml/2006/main" totalsRowCount="1" ref="A293:I301" displayName="Table31" name="Table31" id="3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1" showColumnStripes="0" showFirstColumn="1" showLastColumn="1" showRowStripes="1"/>
</table>
</file>

<file path=xl/tables/table32.xml><?xml version="1.0" encoding="utf-8"?>
<table xmlns="http://schemas.openxmlformats.org/spreadsheetml/2006/main" totalsRowCount="1" ref="A304:I311" displayName="Table32" name="Table32" id="3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2" showColumnStripes="0" showFirstColumn="1" showLastColumn="1" showRowStripes="1"/>
</table>
</file>

<file path=xl/tables/table33.xml><?xml version="1.0" encoding="utf-8"?>
<table xmlns="http://schemas.openxmlformats.org/spreadsheetml/2006/main" totalsRowCount="1" ref="A314:I327" displayName="Table33" name="Table33" id="3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3" showColumnStripes="0" showFirstColumn="1" showLastColumn="1" showRowStripes="1"/>
</table>
</file>

<file path=xl/tables/table34.xml><?xml version="1.0" encoding="utf-8"?>
<table xmlns="http://schemas.openxmlformats.org/spreadsheetml/2006/main" totalsRowCount="1" ref="A330:I332" displayName="Table34" name="Table34" id="34">
  <tableColumns count="9">
    <tableColumn name="Order I.D" id="1"/>
    <tableColumn name="Part#" id="2"/>
    <tableColumn name="Quantity" id="3"/>
    <tableColumn name="Status" id="4"/>
    <tableColumn totalsRowLabel="$61.52" name="Order Earnings" id="5"/>
    <tableColumn name="Order date" id="6"/>
    <tableColumn name="Sales ACC" id="7"/>
    <tableColumn name="Location" id="8"/>
    <tableColumn name="Notes" id="9"/>
  </tableColumns>
  <tableStyleInfo name="ALL SALES-style 34" showColumnStripes="0" showFirstColumn="1" showLastColumn="1" showRowStripes="1"/>
</table>
</file>

<file path=xl/tables/table35.xml><?xml version="1.0" encoding="utf-8"?>
<table xmlns="http://schemas.openxmlformats.org/spreadsheetml/2006/main" totalsRowCount="1" ref="A335:I349" displayName="Table35" name="Table35" id="3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5" showColumnStripes="0" showFirstColumn="1" showLastColumn="1" showRowStripes="1"/>
</table>
</file>

<file path=xl/tables/table36.xml><?xml version="1.0" encoding="utf-8"?>
<table xmlns="http://schemas.openxmlformats.org/spreadsheetml/2006/main" totalsRowCount="1" ref="A352:I357" displayName="Table36" name="Table36" id="3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6" showColumnStripes="0" showFirstColumn="1" showLastColumn="1" showRowStripes="1"/>
</table>
</file>

<file path=xl/tables/table37.xml><?xml version="1.0" encoding="utf-8"?>
<table xmlns="http://schemas.openxmlformats.org/spreadsheetml/2006/main" totalsRowCount="1" ref="A360:I369" displayName="Table37" name="Table37" id="3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7" showColumnStripes="0" showFirstColumn="1" showLastColumn="1" showRowStripes="1"/>
</table>
</file>

<file path=xl/tables/table38.xml><?xml version="1.0" encoding="utf-8"?>
<table xmlns="http://schemas.openxmlformats.org/spreadsheetml/2006/main" totalsRowCount="1" ref="A372:I385" displayName="Table38" name="Table38" id="3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8" showColumnStripes="0" showFirstColumn="1" showLastColumn="1" showRowStripes="1"/>
</table>
</file>

<file path=xl/tables/table39.xml><?xml version="1.0" encoding="utf-8"?>
<table xmlns="http://schemas.openxmlformats.org/spreadsheetml/2006/main" totalsRowCount="1" ref="A388:I395" displayName="Table39" name="Table39" id="3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39" showColumnStripes="0" showFirstColumn="1" showLastColumn="1" showRowStripes="1"/>
</table>
</file>

<file path=xl/tables/table40.xml><?xml version="1.0" encoding="utf-8"?>
<table xmlns="http://schemas.openxmlformats.org/spreadsheetml/2006/main" totalsRowCount="1" ref="A398:I401" displayName="Table40" name="Table40" id="4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0" showColumnStripes="0" showFirstColumn="1" showLastColumn="1" showRowStripes="1"/>
</table>
</file>

<file path=xl/tables/table41.xml><?xml version="1.0" encoding="utf-8"?>
<table xmlns="http://schemas.openxmlformats.org/spreadsheetml/2006/main" totalsRowCount="1" ref="A404:I411" displayName="Table41" name="Table41" id="4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1" showColumnStripes="0" showFirstColumn="1" showLastColumn="1" showRowStripes="1"/>
</table>
</file>

<file path=xl/tables/table42.xml><?xml version="1.0" encoding="utf-8"?>
<table xmlns="http://schemas.openxmlformats.org/spreadsheetml/2006/main" totalsRowCount="1" ref="A414:I423" displayName="Table42" name="Table42" id="4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2" showColumnStripes="0" showFirstColumn="1" showLastColumn="1" showRowStripes="1"/>
</table>
</file>

<file path=xl/tables/table43.xml><?xml version="1.0" encoding="utf-8"?>
<table xmlns="http://schemas.openxmlformats.org/spreadsheetml/2006/main" totalsRowCount="1" ref="A426:I443" displayName="Table43" name="Table43" id="4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3" showColumnStripes="0" showFirstColumn="1" showLastColumn="1" showRowStripes="1"/>
</table>
</file>

<file path=xl/tables/table44.xml><?xml version="1.0" encoding="utf-8"?>
<table xmlns="http://schemas.openxmlformats.org/spreadsheetml/2006/main" totalsRowCount="1" ref="A447:I458" displayName="Table44" name="Table44" id="4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4" showColumnStripes="0" showFirstColumn="1" showLastColumn="1" showRowStripes="1"/>
</table>
</file>

<file path=xl/tables/table45.xml><?xml version="1.0" encoding="utf-8"?>
<table xmlns="http://schemas.openxmlformats.org/spreadsheetml/2006/main" totalsRowCount="1" ref="A461:I466" displayName="Table45" name="Table45" id="4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5" showColumnStripes="0" showFirstColumn="1" showLastColumn="1" showRowStripes="1"/>
</table>
</file>

<file path=xl/tables/table46.xml><?xml version="1.0" encoding="utf-8"?>
<table xmlns="http://schemas.openxmlformats.org/spreadsheetml/2006/main" totalsRowCount="1" ref="A469:I479" displayName="Table46" name="Table46" id="4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6" showColumnStripes="0" showFirstColumn="1" showLastColumn="1" showRowStripes="1"/>
</table>
</file>

<file path=xl/tables/table47.xml><?xml version="1.0" encoding="utf-8"?>
<table xmlns="http://schemas.openxmlformats.org/spreadsheetml/2006/main" totalsRowCount="1" ref="A482:I491" displayName="Table47" name="Table47" id="4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7" showColumnStripes="0" showFirstColumn="1" showLastColumn="1" showRowStripes="1"/>
</table>
</file>

<file path=xl/tables/table48.xml><?xml version="1.0" encoding="utf-8"?>
<table xmlns="http://schemas.openxmlformats.org/spreadsheetml/2006/main" totalsRowCount="1" ref="A494:I511" displayName="Table48" name="Table48" id="4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8" showColumnStripes="0" showFirstColumn="1" showLastColumn="1" showRowStripes="1"/>
</table>
</file>

<file path=xl/tables/table49.xml><?xml version="1.0" encoding="utf-8"?>
<table xmlns="http://schemas.openxmlformats.org/spreadsheetml/2006/main" totalsRowCount="1" ref="A514:I519" displayName="Table49" name="Table49" id="4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49" showColumnStripes="0" showFirstColumn="1" showLastColumn="1" showRowStripes="1"/>
</table>
</file>

<file path=xl/tables/table50.xml><?xml version="1.0" encoding="utf-8"?>
<table xmlns="http://schemas.openxmlformats.org/spreadsheetml/2006/main" totalsRowCount="1" ref="A522:I529" displayName="Table50" name="Table50" id="5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0" showColumnStripes="0" showFirstColumn="1" showLastColumn="1" showRowStripes="1"/>
</table>
</file>

<file path=xl/tables/table51.xml><?xml version="1.0" encoding="utf-8"?>
<table xmlns="http://schemas.openxmlformats.org/spreadsheetml/2006/main" totalsRowCount="1" ref="A532:I539" displayName="Table51" name="Table51" id="5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1" showColumnStripes="0" showFirstColumn="1" showLastColumn="1" showRowStripes="1"/>
</table>
</file>

<file path=xl/tables/table52.xml><?xml version="1.0" encoding="utf-8"?>
<table xmlns="http://schemas.openxmlformats.org/spreadsheetml/2006/main" totalsRowCount="1" ref="A542:I549" displayName="Table52" name="Table52" id="5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2" showColumnStripes="0" showFirstColumn="1" showLastColumn="1" showRowStripes="1"/>
</table>
</file>

<file path=xl/tables/table53.xml><?xml version="1.0" encoding="utf-8"?>
<table xmlns="http://schemas.openxmlformats.org/spreadsheetml/2006/main" totalsRowCount="1" ref="A552:I567" displayName="Table53" name="Table53" id="5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3" showColumnStripes="0" showFirstColumn="1" showLastColumn="1" showRowStripes="1"/>
</table>
</file>

<file path=xl/tables/table54.xml><?xml version="1.0" encoding="utf-8"?>
<table xmlns="http://schemas.openxmlformats.org/spreadsheetml/2006/main" totalsRowCount="1" ref="A570:I580" displayName="Table54" name="Table54" id="5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4" showColumnStripes="0" showFirstColumn="1" showLastColumn="1" showRowStripes="1"/>
</table>
</file>

<file path=xl/tables/table55.xml><?xml version="1.0" encoding="utf-8"?>
<table xmlns="http://schemas.openxmlformats.org/spreadsheetml/2006/main" totalsRowCount="1" ref="A583:I597" displayName="Table55" name="Table55" id="5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5" showColumnStripes="0" showFirstColumn="1" showLastColumn="1" showRowStripes="1"/>
</table>
</file>

<file path=xl/tables/table56.xml><?xml version="1.0" encoding="utf-8"?>
<table xmlns="http://schemas.openxmlformats.org/spreadsheetml/2006/main" totalsRowCount="1" ref="A600:I608" displayName="Table56" name="Table56" id="5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6" showColumnStripes="0" showFirstColumn="1" showLastColumn="1" showRowStripes="1"/>
</table>
</file>

<file path=xl/tables/table57.xml><?xml version="1.0" encoding="utf-8"?>
<table xmlns="http://schemas.openxmlformats.org/spreadsheetml/2006/main" totalsRowCount="1" ref="A611:I621" displayName="Table57" name="Table57" id="5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7" showColumnStripes="0" showFirstColumn="1" showLastColumn="1" showRowStripes="1"/>
</table>
</file>

<file path=xl/tables/table58.xml><?xml version="1.0" encoding="utf-8"?>
<table xmlns="http://schemas.openxmlformats.org/spreadsheetml/2006/main" totalsRowCount="1" ref="A624:I636" displayName="Table58" name="Table58" id="5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8" showColumnStripes="0" showFirstColumn="1" showLastColumn="1" showRowStripes="1"/>
</table>
</file>

<file path=xl/tables/table59.xml><?xml version="1.0" encoding="utf-8"?>
<table xmlns="http://schemas.openxmlformats.org/spreadsheetml/2006/main" totalsRowCount="1" ref="A639:I648" displayName="Table59" name="Table59" id="5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59" showColumnStripes="0" showFirstColumn="1" showLastColumn="1" showRowStripes="1"/>
</table>
</file>

<file path=xl/tables/table60.xml><?xml version="1.0" encoding="utf-8"?>
<table xmlns="http://schemas.openxmlformats.org/spreadsheetml/2006/main" totalsRowCount="1" ref="A651:I659" displayName="Table60" name="Table60" id="6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0" showColumnStripes="0" showFirstColumn="1" showLastColumn="1" showRowStripes="1"/>
</table>
</file>

<file path=xl/tables/table61.xml><?xml version="1.0" encoding="utf-8"?>
<table xmlns="http://schemas.openxmlformats.org/spreadsheetml/2006/main" totalsRowCount="1" ref="A662:I667" displayName="Table61" name="Table61" id="6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1" showColumnStripes="0" showFirstColumn="1" showLastColumn="1" showRowStripes="1"/>
</table>
</file>

<file path=xl/tables/table62.xml><?xml version="1.0" encoding="utf-8"?>
<table xmlns="http://schemas.openxmlformats.org/spreadsheetml/2006/main" totalsRowCount="1" ref="A670:I684" displayName="Table62" name="Table62" id="6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2" showColumnStripes="0" showFirstColumn="1" showLastColumn="1" showRowStripes="1"/>
</table>
</file>

<file path=xl/tables/table63.xml><?xml version="1.0" encoding="utf-8"?>
<table xmlns="http://schemas.openxmlformats.org/spreadsheetml/2006/main" totalsRowCount="1" ref="A687:I694" displayName="Table63" name="Table63" id="6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3" showColumnStripes="0" showFirstColumn="1" showLastColumn="1" showRowStripes="1"/>
</table>
</file>

<file path=xl/tables/table64.xml><?xml version="1.0" encoding="utf-8"?>
<table xmlns="http://schemas.openxmlformats.org/spreadsheetml/2006/main" totalsRowCount="1" ref="A697:I705" displayName="Table64" name="Table64" id="6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4" showColumnStripes="0" showFirstColumn="1" showLastColumn="1" showRowStripes="1"/>
</table>
</file>

<file path=xl/tables/table65.xml><?xml version="1.0" encoding="utf-8"?>
<table xmlns="http://schemas.openxmlformats.org/spreadsheetml/2006/main" totalsRowCount="1" ref="A708:I718" displayName="Table65" name="Table65" id="6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5" showColumnStripes="0" showFirstColumn="1" showLastColumn="1" showRowStripes="1"/>
</table>
</file>

<file path=xl/tables/table66.xml><?xml version="1.0" encoding="utf-8"?>
<table xmlns="http://schemas.openxmlformats.org/spreadsheetml/2006/main" totalsRowCount="1" ref="A721:I732" displayName="Table66" name="Table66" id="6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6" showColumnStripes="0" showFirstColumn="1" showLastColumn="1" showRowStripes="1"/>
</table>
</file>

<file path=xl/tables/table67.xml><?xml version="1.0" encoding="utf-8"?>
<table xmlns="http://schemas.openxmlformats.org/spreadsheetml/2006/main" totalsRowCount="1" ref="A735:I752" displayName="Table67" name="Table67" id="6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7" showColumnStripes="0" showFirstColumn="1" showLastColumn="1" showRowStripes="1"/>
</table>
</file>

<file path=xl/tables/table68.xml><?xml version="1.0" encoding="utf-8"?>
<table xmlns="http://schemas.openxmlformats.org/spreadsheetml/2006/main" totalsRowCount="1" ref="A755:I763" displayName="Table68" name="Table68" id="6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8" showColumnStripes="0" showFirstColumn="1" showLastColumn="1" showRowStripes="1"/>
</table>
</file>

<file path=xl/tables/table69.xml><?xml version="1.0" encoding="utf-8"?>
<table xmlns="http://schemas.openxmlformats.org/spreadsheetml/2006/main" totalsRowCount="1" ref="A766:I776" displayName="Table69" name="Table69" id="6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69" showColumnStripes="0" showFirstColumn="1" showLastColumn="1" showRowStripes="1"/>
</table>
</file>

<file path=xl/tables/table70.xml><?xml version="1.0" encoding="utf-8"?>
<table xmlns="http://schemas.openxmlformats.org/spreadsheetml/2006/main" totalsRowCount="1" ref="A779:I792" displayName="Table70" name="Table70" id="7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0" showColumnStripes="0" showFirstColumn="1" showLastColumn="1" showRowStripes="1"/>
</table>
</file>

<file path=xl/tables/table71.xml><?xml version="1.0" encoding="utf-8"?>
<table xmlns="http://schemas.openxmlformats.org/spreadsheetml/2006/main" totalsRowCount="1" ref="A795:I805" displayName="Table71" name="Table71" id="7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1" showColumnStripes="0" showFirstColumn="1" showLastColumn="1" showRowStripes="1"/>
</table>
</file>

<file path=xl/tables/table72.xml><?xml version="1.0" encoding="utf-8"?>
<table xmlns="http://schemas.openxmlformats.org/spreadsheetml/2006/main" totalsRowCount="1" ref="A808:I817" displayName="Table72" name="Table72" id="7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2" showColumnStripes="0" showFirstColumn="1" showLastColumn="1" showRowStripes="1"/>
</table>
</file>

<file path=xl/tables/table73.xml><?xml version="1.0" encoding="utf-8"?>
<table xmlns="http://schemas.openxmlformats.org/spreadsheetml/2006/main" totalsRowCount="1" ref="A820:I837" displayName="Table73" name="Table73" id="7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3" showColumnStripes="0" showFirstColumn="1" showLastColumn="1" showRowStripes="1"/>
</table>
</file>

<file path=xl/tables/table74.xml><?xml version="1.0" encoding="utf-8"?>
<table xmlns="http://schemas.openxmlformats.org/spreadsheetml/2006/main" totalsRowCount="1" ref="A840:I850" displayName="Table74" name="Table74" id="7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4" showColumnStripes="0" showFirstColumn="1" showLastColumn="1" showRowStripes="1"/>
</table>
</file>

<file path=xl/tables/table75.xml><?xml version="1.0" encoding="utf-8"?>
<table xmlns="http://schemas.openxmlformats.org/spreadsheetml/2006/main" totalsRowCount="1" ref="A853:I862" displayName="Table75" name="Table75" id="7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5" showColumnStripes="0" showFirstColumn="1" showLastColumn="1" showRowStripes="1"/>
</table>
</file>

<file path=xl/tables/table76.xml><?xml version="1.0" encoding="utf-8"?>
<table xmlns="http://schemas.openxmlformats.org/spreadsheetml/2006/main" totalsRowCount="1" ref="A865:I871" displayName="Table76" name="Table76" id="7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6" showColumnStripes="0" showFirstColumn="1" showLastColumn="1" showRowStripes="1"/>
</table>
</file>

<file path=xl/tables/table77.xml><?xml version="1.0" encoding="utf-8"?>
<table xmlns="http://schemas.openxmlformats.org/spreadsheetml/2006/main" totalsRowCount="1" ref="A874:I885" displayName="Table77" name="Table77" id="7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7" showColumnStripes="0" showFirstColumn="1" showLastColumn="1" showRowStripes="1"/>
</table>
</file>

<file path=xl/tables/table78.xml><?xml version="1.0" encoding="utf-8"?>
<table xmlns="http://schemas.openxmlformats.org/spreadsheetml/2006/main" totalsRowCount="1" ref="A888:I893" displayName="Table78" name="Table78" id="7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8" showColumnStripes="0" showFirstColumn="1" showLastColumn="1" showRowStripes="1"/>
</table>
</file>

<file path=xl/tables/table79.xml><?xml version="1.0" encoding="utf-8"?>
<table xmlns="http://schemas.openxmlformats.org/spreadsheetml/2006/main" totalsRowCount="1" ref="A896:I909" displayName="Table79" name="Table79" id="7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79" showColumnStripes="0" showFirstColumn="1" showLastColumn="1" showRowStripes="1"/>
</table>
</file>

<file path=xl/tables/table80.xml><?xml version="1.0" encoding="utf-8"?>
<table xmlns="http://schemas.openxmlformats.org/spreadsheetml/2006/main" totalsRowCount="1" ref="A912:I925" displayName="Table80" name="Table80" id="8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0" showColumnStripes="0" showFirstColumn="1" showLastColumn="1" showRowStripes="1"/>
</table>
</file>

<file path=xl/tables/table81.xml><?xml version="1.0" encoding="utf-8"?>
<table xmlns="http://schemas.openxmlformats.org/spreadsheetml/2006/main" totalsRowCount="1" ref="A928:I936" displayName="Table81" name="Table81" id="8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1" showColumnStripes="0" showFirstColumn="1" showLastColumn="1" showRowStripes="1"/>
</table>
</file>

<file path=xl/tables/table82.xml><?xml version="1.0" encoding="utf-8"?>
<table xmlns="http://schemas.openxmlformats.org/spreadsheetml/2006/main" totalsRowCount="1" ref="A939:I952" displayName="Table82" name="Table82" id="8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2" showColumnStripes="0" showFirstColumn="1" showLastColumn="1" showRowStripes="1"/>
</table>
</file>

<file path=xl/tables/table83.xml><?xml version="1.0" encoding="utf-8"?>
<table xmlns="http://schemas.openxmlformats.org/spreadsheetml/2006/main" totalsRowCount="1" ref="A955:I968" displayName="Table83" name="Table83" id="8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3" showColumnStripes="0" showFirstColumn="1" showLastColumn="1" showRowStripes="1"/>
</table>
</file>

<file path=xl/tables/table84.xml><?xml version="1.0" encoding="utf-8"?>
<table xmlns="http://schemas.openxmlformats.org/spreadsheetml/2006/main" totalsRowCount="1" ref="A971:I978" displayName="Table84" name="Table84" id="8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4" showColumnStripes="0" showFirstColumn="1" showLastColumn="1" showRowStripes="1"/>
</table>
</file>

<file path=xl/tables/table85.xml><?xml version="1.0" encoding="utf-8"?>
<table xmlns="http://schemas.openxmlformats.org/spreadsheetml/2006/main" totalsRowCount="1" ref="A981:I989" displayName="Table85" name="Table85" id="8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5" showColumnStripes="0" showFirstColumn="1" showLastColumn="1" showRowStripes="1"/>
</table>
</file>

<file path=xl/tables/table86.xml><?xml version="1.0" encoding="utf-8"?>
<table xmlns="http://schemas.openxmlformats.org/spreadsheetml/2006/main" totalsRowCount="1" ref="A992:I1019" displayName="Table86" name="Table86" id="8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6" showColumnStripes="0" showFirstColumn="1" showLastColumn="1" showRowStripes="1"/>
</table>
</file>

<file path=xl/tables/table87.xml><?xml version="1.0" encoding="utf-8"?>
<table xmlns="http://schemas.openxmlformats.org/spreadsheetml/2006/main" totalsRowCount="1" ref="A1022:I1041" displayName="Table87" name="Table87" id="8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7" showColumnStripes="0" showFirstColumn="1" showLastColumn="1" showRowStripes="1"/>
</table>
</file>

<file path=xl/tables/table88.xml><?xml version="1.0" encoding="utf-8"?>
<table xmlns="http://schemas.openxmlformats.org/spreadsheetml/2006/main" totalsRowCount="1" ref="A1045:I1054" displayName="Table88" name="Table88" id="8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8" showColumnStripes="0" showFirstColumn="1" showLastColumn="1" showRowStripes="1"/>
</table>
</file>

<file path=xl/tables/table89.xml><?xml version="1.0" encoding="utf-8"?>
<table xmlns="http://schemas.openxmlformats.org/spreadsheetml/2006/main" totalsRowCount="1" ref="A1057:I1063" displayName="Table89" name="Table89" id="8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89" showColumnStripes="0" showFirstColumn="1" showLastColumn="1" showRowStripes="1"/>
</table>
</file>

<file path=xl/tables/table90.xml><?xml version="1.0" encoding="utf-8"?>
<table xmlns="http://schemas.openxmlformats.org/spreadsheetml/2006/main" totalsRowCount="1" ref="A1066:I1077" displayName="Table90" name="Table90" id="9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0" showColumnStripes="0" showFirstColumn="1" showLastColumn="1" showRowStripes="1"/>
</table>
</file>

<file path=xl/tables/table91.xml><?xml version="1.0" encoding="utf-8"?>
<table xmlns="http://schemas.openxmlformats.org/spreadsheetml/2006/main" totalsRowCount="1" ref="A1080:I1106" displayName="Table91" name="Table91" id="9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1" showColumnStripes="0" showFirstColumn="1" showLastColumn="1" showRowStripes="1"/>
</table>
</file>

<file path=xl/tables/table92.xml><?xml version="1.0" encoding="utf-8"?>
<table xmlns="http://schemas.openxmlformats.org/spreadsheetml/2006/main" totalsRowCount="1" ref="A1108:I1121" displayName="Table92" name="Table92" id="9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2" showColumnStripes="0" showFirstColumn="1" showLastColumn="1" showRowStripes="1"/>
</table>
</file>

<file path=xl/tables/table93.xml><?xml version="1.0" encoding="utf-8"?>
<table xmlns="http://schemas.openxmlformats.org/spreadsheetml/2006/main" totalsRowCount="1" ref="A1124:I1135" displayName="Table93" name="Table93" id="9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3" showColumnStripes="0" showFirstColumn="1" showLastColumn="1" showRowStripes="1"/>
</table>
</file>

<file path=xl/tables/table94.xml><?xml version="1.0" encoding="utf-8"?>
<table xmlns="http://schemas.openxmlformats.org/spreadsheetml/2006/main" totalsRowCount="1" ref="A1138:I1148" displayName="Table94" name="Table94" id="9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4" showColumnStripes="0" showFirstColumn="1" showLastColumn="1" showRowStripes="1"/>
</table>
</file>

<file path=xl/tables/table95.xml><?xml version="1.0" encoding="utf-8"?>
<table xmlns="http://schemas.openxmlformats.org/spreadsheetml/2006/main" totalsRowCount="1" ref="A1151:I1164" displayName="Table95" name="Table95" id="9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5" showColumnStripes="0" showFirstColumn="1" showLastColumn="1" showRowStripes="1"/>
</table>
</file>

<file path=xl/tables/table96.xml><?xml version="1.0" encoding="utf-8"?>
<table xmlns="http://schemas.openxmlformats.org/spreadsheetml/2006/main" totalsRowCount="1" ref="A1167:I1180" displayName="Table96" name="Table96" id="9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6" showColumnStripes="0" showFirstColumn="1" showLastColumn="1" showRowStripes="1"/>
</table>
</file>

<file path=xl/tables/table97.xml><?xml version="1.0" encoding="utf-8"?>
<table xmlns="http://schemas.openxmlformats.org/spreadsheetml/2006/main" totalsRowCount="1" ref="A1183:I1197" displayName="Table97" name="Table97" id="9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7" showColumnStripes="0" showFirstColumn="1" showLastColumn="1" showRowStripes="1"/>
</table>
</file>

<file path=xl/tables/table98.xml><?xml version="1.0" encoding="utf-8"?>
<table xmlns="http://schemas.openxmlformats.org/spreadsheetml/2006/main" totalsRowCount="1" ref="A1200:I1207" displayName="Table98" name="Table98" id="9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8" showColumnStripes="0" showFirstColumn="1" showLastColumn="1" showRowStripes="1"/>
</table>
</file>

<file path=xl/tables/table99.xml><?xml version="1.0" encoding="utf-8"?>
<table xmlns="http://schemas.openxmlformats.org/spreadsheetml/2006/main" totalsRowCount="1" ref="A1210:I1217" displayName="Table99" name="Table99" id="9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99" showColumnStripes="0" showFirstColumn="1" showLastColumn="1" showRowStripes="1"/>
</table>
</file>

<file path=xl/tables/table100.xml><?xml version="1.0" encoding="utf-8"?>
<table xmlns="http://schemas.openxmlformats.org/spreadsheetml/2006/main" totalsRowCount="1" ref="A1220:I1225" displayName="Table100" name="Table100" id="10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0" showColumnStripes="0" showFirstColumn="1" showLastColumn="1" showRowStripes="1"/>
</table>
</file>

<file path=xl/tables/table101.xml><?xml version="1.0" encoding="utf-8"?>
<table xmlns="http://schemas.openxmlformats.org/spreadsheetml/2006/main" totalsRowCount="1" ref="A1228:I1241" displayName="Table101" name="Table101" id="10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1" showColumnStripes="0" showFirstColumn="1" showLastColumn="1" showRowStripes="1"/>
</table>
</file>

<file path=xl/tables/table102.xml><?xml version="1.0" encoding="utf-8"?>
<table xmlns="http://schemas.openxmlformats.org/spreadsheetml/2006/main" totalsRowCount="1" ref="A1244:I1258" displayName="Table102" name="Table102" id="10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2" showColumnStripes="0" showFirstColumn="1" showLastColumn="1" showRowStripes="1"/>
</table>
</file>

<file path=xl/tables/table103.xml><?xml version="1.0" encoding="utf-8"?>
<table xmlns="http://schemas.openxmlformats.org/spreadsheetml/2006/main" totalsRowCount="1" ref="A1261:I1271" displayName="Table103" name="Table103" id="10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3" showColumnStripes="0" showFirstColumn="1" showLastColumn="1" showRowStripes="1"/>
</table>
</file>

<file path=xl/tables/table104.xml><?xml version="1.0" encoding="utf-8"?>
<table xmlns="http://schemas.openxmlformats.org/spreadsheetml/2006/main" totalsRowCount="1" ref="A1274:I1279" displayName="Table104" name="Table104" id="10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4" showColumnStripes="0" showFirstColumn="1" showLastColumn="1" showRowStripes="1"/>
</table>
</file>

<file path=xl/tables/table105.xml><?xml version="1.0" encoding="utf-8"?>
<table xmlns="http://schemas.openxmlformats.org/spreadsheetml/2006/main" totalsRowCount="1" ref="A1282:I1300" displayName="Table105" name="Table105" id="10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5" showColumnStripes="0" showFirstColumn="1" showLastColumn="1" showRowStripes="1"/>
</table>
</file>

<file path=xl/tables/table106.xml><?xml version="1.0" encoding="utf-8"?>
<table xmlns="http://schemas.openxmlformats.org/spreadsheetml/2006/main" totalsRowCount="1" ref="A1303:I1320" displayName="Table106" name="Table106" id="10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6" showColumnStripes="0" showFirstColumn="1" showLastColumn="1" showRowStripes="1"/>
</table>
</file>

<file path=xl/tables/table107.xml><?xml version="1.0" encoding="utf-8"?>
<table xmlns="http://schemas.openxmlformats.org/spreadsheetml/2006/main" totalsRowCount="1" ref="A1323:I1338" displayName="Table107" name="Table107" id="10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7" showColumnStripes="0" showFirstColumn="1" showLastColumn="1" showRowStripes="1"/>
</table>
</file>

<file path=xl/tables/table108.xml><?xml version="1.0" encoding="utf-8"?>
<table xmlns="http://schemas.openxmlformats.org/spreadsheetml/2006/main" totalsRowCount="1" ref="A1341:I1356" displayName="Table108" name="Table108" id="10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8" showColumnStripes="0" showFirstColumn="1" showLastColumn="1" showRowStripes="1"/>
</table>
</file>

<file path=xl/tables/table109.xml><?xml version="1.0" encoding="utf-8"?>
<table xmlns="http://schemas.openxmlformats.org/spreadsheetml/2006/main" totalsRowCount="1" ref="A1359:I1366" displayName="Table109" name="Table109" id="10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09" showColumnStripes="0" showFirstColumn="1" showLastColumn="1" showRowStripes="1"/>
</table>
</file>

<file path=xl/tables/table110.xml><?xml version="1.0" encoding="utf-8"?>
<table xmlns="http://schemas.openxmlformats.org/spreadsheetml/2006/main" totalsRowCount="1" ref="A1369:I1380" displayName="Table110" name="Table110" id="11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0" showColumnStripes="0" showFirstColumn="1" showLastColumn="1" showRowStripes="1"/>
</table>
</file>

<file path=xl/tables/table111.xml><?xml version="1.0" encoding="utf-8"?>
<table xmlns="http://schemas.openxmlformats.org/spreadsheetml/2006/main" totalsRowCount="1" ref="A1383:I1401" displayName="Table111" name="Table111" id="11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1" showColumnStripes="0" showFirstColumn="1" showLastColumn="1" showRowStripes="1"/>
</table>
</file>

<file path=xl/tables/table112.xml><?xml version="1.0" encoding="utf-8"?>
<table xmlns="http://schemas.openxmlformats.org/spreadsheetml/2006/main" totalsRowCount="1" ref="A1404:I1417" displayName="Table112" name="Table112" id="11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2" showColumnStripes="0" showFirstColumn="1" showLastColumn="1" showRowStripes="1"/>
</table>
</file>

<file path=xl/tables/table113.xml><?xml version="1.0" encoding="utf-8"?>
<table xmlns="http://schemas.openxmlformats.org/spreadsheetml/2006/main" totalsRowCount="1" ref="A1420:I1428" displayName="Table113" name="Table113" id="11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3" showColumnStripes="0" showFirstColumn="1" showLastColumn="1" showRowStripes="1"/>
</table>
</file>

<file path=xl/tables/table114.xml><?xml version="1.0" encoding="utf-8"?>
<table xmlns="http://schemas.openxmlformats.org/spreadsheetml/2006/main" totalsRowCount="1" ref="A1431:I1438" displayName="Table114" name="Table114" id="11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4" showColumnStripes="0" showFirstColumn="1" showLastColumn="1" showRowStripes="1"/>
</table>
</file>

<file path=xl/tables/table115.xml><?xml version="1.0" encoding="utf-8"?>
<table xmlns="http://schemas.openxmlformats.org/spreadsheetml/2006/main" totalsRowCount="1" ref="A1441:I1446" displayName="Table115" name="Table115" id="11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5" showColumnStripes="0" showFirstColumn="1" showLastColumn="1" showRowStripes="1"/>
</table>
</file>

<file path=xl/tables/table116.xml><?xml version="1.0" encoding="utf-8"?>
<table xmlns="http://schemas.openxmlformats.org/spreadsheetml/2006/main" totalsRowCount="1" ref="A1449:I1462" displayName="Table116" name="Table116" id="11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6" showColumnStripes="0" showFirstColumn="1" showLastColumn="1" showRowStripes="1"/>
</table>
</file>

<file path=xl/tables/table117.xml><?xml version="1.0" encoding="utf-8"?>
<table xmlns="http://schemas.openxmlformats.org/spreadsheetml/2006/main" totalsRowCount="1" ref="A1465:I1475" displayName="Table117" name="Table117" id="11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7" showColumnStripes="0" showFirstColumn="1" showLastColumn="1" showRowStripes="1"/>
</table>
</file>

<file path=xl/tables/table118.xml><?xml version="1.0" encoding="utf-8"?>
<table xmlns="http://schemas.openxmlformats.org/spreadsheetml/2006/main" totalsRowCount="1" ref="A1478:I1482" displayName="Table118" name="Table118" id="11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8" showColumnStripes="0" showFirstColumn="1" showLastColumn="1" showRowStripes="1"/>
</table>
</file>

<file path=xl/tables/table119.xml><?xml version="1.0" encoding="utf-8"?>
<table xmlns="http://schemas.openxmlformats.org/spreadsheetml/2006/main" totalsRowCount="1" ref="A1485:I1499" displayName="Table119" name="Table119" id="11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19" showColumnStripes="0" showFirstColumn="1" showLastColumn="1" showRowStripes="1"/>
</table>
</file>

<file path=xl/tables/table120.xml><?xml version="1.0" encoding="utf-8"?>
<table xmlns="http://schemas.openxmlformats.org/spreadsheetml/2006/main" totalsRowCount="1" ref="A1502:I1509" displayName="Table120" name="Table120" id="12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0" showColumnStripes="0" showFirstColumn="1" showLastColumn="1" showRowStripes="1"/>
</table>
</file>

<file path=xl/tables/table121.xml><?xml version="1.0" encoding="utf-8"?>
<table xmlns="http://schemas.openxmlformats.org/spreadsheetml/2006/main" totalsRowCount="1" ref="A1512:I1528" displayName="Table121" name="Table121" id="12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1" showColumnStripes="0" showFirstColumn="1" showLastColumn="1" showRowStripes="1"/>
</table>
</file>

<file path=xl/tables/table122.xml><?xml version="1.0" encoding="utf-8"?>
<table xmlns="http://schemas.openxmlformats.org/spreadsheetml/2006/main" totalsRowCount="1" ref="A1531:I1543" displayName="Table122" name="Table122" id="12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2" showColumnStripes="0" showFirstColumn="1" showLastColumn="1" showRowStripes="1"/>
</table>
</file>

<file path=xl/tables/table123.xml><?xml version="1.0" encoding="utf-8"?>
<table xmlns="http://schemas.openxmlformats.org/spreadsheetml/2006/main" totalsRowCount="1" ref="A1546:I1560" displayName="Table123" name="Table123" id="12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3" showColumnStripes="0" showFirstColumn="1" showLastColumn="1" showRowStripes="1"/>
</table>
</file>

<file path=xl/tables/table124.xml><?xml version="1.0" encoding="utf-8"?>
<table xmlns="http://schemas.openxmlformats.org/spreadsheetml/2006/main" totalsRowCount="1" ref="A1563:I1571" displayName="Table124" name="Table124" id="12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4" showColumnStripes="0" showFirstColumn="1" showLastColumn="1" showRowStripes="1"/>
</table>
</file>

<file path=xl/tables/table125.xml><?xml version="1.0" encoding="utf-8"?>
<table xmlns="http://schemas.openxmlformats.org/spreadsheetml/2006/main" totalsRowCount="1" ref="A1574:I1583" displayName="Table125" name="Table125" id="12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5" showColumnStripes="0" showFirstColumn="1" showLastColumn="1" showRowStripes="1"/>
</table>
</file>

<file path=xl/tables/table126.xml><?xml version="1.0" encoding="utf-8"?>
<table xmlns="http://schemas.openxmlformats.org/spreadsheetml/2006/main" totalsRowCount="1" ref="A1586:I1600" displayName="Table126" name="Table126" id="12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6" showColumnStripes="0" showFirstColumn="1" showLastColumn="1" showRowStripes="1"/>
</table>
</file>

<file path=xl/tables/table127.xml><?xml version="1.0" encoding="utf-8"?>
<table xmlns="http://schemas.openxmlformats.org/spreadsheetml/2006/main" totalsRowCount="1" ref="A1603:I1611" displayName="Table127" name="Table127" id="12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7" showColumnStripes="0" showFirstColumn="1" showLastColumn="1" showRowStripes="1"/>
</table>
</file>

<file path=xl/tables/table128.xml><?xml version="1.0" encoding="utf-8"?>
<table xmlns="http://schemas.openxmlformats.org/spreadsheetml/2006/main" totalsRowCount="1" ref="A1614:I1617" displayName="Table128" name="Table128" id="12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8" showColumnStripes="0" showFirstColumn="1" showLastColumn="1" showRowStripes="1"/>
</table>
</file>

<file path=xl/tables/table129.xml><?xml version="1.0" encoding="utf-8"?>
<table xmlns="http://schemas.openxmlformats.org/spreadsheetml/2006/main" totalsRowCount="1" ref="A1620:I1629" displayName="Table129" name="Table129" id="12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29" showColumnStripes="0" showFirstColumn="1" showLastColumn="1" showRowStripes="1"/>
</table>
</file>

<file path=xl/tables/table130.xml><?xml version="1.0" encoding="utf-8"?>
<table xmlns="http://schemas.openxmlformats.org/spreadsheetml/2006/main" totalsRowCount="1" ref="A1632:I1642" displayName="Table130" name="Table130" id="13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0" showColumnStripes="0" showFirstColumn="1" showLastColumn="1" showRowStripes="1"/>
</table>
</file>

<file path=xl/tables/table131.xml><?xml version="1.0" encoding="utf-8"?>
<table xmlns="http://schemas.openxmlformats.org/spreadsheetml/2006/main" totalsRowCount="1" ref="A1645:I1665" displayName="Table131" name="Table131" id="13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1" showColumnStripes="0" showFirstColumn="1" showLastColumn="1" showRowStripes="1"/>
</table>
</file>

<file path=xl/tables/table132.xml><?xml version="1.0" encoding="utf-8"?>
<table xmlns="http://schemas.openxmlformats.org/spreadsheetml/2006/main" totalsRowCount="1" ref="A1668:I1678" displayName="Table132" name="Table132" id="132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2" showColumnStripes="0" showFirstColumn="1" showLastColumn="1" showRowStripes="1"/>
</table>
</file>

<file path=xl/tables/table133.xml><?xml version="1.0" encoding="utf-8"?>
<table xmlns="http://schemas.openxmlformats.org/spreadsheetml/2006/main" totalsRowCount="1" ref="A1681:I1692" displayName="Table133" name="Table133" id="133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3" showColumnStripes="0" showFirstColumn="1" showLastColumn="1" showRowStripes="1"/>
</table>
</file>

<file path=xl/tables/table134.xml><?xml version="1.0" encoding="utf-8"?>
<table xmlns="http://schemas.openxmlformats.org/spreadsheetml/2006/main" totalsRowCount="1" ref="A1695:I1709" displayName="Table134" name="Table134" id="134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4" showColumnStripes="0" showFirstColumn="1" showLastColumn="1" showRowStripes="1"/>
</table>
</file>

<file path=xl/tables/table135.xml><?xml version="1.0" encoding="utf-8"?>
<table xmlns="http://schemas.openxmlformats.org/spreadsheetml/2006/main" totalsRowCount="1" ref="A1712:I1715" displayName="Table135" name="Table135" id="135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5" showColumnStripes="0" showFirstColumn="1" showLastColumn="1" showRowStripes="1"/>
</table>
</file>

<file path=xl/tables/table136.xml><?xml version="1.0" encoding="utf-8"?>
<table xmlns="http://schemas.openxmlformats.org/spreadsheetml/2006/main" totalsRowCount="1" ref="A1718:I1727" displayName="Table136" name="Table136" id="136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6" showColumnStripes="0" showFirstColumn="1" showLastColumn="1" showRowStripes="1"/>
</table>
</file>

<file path=xl/tables/table137.xml><?xml version="1.0" encoding="utf-8"?>
<table xmlns="http://schemas.openxmlformats.org/spreadsheetml/2006/main" totalsRowCount="1" ref="A1730:I1742" displayName="Table137" name="Table137" id="137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7" showColumnStripes="0" showFirstColumn="1" showLastColumn="1" showRowStripes="1"/>
</table>
</file>

<file path=xl/tables/table138.xml><?xml version="1.0" encoding="utf-8"?>
<table xmlns="http://schemas.openxmlformats.org/spreadsheetml/2006/main" totalsRowCount="1" ref="A1745:I1753" displayName="Table138" name="Table138" id="138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8" showColumnStripes="0" showFirstColumn="1" showLastColumn="1" showRowStripes="1"/>
</table>
</file>

<file path=xl/tables/table139.xml><?xml version="1.0" encoding="utf-8"?>
<table xmlns="http://schemas.openxmlformats.org/spreadsheetml/2006/main" totalsRowCount="1" ref="A1756:I1775" displayName="Table139" name="Table139" id="139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39" showColumnStripes="0" showFirstColumn="1" showLastColumn="1" showRowStripes="1"/>
</table>
</file>

<file path=xl/tables/table140.xml><?xml version="1.0" encoding="utf-8"?>
<table xmlns="http://schemas.openxmlformats.org/spreadsheetml/2006/main" totalsRowCount="1" ref="A1778:I1797" displayName="Table140" name="Table140" id="140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40" showColumnStripes="0" showFirstColumn="1" showLastColumn="1" showRowStripes="1"/>
</table>
</file>

<file path=xl/tables/table141.xml><?xml version="1.0" encoding="utf-8"?>
<table xmlns="http://schemas.openxmlformats.org/spreadsheetml/2006/main" totalsRowCount="1" ref="A1800:I1819" displayName="Table141" name="Table141" id="141">
  <tableColumns count="9">
    <tableColumn name="Order I.D" id="1"/>
    <tableColumn name="Part#" id="2"/>
    <tableColumn name="Quantity" id="3"/>
    <tableColumn name="Status" id="4"/>
    <tableColumn totalsRowFunction="custom" name="Order Earnings" id="5"/>
    <tableColumn name="Order date" id="6"/>
    <tableColumn name="Sales ACC" id="7"/>
    <tableColumn name="Location" id="8"/>
    <tableColumn name="Notes" id="9"/>
  </tableColumns>
  <tableStyleInfo name="ALL SALES-style 14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ebay.com/mesh/ord/details?mode=SH&amp;srn=1100&amp;orderid=22-14546-77340&amp;source=Orders&amp;ru=https%3A%2F%2Fwww.ebay.com%2Fsh%2Ford" TargetMode="External"/><Relationship Id="rId194" Type="http://schemas.openxmlformats.org/officeDocument/2006/relationships/hyperlink" Target="https://www.ebay.com/mesh/ord/details?mode=SH&amp;srn=1104&amp;orderid=09-14580-83013&amp;source=Orders&amp;ru=https%3A%2F%2Fwww.ebay.com%2Fsh%2Ford" TargetMode="External"/><Relationship Id="rId193" Type="http://schemas.openxmlformats.org/officeDocument/2006/relationships/hyperlink" Target="https://www.ebay.com/mesh/ord/details?mode=SH&amp;srn=1102&amp;orderid=24-14562-72425&amp;source=Orders&amp;ru=https%3A%2F%2Fwww.ebay.com%2Fsh%2Ford" TargetMode="External"/><Relationship Id="rId192" Type="http://schemas.openxmlformats.org/officeDocument/2006/relationships/hyperlink" Target="https://www.ebay.com/mesh/ord/details?mode=SH&amp;srn=2192&amp;orderid=27-14511-91579&amp;source=Orders&amp;ru=https%3A%2F%2Fwww.ebay.com%2Fsh%2Ford" TargetMode="External"/><Relationship Id="rId191" Type="http://schemas.openxmlformats.org/officeDocument/2006/relationships/hyperlink" Target="https://www.ebay.com/mesh/ord/details?mode=SH&amp;srn=2213&amp;orderid=05-14571-06498&amp;source=Orders&amp;ru=https%3A%2F%2Fwww.ebay.com%2Fsh%2Ford" TargetMode="External"/><Relationship Id="rId187" Type="http://schemas.openxmlformats.org/officeDocument/2006/relationships/hyperlink" Target="https://www.ebay.com/mesh/ord/details?mode=SH&amp;srn=2206&amp;orderid=27-14526-56928&amp;source=Orders&amp;ru=https%3A%2F%2Fwww.ebay.com%2Fsh%2Ford" TargetMode="External"/><Relationship Id="rId186" Type="http://schemas.openxmlformats.org/officeDocument/2006/relationships/hyperlink" Target="https://www.ebay.com/mesh/ord/details?mode=SH&amp;srn=2208&amp;orderid=15-14547-26431&amp;source=Orders&amp;ru=https%3A%2F%2Fwww.ebay.com%2Fsh%2Ford" TargetMode="External"/><Relationship Id="rId185" Type="http://schemas.openxmlformats.org/officeDocument/2006/relationships/hyperlink" Target="https://www.ebay.com/mesh/ord/details?mode=SH&amp;srn=2209&amp;orderid=26-14532-29999&amp;source=Orders&amp;ru=https%3A%2F%2Fwww.ebay.com%2Fsh%2Ford" TargetMode="External"/><Relationship Id="rId184" Type="http://schemas.openxmlformats.org/officeDocument/2006/relationships/hyperlink" Target="https://www.ebay.com/mesh/ord/details?mode=SH&amp;srn=2210&amp;orderid=22-14542-49830&amp;source=Orders&amp;ru=https%3A%2F%2Fwww.ebay.com%2Fsh%2Ford" TargetMode="External"/><Relationship Id="rId189" Type="http://schemas.openxmlformats.org/officeDocument/2006/relationships/hyperlink" Target="https://www.ebay.com/mesh/ord/details?mode=SH&amp;srn=2158&amp;orderid=20-14427-26908&amp;source=Orders&amp;ru=https%3A%2F%2Fwww.ebay.com%2Fsh%2Ford" TargetMode="External"/><Relationship Id="rId188" Type="http://schemas.openxmlformats.org/officeDocument/2006/relationships/hyperlink" Target="https://www.ebay.com/mesh/ord/details?mode=SH&amp;srn=2181&amp;orderid=20-14496-41166&amp;source=Orders&amp;ru=https%3A%2F%2Fwww.ebay.com%2Fsh%2Ford" TargetMode="External"/><Relationship Id="rId183" Type="http://schemas.openxmlformats.org/officeDocument/2006/relationships/hyperlink" Target="https://www.ebay.com/mesh/ord/details?mode=SH&amp;srn=1098&amp;orderid=02-14564-51686&amp;source=Orders&amp;ru=https%3A%2F%2Fwww.ebay.com%2Fsh%2Ford" TargetMode="External"/><Relationship Id="rId182" Type="http://schemas.openxmlformats.org/officeDocument/2006/relationships/hyperlink" Target="https://www.ebay.com/mesh/ord/details?mode=SH&amp;srn=2203&amp;orderid=18-14537-44577&amp;source=Orders&amp;ru=https%3A%2F%2Fwww.ebay.com%2Fsh%2Ford" TargetMode="External"/><Relationship Id="rId181" Type="http://schemas.openxmlformats.org/officeDocument/2006/relationships/hyperlink" Target="https://www.ebay.com/mesh/ord/details?mode=SH&amp;srn=2197&amp;orderid=21-14527-11915&amp;source=Orders&amp;ru=https%3A%2F%2Fwww.ebay.com%2Fsh%2Ford" TargetMode="External"/><Relationship Id="rId180" Type="http://schemas.openxmlformats.org/officeDocument/2006/relationships/hyperlink" Target="https://www.ebay.com/mesh/ord/details?mode=SH&amp;srn=2199&amp;orderid=16-14536-04291&amp;source=Orders&amp;ru=https%3A%2F%2Fwww.ebay.com%2Fsh%2Ford" TargetMode="External"/><Relationship Id="rId176" Type="http://schemas.openxmlformats.org/officeDocument/2006/relationships/hyperlink" Target="https://www.ebay.com/mesh/ord/details?mode=SH&amp;srn=2196&amp;orderid=01-14556-25710&amp;source=Orders&amp;ru=https%3A%2F%2Fwww.ebay.com%2Fsh%2Ford" TargetMode="External"/><Relationship Id="rId175" Type="http://schemas.openxmlformats.org/officeDocument/2006/relationships/hyperlink" Target="https://www.ebay.com/mesh/ord/details?mode=SH&amp;srn=2195&amp;orderid=10-14540-65912&amp;source=Orders&amp;ru=https%3A%2F%2Fwww.ebay.com%2Fsh%2Ford" TargetMode="External"/><Relationship Id="rId174" Type="http://schemas.openxmlformats.org/officeDocument/2006/relationships/hyperlink" Target="https://www.ebay.com/mesh/ord/details?mode=SH&amp;srn=2193&amp;orderid=14-14531-70050&amp;source=Orders&amp;ru=https%3A%2F%2Fwww.ebay.com%2Fsh%2Ford%2F%3Ffilter%3Dstatus%253AALL_ORDERS%26partialRefresh%3Dtrue" TargetMode="External"/><Relationship Id="rId173" Type="http://schemas.openxmlformats.org/officeDocument/2006/relationships/hyperlink" Target="https://www.ebay.com/mesh/ord/details?mode=SH&amp;srn=2194&amp;orderid=14-14534-68904&amp;source=Orders&amp;ru=https%3A%2F%2Fwww.ebay.com%2Fsh%2Ford%2F%3Ffilter%3Dstatus%253AALL_ORDERS%26partialRefresh%3Dtrue" TargetMode="External"/><Relationship Id="rId179" Type="http://schemas.openxmlformats.org/officeDocument/2006/relationships/hyperlink" Target="https://www.ebay.com/mesh/ord/details?mode=SH&amp;srn=2200&amp;orderid=14-14539-09052&amp;source=Orders&amp;ru=https%3A%2F%2Fwww.ebay.com%2Fsh%2Ford" TargetMode="External"/><Relationship Id="rId178" Type="http://schemas.openxmlformats.org/officeDocument/2006/relationships/hyperlink" Target="https://www.ebay.com/mesh/ord/details?mode=SH&amp;srn=2201&amp;orderid=19-14531-80124&amp;source=Orders&amp;ru=https%3A%2F%2Fwww.ebay.com%2Fsh%2Ford" TargetMode="External"/><Relationship Id="rId177" Type="http://schemas.openxmlformats.org/officeDocument/2006/relationships/hyperlink" Target="https://www.ebay.com/mesh/ord/details?mode=SH&amp;srn=2202&amp;orderid=18-14533-93697&amp;source=Orders&amp;ru=https%3A%2F%2Fwww.ebay.com%2Fsh%2Ford" TargetMode="External"/><Relationship Id="rId198" Type="http://schemas.openxmlformats.org/officeDocument/2006/relationships/hyperlink" Target="https://www.ebay.com/mesh/ord/details?mode=SH&amp;srn=1105&amp;orderid=25-14557-78352&amp;source=Orders&amp;ru=https%3A%2F%2Fwww.ebay.com%2Fsh%2Ford" TargetMode="External"/><Relationship Id="rId197" Type="http://schemas.openxmlformats.org/officeDocument/2006/relationships/hyperlink" Target="https://www.ebay.com/mesh/ord/details?mode=SH&amp;srn=2227&amp;orderid=18-14571-66772&amp;source=Orders&amp;ru=https%3A%2F%2Fwww.ebay.com%2Fsh%2Ford%2F%3Ffilter%3Dstatus%253APAID_SHIPPED" TargetMode="External"/><Relationship Id="rId196" Type="http://schemas.openxmlformats.org/officeDocument/2006/relationships/hyperlink" Target="https://www.ebay.com/mesh/ord/details?mode=SH&amp;srn=2225&amp;orderid=10-14578-99050&amp;source=Orders&amp;ru=https%3A%2F%2Fwww.ebay.com%2Fsh%2Ford" TargetMode="External"/><Relationship Id="rId195" Type="http://schemas.openxmlformats.org/officeDocument/2006/relationships/hyperlink" Target="https://www.ebay.com/mesh/ord/details?mode=SH&amp;srn=2222&amp;orderid=17-14566-55440&amp;source=Orders&amp;ru=https%3A%2F%2Fwww.ebay.com%2Fsh%2Ford%2F%3Ffilter%3Dstatus%253APAID_SHIPPED" TargetMode="External"/><Relationship Id="rId199" Type="http://schemas.openxmlformats.org/officeDocument/2006/relationships/hyperlink" Target="https://www.ebay.com/mesh/ord/details?mode=SH&amp;srn=1107&amp;orderid=02-14595-26815&amp;source=Orders&amp;ru=https%3A%2F%2Fwww.ebay.com%2Fsh%2Ford" TargetMode="External"/><Relationship Id="rId150" Type="http://schemas.openxmlformats.org/officeDocument/2006/relationships/hyperlink" Target="https://www.ebay.com/mesh/ord/details?mode=SH&amp;srn=1059&amp;orderid=25-14463-83786&amp;source=Orders&amp;ru=https%3A%2F%2Fwww.ebay.com%2Fsh%2Ford" TargetMode="External"/><Relationship Id="rId392" Type="http://schemas.openxmlformats.org/officeDocument/2006/relationships/hyperlink" Target="https://www.ebay.com/mesh/ord/details?mode=SH&amp;srn=2364&amp;orderid=05-14733-29395&amp;source=Orders&amp;ru=https%3A%2F%2Fwww.ebay.com%2Fsh%2Ford" TargetMode="External"/><Relationship Id="rId391" Type="http://schemas.openxmlformats.org/officeDocument/2006/relationships/hyperlink" Target="https://www.ebay.com/mesh/ord/details?mode=SH&amp;srn=2365&amp;orderid=04-14736-78019&amp;source=Orders&amp;ru=https%3A%2F%2Fwww.ebay.com%2Fsh%2Ford" TargetMode="External"/><Relationship Id="rId390" Type="http://schemas.openxmlformats.org/officeDocument/2006/relationships/hyperlink" Target="https://www.ebay.com/mesh/ord/details?mode=SH&amp;srn=2362&amp;orderid=10-14723-91618&amp;source=Orders&amp;ru=https%3A%2F%2Fwww.ebay.com%2Fsh%2Ford%2F%3Ffilter%3Dstatus%253AAWAITING_SHIPMENT" TargetMode="External"/><Relationship Id="rId1" Type="http://schemas.openxmlformats.org/officeDocument/2006/relationships/hyperlink" Target="https://www.ebay.com/mesh/ord/details?mode=SH&amp;srn=980&amp;orderid=02-14335-22139&amp;source=Orders&amp;ru=https%3A%2F%2Fwww.ebay.com%2Fsh%2Ford%2F%3Ffilter%3Dstatus%253AALL_ORDERS%26partialRefresh%3Dtrue" TargetMode="External"/><Relationship Id="rId2" Type="http://schemas.openxmlformats.org/officeDocument/2006/relationships/hyperlink" Target="https://www.ebay.com/mesh/ord/details?mode=SH&amp;srn=979&amp;orderid=04-14325-10898&amp;source=Orders&amp;ru=https%3A%2F%2Fwww.ebay.com%2Fsh%2Ford%2F%3Ffilter%3Dstatus%253AALL_ORDERS%26partialRefresh%3Dtrue" TargetMode="External"/><Relationship Id="rId3" Type="http://schemas.openxmlformats.org/officeDocument/2006/relationships/hyperlink" Target="https://www.ebay.com/mesh/ord/details?mode=SH&amp;srn=2120&amp;orderid=08-14322-73699&amp;source=Orders&amp;ru=https%3A%2F%2Fwww.ebay.com%2Fsh%2Ford%2F%3Ffilter%3Dstatus%253AALL_ORDERS%26partialRefresh%3Dtrue" TargetMode="External"/><Relationship Id="rId149" Type="http://schemas.openxmlformats.org/officeDocument/2006/relationships/hyperlink" Target="https://www.ebay.com/mesh/ord/details?mode=SH&amp;srn=1058&amp;orderid=12-14479-25900&amp;source=Orders&amp;ru=https%3A%2F%2Fwww.ebay.com%2Fsh%2Ford" TargetMode="External"/><Relationship Id="rId4" Type="http://schemas.openxmlformats.org/officeDocument/2006/relationships/hyperlink" Target="https://www.ebay.com/mesh/ord/details?mode=SH&amp;srn=2119&amp;orderid=11-14317-69475&amp;source=Orders&amp;ru=https%3A%2F%2Fwww.ebay.com%2Fsh%2Ford%2F%3Ffilter%3Dstatus%253AALL_ORDERS%26partialRefresh%3Dtrue" TargetMode="External"/><Relationship Id="rId148" Type="http://schemas.openxmlformats.org/officeDocument/2006/relationships/hyperlink" Target="https://www.ebay.com/mesh/ord/details?mode=SH&amp;srn=1057&amp;orderid=26-14457-25240&amp;source=Orders&amp;ru=https%3A%2F%2Fwww.ebay.com%2Fsh%2Ford" TargetMode="External"/><Relationship Id="rId1090" Type="http://schemas.openxmlformats.org/officeDocument/2006/relationships/hyperlink" Target="https://www.ebay.com/mesh/ord/details?mode=SH&amp;srn=2903&amp;orderid=05-15158-11890&amp;source=Orders&amp;ru=https%3A%2F%2Fwww.ebay.com%2Fsh%2Ford%2F%3Ffilter%3Dstatus%253APAID_SHIPPED" TargetMode="External"/><Relationship Id="rId1091" Type="http://schemas.openxmlformats.org/officeDocument/2006/relationships/hyperlink" Target="https://www.ebay.com/mesh/ord/details?mode=SH&amp;srn=2900&amp;orderid=17-15134-66137&amp;source=Orders&amp;ru=https%3A%2F%2Fwww.ebay.com%2Fsh%2Ford%2F%3Ffilter%3Dstatus%253APAID_SHIPPED" TargetMode="External"/><Relationship Id="rId1092" Type="http://schemas.openxmlformats.org/officeDocument/2006/relationships/hyperlink" Target="https://www.ebay.com/mesh/ord/details?mode=SH&amp;srn=2899&amp;orderid=15-15137-62597&amp;source=Orders&amp;ru=https%3A%2F%2Fwww.ebay.com%2Fsh%2Ford%2F%3Ffilter%3Dstatus%253APAID_SHIPPED" TargetMode="External"/><Relationship Id="rId1093" Type="http://schemas.openxmlformats.org/officeDocument/2006/relationships/hyperlink" Target="https://www.ebay.com/mesh/ord/details?mode=SH&amp;srn=2895&amp;orderid=21-15125-08337&amp;source=Orders&amp;ru=https%3A%2F%2Fwww.ebay.com%2Fsh%2Ford%2F%3Ffilter%3Dstatus%253APAID_SHIPPED" TargetMode="External"/><Relationship Id="rId1094" Type="http://schemas.openxmlformats.org/officeDocument/2006/relationships/hyperlink" Target="https://www.ebay.com/mesh/ord/details?mode=SH&amp;srn=2911&amp;orderid=17-15138-21957&amp;source=Orders&amp;ru=https%3A%2F%2Fwww.ebay.com%2Fsh%2Ford" TargetMode="External"/><Relationship Id="rId9" Type="http://schemas.openxmlformats.org/officeDocument/2006/relationships/hyperlink" Target="https://www.ebay.com/mesh/ord/details?mode=SH&amp;srn=979&amp;orderid=04-14325-10898&amp;source=Orders&amp;ru=https%3A%2F%2Fwww.ebay.com%2Fsh%2Ford%2F%3Ffilter%3Dstatus%253AALL_ORDERS%26partialRefresh%3Dtrue" TargetMode="External"/><Relationship Id="rId143" Type="http://schemas.openxmlformats.org/officeDocument/2006/relationships/hyperlink" Target="https://www.ebay.com/mesh/ord/details?mode=SH&amp;srn=2171&amp;orderid=17-14466-05694&amp;source=Orders&amp;ru=https%3A%2F%2Fwww.ebay.com%2Fsh%2Ford" TargetMode="External"/><Relationship Id="rId385" Type="http://schemas.openxmlformats.org/officeDocument/2006/relationships/hyperlink" Target="https://www.ebay.com/mesh/ord/details?mode=SH&amp;srn=2357&amp;orderid=14-14713-22102&amp;source=Orders&amp;ru=https%3A%2F%2Fwww.ebay.com%2Fsh%2Ford%2F%3Ffilter%3Dstatus%253AAWAITING_SHIPMENT" TargetMode="External"/><Relationship Id="rId1095" Type="http://schemas.openxmlformats.org/officeDocument/2006/relationships/hyperlink" Target="https://www.ebay.com/mesh/ord/details?mode=SH&amp;srn=2908&amp;orderid=27-15119-97232&amp;source=Orders&amp;ru=https%3A%2F%2Fwww.ebay.com%2Fsh%2Ford" TargetMode="External"/><Relationship Id="rId142" Type="http://schemas.openxmlformats.org/officeDocument/2006/relationships/hyperlink" Target="https://www.ebay.com/mesh/ord/details?mode=SH&amp;srn=1046&amp;orderid=20-14438-45433&amp;source=Orders&amp;ru=https%3A%2F%2Fwww.ebay.com%2Fsh%2Ford%2F%3Ffilter%3Dstatus%253AALL_ORDERS%26partialRefresh%3Dtrue" TargetMode="External"/><Relationship Id="rId384" Type="http://schemas.openxmlformats.org/officeDocument/2006/relationships/hyperlink" Target="https://www.ebay.com/mesh/ord/details?mode=SH&amp;srn=2356&amp;orderid=03-14730-63589&amp;source=Orders&amp;ru=https%3A%2F%2Fwww.ebay.com%2Fsh%2Ford" TargetMode="External"/><Relationship Id="rId1096" Type="http://schemas.openxmlformats.org/officeDocument/2006/relationships/hyperlink" Target="https://www.ebay.com/mesh/ord/details?mode=SH&amp;srn=2910&amp;orderid=10-15150-76152&amp;source=Orders&amp;ru=https%3A%2F%2Fwww.ebay.com%2Fsh%2Ford" TargetMode="External"/><Relationship Id="rId141" Type="http://schemas.openxmlformats.org/officeDocument/2006/relationships/hyperlink" Target="https://www.ebay.com/mesh/ord/details?mode=SH&amp;srn=1047&amp;orderid=11-14461-32574&amp;source=Orders&amp;ru=https%3A%2F%2Fwww.ebay.com%2Fsh%2Ford%2F%3Ffilter%3Dstatus%253AALL_ORDERS%26partialRefresh%3Dtrue" TargetMode="External"/><Relationship Id="rId383" Type="http://schemas.openxmlformats.org/officeDocument/2006/relationships/hyperlink" Target="https://www.ebay.com/mesh/ord/details?mode=SH&amp;srn=2349&amp;orderid=07-14710-45134&amp;source=Orders&amp;ru=https%3A%2F%2Fwww.ebay.com%2Fsh%2Ford" TargetMode="External"/><Relationship Id="rId1097" Type="http://schemas.openxmlformats.org/officeDocument/2006/relationships/hyperlink" Target="https://www.ebay.com/mesh/ord/details?mode=SH&amp;srn=2907&amp;orderid=27-15119-75404&amp;source=Orders&amp;ru=https%3A%2F%2Fwww.ebay.com%2Fsh%2Ford%2F%3Ffilter%3Dstatus%253AAWAITING_SHIPMENT" TargetMode="External"/><Relationship Id="rId140" Type="http://schemas.openxmlformats.org/officeDocument/2006/relationships/hyperlink" Target="https://www.ebay.com/mesh/ord/details?mode=SH&amp;srn=1048&amp;orderid=03-14474-48345&amp;source=Orders&amp;ru=https%3A%2F%2Fwww.ebay.com%2Fsh%2Ford%2F%3Ffilter%3Dstatus%253AALL_ORDERS%26partialRefresh%3Dtrue" TargetMode="External"/><Relationship Id="rId382" Type="http://schemas.openxmlformats.org/officeDocument/2006/relationships/hyperlink" Target="https://www.ebay.com/mesh/ord/details?mode=SH&amp;srn=1147&amp;orderid=04-14729-27209&amp;source=Orders&amp;ru=https%3A%2F%2Fwww.ebay.com%2Fsh%2Ford" TargetMode="External"/><Relationship Id="rId1098" Type="http://schemas.openxmlformats.org/officeDocument/2006/relationships/hyperlink" Target="https://www.ebay.com/mesh/ord/details?mode=SH&amp;srn=2909&amp;orderid=07-15156-48200&amp;source=Orders&amp;ru=https%3A%2F%2Fwww.ebay.com%2Fsh%2Ford%2F%3Ffilter%3Dstatus%253AAWAITING_SHIPMENT" TargetMode="External"/><Relationship Id="rId5" Type="http://schemas.openxmlformats.org/officeDocument/2006/relationships/hyperlink" Target="https://www.ebay.com/mesh/ord/details?mode=SH&amp;srn=981&amp;orderid=02-14341-01428&amp;source=Orders&amp;ru=https%3A%2F%2Fwww.ebay.com%2Fsh%2Ford%2F%3Ffilter%3Dstatus%253AALL_ORDERS%26partialRefresh%3Dtrue" TargetMode="External"/><Relationship Id="rId147" Type="http://schemas.openxmlformats.org/officeDocument/2006/relationships/hyperlink" Target="https://www.ebay.com/mesh/ord/details?mode=SH&amp;srn=1056&amp;orderid=25-14458-27783&amp;source=Orders&amp;ru=https%3A%2F%2Fwww.ebay.com%2Fsh%2Ford%2F%3Ffilter%3Dstatus%253AALL_ORDERS%26partialRefresh%3Dtrue" TargetMode="External"/><Relationship Id="rId389" Type="http://schemas.openxmlformats.org/officeDocument/2006/relationships/hyperlink" Target="https://www.ebay.com/mesh/ord/details?mode=SH&amp;srn=2359&amp;orderid=10-14719-95524&amp;source=Orders&amp;ru=https%3A%2F%2Fwww.ebay.com%2Fsh%2Ford%2F%3Ffilter%3Dstatus%253APAID_SHIPPED" TargetMode="External"/><Relationship Id="rId1099" Type="http://schemas.openxmlformats.org/officeDocument/2006/relationships/hyperlink" Target="https://www.ebay.com/mesh/ord/details?mode=SH&amp;srn=2912&amp;orderid=11-15149-18209&amp;source=Orders&amp;ru=https%3A%2F%2Fwww.ebay.com%2Fsh%2Ford%2F%3Ffilter%3Dstatus%253AAWAITING_SHIPMENT" TargetMode="External"/><Relationship Id="rId6" Type="http://schemas.openxmlformats.org/officeDocument/2006/relationships/hyperlink" Target="https://www.ebay.com/mesh/ord/details?mode=SH&amp;srn=2122&amp;orderid=20-14314-62650&amp;source=Orders&amp;ru=https%3A%2F%2Fwww.ebay.com%2Fsh%2Ford" TargetMode="External"/><Relationship Id="rId146" Type="http://schemas.openxmlformats.org/officeDocument/2006/relationships/hyperlink" Target="https://www.ebay.com/mesh/ord/details?mode=SH&amp;srn=1055&amp;orderid=12-14474-64556&amp;source=Orders&amp;ru=https%3A%2F%2Fwww.ebay.com%2Fsh%2Ford" TargetMode="External"/><Relationship Id="rId388" Type="http://schemas.openxmlformats.org/officeDocument/2006/relationships/hyperlink" Target="https://www.ebay.com/mesh/ord/details?mode=SH&amp;srn=2361&amp;orderid=25-14699-50276&amp;source=Orders&amp;ru=https%3A%2F%2Fwww.ebay.com%2Fsh%2Ford%2F%3Ffilter%3Dstatus%253APAID_SHIPPED" TargetMode="External"/><Relationship Id="rId7" Type="http://schemas.openxmlformats.org/officeDocument/2006/relationships/hyperlink" Target="https://www.ebay.com/mesh/ord/details?mode=SH&amp;srn=2121&amp;orderid=27-14301-15298&amp;source=Orders&amp;ru=https%3A%2F%2Fwww.ebay.com%2Fsh%2Ford%2F%3Ffilter%3Dstatus%253AALL_ORDERS%26partialRefresh%3Dtrue" TargetMode="External"/><Relationship Id="rId145" Type="http://schemas.openxmlformats.org/officeDocument/2006/relationships/hyperlink" Target="https://www.ebay.com/mesh/ord/details?mode=SH&amp;srn=2159&amp;orderid=27-14417-34037&amp;source=Orders&amp;ru=https%3A%2F%2Fwww.ebay.com%2Fsh%2Ford" TargetMode="External"/><Relationship Id="rId387" Type="http://schemas.openxmlformats.org/officeDocument/2006/relationships/hyperlink" Target="https://www.ebay.com/mesh/ord/details?mode=SH&amp;srn=2360&amp;orderid=19-14708-86374&amp;source=Orders&amp;ru=https%3A%2F%2Fwww.ebay.com%2Fsh%2Ford%2F%3Ffilter%3Dstatus%253APAID_SHIPPED" TargetMode="External"/><Relationship Id="rId8" Type="http://schemas.openxmlformats.org/officeDocument/2006/relationships/hyperlink" Target="https://www.ebay.com/mesh/ord/details?mode=SH&amp;srn=986&amp;orderid=04-14345-45960&amp;source=Orders&amp;ru=https%3A%2F%2Fwww.ebay.com%2Fsh%2Ford%2F%3Ffilter%3Dstatus%253AALL_ORDERS%26partialRefresh%3Dtrue" TargetMode="External"/><Relationship Id="rId144" Type="http://schemas.openxmlformats.org/officeDocument/2006/relationships/hyperlink" Target="https://www.ebay.com/mesh/ord/details?mode=SH&amp;srn=1054&amp;orderid=14-14470-27279&amp;source=Orders&amp;ru=https%3A%2F%2Fwww.ebay.com%2Fsh%2Ford" TargetMode="External"/><Relationship Id="rId386" Type="http://schemas.openxmlformats.org/officeDocument/2006/relationships/hyperlink" Target="https://www.ebay.com/mesh/ord/details?mode=SH&amp;srn=2358&amp;orderid=01-14735-54775&amp;source=Orders&amp;ru=https%3A%2F%2Fwww.ebay.com%2Fsh%2Ford%2F%3Ffilter%3Dstatus%253APAID_SHIPPED" TargetMode="External"/><Relationship Id="rId381" Type="http://schemas.openxmlformats.org/officeDocument/2006/relationships/hyperlink" Target="https://www.ebay.com/mesh/ord/details?mode=SH&amp;srn=2300&amp;orderid=02-14673-18170&amp;source=Orders&amp;ru=https%3A%2F%2Fwww.ebay.com%2Fsh%2Ford" TargetMode="External"/><Relationship Id="rId380" Type="http://schemas.openxmlformats.org/officeDocument/2006/relationships/hyperlink" Target="https://www.ebay.com/mesh/ord/details?orderid=12-14634-75162" TargetMode="External"/><Relationship Id="rId139" Type="http://schemas.openxmlformats.org/officeDocument/2006/relationships/hyperlink" Target="https://www.ebay.com/mesh/ord/details?mode=SH&amp;srn=1049&amp;orderid=05-14473-38155&amp;source=Orders&amp;ru=https%3A%2F%2Fwww.ebay.com%2Fsh%2Ford%2F%3Ffilter%3Dstatus%253AALL_ORDERS%26partialRefresh%3Dtrue" TargetMode="External"/><Relationship Id="rId138" Type="http://schemas.openxmlformats.org/officeDocument/2006/relationships/hyperlink" Target="https://www.ebay.com/mesh/ord/details?mode=SH&amp;srn=1051&amp;orderid=09-14470-24713&amp;source=Orders&amp;ru=https%3A%2F%2Fwww.ebay.com%2Fsh%2Ford%2F%3Ffilter%3Dstatus%253AALL_ORDERS%26partialRefresh%3Dtrue" TargetMode="External"/><Relationship Id="rId137" Type="http://schemas.openxmlformats.org/officeDocument/2006/relationships/hyperlink" Target="https://www.ebay.com/mesh/ord/details?mode=SH&amp;srn=1052&amp;orderid=03-14482-43510&amp;source=Orders&amp;ru=https%3A%2F%2Fwww.ebay.com%2Fsh%2Ford" TargetMode="External"/><Relationship Id="rId379" Type="http://schemas.openxmlformats.org/officeDocument/2006/relationships/hyperlink" Target="https://www.ebay.com/mesh/ord/details?orderid=03-14671-98730" TargetMode="External"/><Relationship Id="rId1080" Type="http://schemas.openxmlformats.org/officeDocument/2006/relationships/hyperlink" Target="https://www.ebay.com/mesh/ord/details?mode=SH&amp;srn=2889&amp;orderid=07-15147-54044&amp;source=Orders&amp;ru=https%3A%2F%2Fwww.ebay.com%2Fsh%2Ford%2F%3Ffilter%3Dstatus%253AAWAITING_SHIPMENT" TargetMode="External"/><Relationship Id="rId1081" Type="http://schemas.openxmlformats.org/officeDocument/2006/relationships/hyperlink" Target="https://www.ebay.com/mesh/ord/details?mode=SH&amp;srn=2887&amp;orderid=07-15147-29419&amp;source=Orders&amp;ru=https%3A%2F%2Fwww.ebay.com%2Fsh%2Ford%2F%3Ffilter%3Dstatus%253AAWAITING_SHIPMENT" TargetMode="External"/><Relationship Id="rId1082" Type="http://schemas.openxmlformats.org/officeDocument/2006/relationships/hyperlink" Target="https://www.ebay.com/mesh/ord/details?mode=SH&amp;srn=2891&amp;orderid=13-15137-17879&amp;source=Orders&amp;ru=https%3A%2F%2Fwww.ebay.com%2Fsh%2Ford%2F%3Ffilter%3Dstatus%253AAWAITING_SHIPMENT" TargetMode="External"/><Relationship Id="rId1083" Type="http://schemas.openxmlformats.org/officeDocument/2006/relationships/hyperlink" Target="https://www.ebay.com/mesh/ord/details?mode=SH&amp;srn=2894&amp;orderid=12-15140-99973&amp;source=Orders&amp;ru=https%3A%2F%2Fwww.ebay.com%2Fsh%2Ford%2F%3Ffilter%3Dstatus%253APAID_SHIPPED" TargetMode="External"/><Relationship Id="rId132" Type="http://schemas.openxmlformats.org/officeDocument/2006/relationships/hyperlink" Target="https://www.ebay.com/sh/ord/details?orderid=10-14387-72152" TargetMode="External"/><Relationship Id="rId374" Type="http://schemas.openxmlformats.org/officeDocument/2006/relationships/hyperlink" Target="https://www.ebay.com/mesh/ord/details?mode=SH&amp;srn=2353&amp;orderid=18-14697-46965&amp;source=Orders&amp;ru=https%3A%2F%2Fwww.ebay.com%2Fsh%2Ford%2F%3Ffilter%3Dstatus%253APAID_SHIPPED" TargetMode="External"/><Relationship Id="rId1084" Type="http://schemas.openxmlformats.org/officeDocument/2006/relationships/hyperlink" Target="https://www.ebay.com/mesh/ord/details?mode=SH&amp;srn=2901&amp;orderid=15-15138-27780&amp;source=Orders&amp;ru=https%3A%2F%2Fwww.ebay.com%2Fsh%2Ford" TargetMode="External"/><Relationship Id="rId131" Type="http://schemas.openxmlformats.org/officeDocument/2006/relationships/hyperlink" Target="https://www.ebay.com/mesh/ord/details?mode=SH&amp;srn=2167&amp;orderid=23-14436-87442&amp;source=Orders&amp;ru=https%3A%2F%2Fwww.ebay.com%2Fsh%2Ford%2F%3Ffilter%3Dstatus%253AALL_ORDERS" TargetMode="External"/><Relationship Id="rId373" Type="http://schemas.openxmlformats.org/officeDocument/2006/relationships/hyperlink" Target="https://www.ebay.com/mesh/ord/details?mode=SH&amp;srn=2352&amp;orderid=05-14715-82269&amp;source=Orders&amp;ru=https%3A%2F%2Fwww.ebay.com%2Fsh%2Ford%2F%3Ffilter%3Dstatus%253APAID_SHIPPED" TargetMode="External"/><Relationship Id="rId1085" Type="http://schemas.openxmlformats.org/officeDocument/2006/relationships/hyperlink" Target="https://www.ebay.com/mesh/ord/details?mode=SH&amp;srn=2902&amp;orderid=04-15158-75906&amp;source=Orders&amp;ru=https%3A%2F%2Fwww.ebay.com%2Fsh%2Ford" TargetMode="External"/><Relationship Id="rId130" Type="http://schemas.openxmlformats.org/officeDocument/2006/relationships/hyperlink" Target="https://order.ebay.com/ord/show?orderId=27-14433-57569" TargetMode="External"/><Relationship Id="rId372" Type="http://schemas.openxmlformats.org/officeDocument/2006/relationships/hyperlink" Target="https://www.ebay.com/mesh/ord/details?mode=SH&amp;srn=2346&amp;orderid=23-14681-70746&amp;source=Orders&amp;ru=https%3A%2F%2Fwww.ebay.com%2Fsh%2Ford%2F%3Ffilter%3Dstatus%253APAID_SHIPPED" TargetMode="External"/><Relationship Id="rId1086" Type="http://schemas.openxmlformats.org/officeDocument/2006/relationships/hyperlink" Target="https://www.ebay.com/mesh/ord/details?mode=SH&amp;srn=2897&amp;orderid=11-15144-11920&amp;source=Orders&amp;ru=https%3A%2F%2Fwww.ebay.com%2Fsh%2Ford" TargetMode="External"/><Relationship Id="rId371" Type="http://schemas.openxmlformats.org/officeDocument/2006/relationships/hyperlink" Target="https://www.ebay.com/mesh/ord/details?mode=SH&amp;srn=2348&amp;orderid=25-14680-70382&amp;source=Orders&amp;ru=https%3A%2F%2Fwww.ebay.com%2Fsh%2Ford%2F%3Ffilter%3Dstatus%253APAID_SHIPPED" TargetMode="External"/><Relationship Id="rId1087" Type="http://schemas.openxmlformats.org/officeDocument/2006/relationships/hyperlink" Target="https://www.ebay.com/mesh/ord/details?mode=SH&amp;srn=2898&amp;orderid=21-15126-19812&amp;source=Orders&amp;ru=https%3A%2F%2Fwww.ebay.com%2Fsh%2Ford%2F%3Ffilter%3Dstatus%253AAWAITING_SHIPMENT" TargetMode="External"/><Relationship Id="rId136" Type="http://schemas.openxmlformats.org/officeDocument/2006/relationships/hyperlink" Target="https://www.ebay.com/mesh/ord/details?mode=SH&amp;srn=2165&amp;orderid=12-14448-90599&amp;source=Orders&amp;ru=https%3A%2F%2Fwww.ebay.com%2Fsh%2Ford" TargetMode="External"/><Relationship Id="rId378" Type="http://schemas.openxmlformats.org/officeDocument/2006/relationships/hyperlink" Target="https://www.ebay.com/mesh/ord/details?mode=SH&amp;srn=2354&amp;orderid=27-14687-51912&amp;source=Orders&amp;ru=https%3A%2F%2Fwww.ebay.com%2Fsh%2Ford%2F%3Ffilter%3Dstatus%253APAID_SHIPPED" TargetMode="External"/><Relationship Id="rId1088" Type="http://schemas.openxmlformats.org/officeDocument/2006/relationships/hyperlink" Target="https://www.ebay.com/mesh/ord/details?mode=SH&amp;srn=2896&amp;orderid=25-15118-62613&amp;source=Orders&amp;ru=https%3A%2F%2Fwww.ebay.com%2Fsh%2Ford%2F%3Ffilter%3Dstatus%253AAWAITING_SHIPMENT" TargetMode="External"/><Relationship Id="rId135" Type="http://schemas.openxmlformats.org/officeDocument/2006/relationships/hyperlink" Target="https://www.ebay.com/mesh/ord/details?mode=SH&amp;srn=2169&amp;orderid=26-14444-66437&amp;source=Orders&amp;ru=https%3A%2F%2Fwww.ebay.com%2Fsh%2Ford" TargetMode="External"/><Relationship Id="rId377" Type="http://schemas.openxmlformats.org/officeDocument/2006/relationships/hyperlink" Target="https://www.ebay.com/mesh/ord/details?mode=SH&amp;srn=2355&amp;orderid=20-14700-22057&amp;source=Orders&amp;ru=https%3A%2F%2Fwww.ebay.com%2Fsh%2Ford%2F%3Ffilter%3Dstatus%253APAID_SHIPPED" TargetMode="External"/><Relationship Id="rId1089" Type="http://schemas.openxmlformats.org/officeDocument/2006/relationships/hyperlink" Target="https://www.ebay.com/mesh/ord/details?mode=SH&amp;srn=2904&amp;orderid=23-15125-30885&amp;source=Orders&amp;ru=https%3A%2F%2Fwww.ebay.com%2Fsh%2Ford%2F%3Ffilter%3Dstatus%253APAID_SHIPPED" TargetMode="External"/><Relationship Id="rId134" Type="http://schemas.openxmlformats.org/officeDocument/2006/relationships/hyperlink" Target="https://www.ebay.com/mesh/ord/details?mode=SH&amp;srn=2170&amp;orderid=04-14479-08707&amp;source=Orders&amp;ru=https%3A%2F%2Fwww.ebay.com%2Fsh%2Ford" TargetMode="External"/><Relationship Id="rId376" Type="http://schemas.openxmlformats.org/officeDocument/2006/relationships/hyperlink" Target="https://www.ebay.com/mesh/ord/details?orderid=14-14653-50781" TargetMode="External"/><Relationship Id="rId133" Type="http://schemas.openxmlformats.org/officeDocument/2006/relationships/hyperlink" Target="https://www.ebay.com/mesh/ord/details?mode=SH&amp;srn=1050&amp;orderid=13-14461-80520&amp;source=Orders&amp;ru=https%3A%2F%2Fwww.ebay.com%2Fsh%2Ford%2F%3Ffilter%3Dstatus%253AALL_ORDERS%26partialRefresh%3Dtrue" TargetMode="External"/><Relationship Id="rId375" Type="http://schemas.openxmlformats.org/officeDocument/2006/relationships/hyperlink" Target="https://www.ebay.com/mesh/ord/details?mode=SH&amp;srn=1146&amp;orderid=27-14685-70554&amp;source=Orders&amp;ru=https%3A%2F%2Fwww.ebay.com%2Fsh%2Ford%2F%3Ffilter%3Dstatus%253APAID_SHIPPED" TargetMode="External"/><Relationship Id="rId172" Type="http://schemas.openxmlformats.org/officeDocument/2006/relationships/hyperlink" Target="https://www.ebay.com/mesh/ord/details?mode=SH&amp;srn=1093&amp;orderid=16-14528-13253&amp;source=Orders&amp;ru=https%3A%2F%2Fwww.ebay.com%2Fsh%2Ford" TargetMode="External"/><Relationship Id="rId171" Type="http://schemas.openxmlformats.org/officeDocument/2006/relationships/hyperlink" Target="https://www.ebay.com/mesh/ord/details?mode=SH&amp;srn=2192&amp;orderid=27-14511-91579&amp;source=Orders&amp;ru=https%3A%2F%2Fwww.ebay.com%2Fsh%2Ford" TargetMode="External"/><Relationship Id="rId170" Type="http://schemas.openxmlformats.org/officeDocument/2006/relationships/hyperlink" Target="https://www.ebay.com/mesh/ord/details?mode=SH&amp;srn=1086&amp;orderid=26-14503-85388&amp;source=Orders&amp;ru=https%3A%2F%2Fwww.ebay.com%2Fsh%2Ford%3Ffilter%3Dstatus%253AALL_ORDERS" TargetMode="External"/><Relationship Id="rId165" Type="http://schemas.openxmlformats.org/officeDocument/2006/relationships/hyperlink" Target="https://www.ebay.com/mesh/ord/details?mode=SH&amp;srn=1083&amp;orderid=15-14514-60106&amp;source=Orders&amp;ru=https%3A%2F%2Fwww.ebay.com%2Fsh%2Ford" TargetMode="External"/><Relationship Id="rId164" Type="http://schemas.openxmlformats.org/officeDocument/2006/relationships/hyperlink" Target="https://www.ebay.com/mesh/ord/details?mode=SH&amp;srn=1085&amp;orderid=17-14516-60280&amp;source=Orders&amp;ru=https%3A%2F%2Fwww.ebay.com%2Fsh%2Ford" TargetMode="External"/><Relationship Id="rId163" Type="http://schemas.openxmlformats.org/officeDocument/2006/relationships/hyperlink" Target="https://www.ebay.com/mesh/ord/details?mode=SH&amp;srn=2184&amp;orderid=04-14526-13439&amp;source=Orders&amp;ru=https%3A%2F%2Fwww.ebay.com%2Fsh%2Ford" TargetMode="External"/><Relationship Id="rId162" Type="http://schemas.openxmlformats.org/officeDocument/2006/relationships/hyperlink" Target="https://www.ebay.com/mesh/ord/details?mode=SH&amp;srn=2181&amp;orderid=20-14496-41166&amp;source=Orders&amp;ru=https%3A%2F%2Fwww.ebay.com%2Fsh%2Ford" TargetMode="External"/><Relationship Id="rId169" Type="http://schemas.openxmlformats.org/officeDocument/2006/relationships/hyperlink" Target="https://www.ebay.com/mesh/ord/details?mode=SH&amp;srn=1089&amp;orderid=10-14530-74824&amp;source=Orders&amp;ru=https%3A%2F%2Fwww.ebay.com%2Fsh%2Ford" TargetMode="External"/><Relationship Id="rId168" Type="http://schemas.openxmlformats.org/officeDocument/2006/relationships/hyperlink" Target="https://www.ebay.com/mesh/ord/details?mode=SH&amp;srn=1090&amp;orderid=22-14513-19713&amp;source=Orders&amp;ru=https%3A%2F%2Fwww.ebay.com%2Fsh%2Ford" TargetMode="External"/><Relationship Id="rId167" Type="http://schemas.openxmlformats.org/officeDocument/2006/relationships/hyperlink" Target="https://www.ebay.com/mesh/ord/details?mode=SH&amp;srn=2131&amp;orderid=13-14347-50742&amp;source=Orders&amp;ru=https%3A%2F%2Fwww.ebay.com%2Fsh%2Ford%2F%3Ffilter%3Dstatus%253AAWAITING_SHIPMENT" TargetMode="External"/><Relationship Id="rId166" Type="http://schemas.openxmlformats.org/officeDocument/2006/relationships/hyperlink" Target="https://www.ebay.com/mesh/ord/details?mode=SH&amp;srn=2185&amp;orderid=15-14518-51652&amp;source=Orders&amp;ru=https%3A%2F%2Fwww.ebay.com%2Fsh%2Ford" TargetMode="External"/><Relationship Id="rId161" Type="http://schemas.openxmlformats.org/officeDocument/2006/relationships/hyperlink" Target="https://www.ebay.com/mesh/ord/details?mode=SH&amp;srn=1079&amp;orderid=14-14507-39092&amp;source=Orders&amp;ru=https%3A%2F%2Fwww.ebay.com%2Fsh%2Ford" TargetMode="External"/><Relationship Id="rId160" Type="http://schemas.openxmlformats.org/officeDocument/2006/relationships/hyperlink" Target="https://www.ebay.com/mesh/ord/details?mode=SH&amp;srn=2171&amp;orderid=17-14466-05694&amp;source=Orders&amp;ru=https%3A%2F%2Fwww.ebay.com%2Fsh%2Ford" TargetMode="External"/><Relationship Id="rId159" Type="http://schemas.openxmlformats.org/officeDocument/2006/relationships/hyperlink" Target="https://www.ebay.com/mesh/ord/details?mode=SH&amp;srn=1064&amp;orderid=18-14478-04328&amp;source=Orders&amp;ru=https%3A%2F%2Fwww.ebay.com%2Fsh%2Ford" TargetMode="External"/><Relationship Id="rId154" Type="http://schemas.openxmlformats.org/officeDocument/2006/relationships/hyperlink" Target="https://www.ebay.com/mesh/ord/details?orderid=17-14394-54144" TargetMode="External"/><Relationship Id="rId396" Type="http://schemas.openxmlformats.org/officeDocument/2006/relationships/hyperlink" Target="https://www.ebay.com/mesh/ord/details?mode=SH&amp;srn=2366&amp;orderid=06-14734-29121&amp;source=Orders&amp;ru=https%3A%2F%2Fwww.ebay.com%2Fsh%2Ford%2F%3Ffilter%3Dstatus%253APAID_SHIPPED" TargetMode="External"/><Relationship Id="rId153" Type="http://schemas.openxmlformats.org/officeDocument/2006/relationships/hyperlink" Target="https://www.ebay.com/mesh/ord/details?orderid=02-14440-97772" TargetMode="External"/><Relationship Id="rId395" Type="http://schemas.openxmlformats.org/officeDocument/2006/relationships/hyperlink" Target="https://www.ebay.com/mesh/ord/details?mode=SH&amp;srn=1148&amp;orderid=17-14716-21969&amp;source=Orders&amp;ru=https%3A%2F%2Fwww.ebay.com%2Fsh%2Ford%2F%3Ffilter%3Dstatus%253APAID_SHIPPED" TargetMode="External"/><Relationship Id="rId152" Type="http://schemas.openxmlformats.org/officeDocument/2006/relationships/hyperlink" Target="https://www.ebay.com/mesh/ord/details?mode=SH&amp;srn=2174&amp;orderid=09-14487-49074&amp;source=Orders&amp;ru=https%3A%2F%2Fwww.ebay.com%2Fsh%2Ford" TargetMode="External"/><Relationship Id="rId394" Type="http://schemas.openxmlformats.org/officeDocument/2006/relationships/hyperlink" Target="https://www.ebay.com/mesh/ord/details?orderid=24-14617-80810" TargetMode="External"/><Relationship Id="rId151" Type="http://schemas.openxmlformats.org/officeDocument/2006/relationships/hyperlink" Target="https://www.ebay.com/mesh/ord/details?mode=SH&amp;srn=1060&amp;orderid=13-14482-01106&amp;source=Orders&amp;ru=https%3A%2F%2Fwww.ebay.com%2Fsh%2Ford" TargetMode="External"/><Relationship Id="rId393" Type="http://schemas.openxmlformats.org/officeDocument/2006/relationships/hyperlink" Target="https://www.ebay.com/mesh/ord/details?mode=SH&amp;srn=2363&amp;orderid=12-14721-30130&amp;source=Orders&amp;ru=https%3A%2F%2Fwww.ebay.com%2Fsh%2Ford" TargetMode="External"/><Relationship Id="rId158" Type="http://schemas.openxmlformats.org/officeDocument/2006/relationships/hyperlink" Target="https://www.ebay.com/mesh/ord/details?mode=SH&amp;srn=1066&amp;orderid=21-14481-70869&amp;source=Orders&amp;ru=https%3A%2F%2Fwww.ebay.com%2Fsh%2Ford" TargetMode="External"/><Relationship Id="rId157" Type="http://schemas.openxmlformats.org/officeDocument/2006/relationships/hyperlink" Target="https://www.ebay.com/mesh/ord/details?mode=SH&amp;srn=2178&amp;orderid=16-14488-83992&amp;source=Orders&amp;ru=https%3A%2F%2Fwww.ebay.com%2Fsh%2Ford" TargetMode="External"/><Relationship Id="rId399" Type="http://schemas.openxmlformats.org/officeDocument/2006/relationships/hyperlink" Target="https://www.ebay.com/mesh/ord/details?mode=SH&amp;srn=1150&amp;orderid=01-14744-93902&amp;source=Orders&amp;ru=https%3A%2F%2Fwww.ebay.com%2Fsh%2Ford%2F%3Ffilter%3Dstatus%253AAWAITING_SHIPMENT" TargetMode="External"/><Relationship Id="rId156" Type="http://schemas.openxmlformats.org/officeDocument/2006/relationships/hyperlink" Target="https://www.ebay.com/mesh/ord/details?mode=SH&amp;srn=2179&amp;orderid=14-14492-55020&amp;source=Orders&amp;ru=https%3A%2F%2Fwww.ebay.com%2Fsh%2Ford" TargetMode="External"/><Relationship Id="rId398" Type="http://schemas.openxmlformats.org/officeDocument/2006/relationships/hyperlink" Target="https://www.ebay.com/mesh/ord/details?mode=SH&amp;srn=2367&amp;orderid=12-14725-25143&amp;source=Orders&amp;ru=https%3A%2F%2Fwww.ebay.com%2Fsh%2Ford%2F%3Ffilter%3Dstatus%253APAID_SHIPPED" TargetMode="External"/><Relationship Id="rId155" Type="http://schemas.openxmlformats.org/officeDocument/2006/relationships/hyperlink" Target="https://www.ebay.com/mesh/ord/details?mode=SH&amp;srn=2180&amp;orderid=02-14513-03768&amp;source=Orders&amp;ru=https%3A%2F%2Fwww.ebay.com%2Fsh%2Ford" TargetMode="External"/><Relationship Id="rId397" Type="http://schemas.openxmlformats.org/officeDocument/2006/relationships/hyperlink" Target="https://www.ebay.com/mesh/ord/details?orderid=12-14630-16168" TargetMode="External"/><Relationship Id="rId808" Type="http://schemas.openxmlformats.org/officeDocument/2006/relationships/hyperlink" Target="https://www.ebay.com/mesh/ord/details?orderid=03-14936-09029" TargetMode="External"/><Relationship Id="rId807" Type="http://schemas.openxmlformats.org/officeDocument/2006/relationships/hyperlink" Target="https://www.ebay.com/mesh/ord/details?mode=SH&amp;srn=1229&amp;orderid=12-14964-18279&amp;source=Orders&amp;ru=https%3A%2F%2Fwww.ebay.com%2Fsh%2Ford%2F%3Ffilter%3Dstatus%253APAID_SHIPPED" TargetMode="External"/><Relationship Id="rId806" Type="http://schemas.openxmlformats.org/officeDocument/2006/relationships/hyperlink" Target="https://www.ebay.com/mesh/ord/details?mode=SH&amp;srn=2671&amp;orderid=02-14980-36170&amp;source=Orders&amp;ru=https%3A%2F%2Fwww.ebay.com%2Fsh%2Ford%2F%3Ffilter%3Dstatus%253AAWAITING_SHIPMENT" TargetMode="External"/><Relationship Id="rId805" Type="http://schemas.openxmlformats.org/officeDocument/2006/relationships/hyperlink" Target="https://www.ebay.com/mesh/ord/details?mode=SH&amp;srn=2677&amp;orderid=09-14971-59631&amp;source=Orders&amp;ru=https%3A%2F%2Fwww.ebay.com%2Fsh%2Ford%2F%3Ffilter%3Dstatus%253AAWAITING_SHIPMENT" TargetMode="External"/><Relationship Id="rId809" Type="http://schemas.openxmlformats.org/officeDocument/2006/relationships/hyperlink" Target="https://www.ebay.com/mesh/ord/details?orderid=24-14921-91484" TargetMode="External"/><Relationship Id="rId800" Type="http://schemas.openxmlformats.org/officeDocument/2006/relationships/hyperlink" Target="https://www.ebay.com/mesh/ord/details?mode=SH&amp;srn=1230&amp;orderid=04-14980-00162&amp;source=Orders&amp;ru=https%3A%2F%2Fwww.ebay.com%2Fsh%2Ford%2F%3Ffilter%3Dstatus%253APAID_SHIPPED" TargetMode="External"/><Relationship Id="rId804" Type="http://schemas.openxmlformats.org/officeDocument/2006/relationships/hyperlink" Target="https://www.ebay.com/mesh/ord/details?mode=SH&amp;srn=2673&amp;orderid=16-14958-34816&amp;source=Orders&amp;ru=https%3A%2F%2Fwww.ebay.com%2Fsh%2Ford%2F%3Ffilter%3Dstatus%253AAWAITING_SHIPMENT" TargetMode="External"/><Relationship Id="rId803" Type="http://schemas.openxmlformats.org/officeDocument/2006/relationships/hyperlink" Target="https://www.ebay.com/mesh/ord/details?mode=SH&amp;srn=2668&amp;orderid=13-14959-90785&amp;source=Orders&amp;ru=https%3A%2F%2Fwww.ebay.com%2Fsh%2Ford%2F%3Ffilter%3Dstatus%253AAWAITING_SHIPMENT" TargetMode="External"/><Relationship Id="rId802" Type="http://schemas.openxmlformats.org/officeDocument/2006/relationships/hyperlink" Target="https://www.ebay.com/mesh/ord/details?mode=SH&amp;srn=2669&amp;orderid=13-14960-25983&amp;source=Orders&amp;ru=https%3A%2F%2Fwww.ebay.com%2Fsh%2Ford%2F%3Ffilter%3Dstatus%253AAWAITING_SHIPMENT" TargetMode="External"/><Relationship Id="rId801" Type="http://schemas.openxmlformats.org/officeDocument/2006/relationships/hyperlink" Target="https://www.ebay.com/mesh/ord/details?mode=SH&amp;srn=2670&amp;orderid=06-14972-89732&amp;source=Orders&amp;ru=https%3A%2F%2Fwww.ebay.com%2Fsh%2Ford%2F%3Ffilter%3Dstatus%253AAWAITING_SHIPMENT" TargetMode="External"/><Relationship Id="rId40" Type="http://schemas.openxmlformats.org/officeDocument/2006/relationships/hyperlink" Target="https://www.ebay.com/mesh/ord/details?mode=SH&amp;srn=2137&amp;orderid=22-14337-35123&amp;source=Orders&amp;ru=https%3A%2F%2Fwww.ebay.com%2Fsh%2Ford%2F%3Ffilter%3Dstatus%253AALL_ORDERS%26partialRefresh%3Dtrue" TargetMode="External"/><Relationship Id="rId1334" Type="http://schemas.openxmlformats.org/officeDocument/2006/relationships/table" Target="../tables/table56.xml"/><Relationship Id="rId1335" Type="http://schemas.openxmlformats.org/officeDocument/2006/relationships/table" Target="../tables/table57.xml"/><Relationship Id="rId42" Type="http://schemas.openxmlformats.org/officeDocument/2006/relationships/hyperlink" Target="https://www.ebay.com/mesh/ord/details?mode=SH&amp;srn=997&amp;orderid=09-14361-93478&amp;source=Orders&amp;ru=https%3A%2F%2Fwww.ebay.com%2Fsh%2Ford" TargetMode="External"/><Relationship Id="rId1336" Type="http://schemas.openxmlformats.org/officeDocument/2006/relationships/table" Target="../tables/table58.xml"/><Relationship Id="rId41" Type="http://schemas.openxmlformats.org/officeDocument/2006/relationships/hyperlink" Target="https://www.ebay.com/mesh/ord/details?mode=SH&amp;srn=996&amp;orderid=13-14352-59924&amp;source=Orders&amp;ru=https%3A%2F%2Fwww.ebay.com%2Fsh%2Ford" TargetMode="External"/><Relationship Id="rId1337" Type="http://schemas.openxmlformats.org/officeDocument/2006/relationships/table" Target="../tables/table59.xml"/><Relationship Id="rId44" Type="http://schemas.openxmlformats.org/officeDocument/2006/relationships/hyperlink" Target="https://www.ebay.com/mesh/ord/details?mode=SH&amp;srn=2138&amp;orderid=03-14372-12848&amp;source=Orders&amp;ru=https%3A%2F%2Fwww.ebay.com%2Fsh%2Ford" TargetMode="External"/><Relationship Id="rId1338" Type="http://schemas.openxmlformats.org/officeDocument/2006/relationships/table" Target="../tables/table60.xml"/><Relationship Id="rId43" Type="http://schemas.openxmlformats.org/officeDocument/2006/relationships/hyperlink" Target="https://www.ebay.com/mesh/ord/details?mode=SH&amp;srn=998&amp;orderid=07-14365-60938&amp;source=Orders&amp;ru=https%3A%2F%2Fwww.ebay.com%2Fsh%2Ford" TargetMode="External"/><Relationship Id="rId1339" Type="http://schemas.openxmlformats.org/officeDocument/2006/relationships/table" Target="../tables/table61.xml"/><Relationship Id="rId46" Type="http://schemas.openxmlformats.org/officeDocument/2006/relationships/hyperlink" Target="https://www.ebay.com/mesh/ord/details?mode=SH&amp;srn=999&amp;orderid=25-14344-24851&amp;source=Orders&amp;ru=https%3A%2F%2Fwww.ebay.com%2Fsh%2Ford" TargetMode="External"/><Relationship Id="rId45" Type="http://schemas.openxmlformats.org/officeDocument/2006/relationships/hyperlink" Target="https://www.ebay.com/mesh/ord/details?mode=SH&amp;srn=2139&amp;orderid=26-14347-79297&amp;source=Orders&amp;ru=https%3A%2F%2Fwww.ebay.com%2Fsh%2Ford%2F%3Ffilter%3Dstatus%253AALL_ORDERS%26partialRefresh%3Dtrue" TargetMode="External"/><Relationship Id="rId509" Type="http://schemas.openxmlformats.org/officeDocument/2006/relationships/hyperlink" Target="https://www.ebay.com/mesh/ord/details?mode=SH&amp;srn=2452&amp;orderid=24-14791-04454&amp;source=Orders&amp;ru=https%3A%2F%2Fwww.ebay.com%2Fsh%2Ford%2F%3Ffilter%3Dstatus%253AAWAITING_SHIPMENT" TargetMode="External"/><Relationship Id="rId508" Type="http://schemas.openxmlformats.org/officeDocument/2006/relationships/hyperlink" Target="https://www.ebay.com/mesh/ord/details?mode=SH&amp;srn=2455&amp;orderid=16-14791-14383&amp;source=Orders&amp;ru=https%3A%2F%2Fwww.ebay.com%2Fsh%2Ford%2F%3Ffilter%3Dstatus%253AAWAITING_SHIPMENT" TargetMode="External"/><Relationship Id="rId503" Type="http://schemas.openxmlformats.org/officeDocument/2006/relationships/hyperlink" Target="https://www.ebay.com/mesh/ord/details?mode=SH&amp;srn=2444&amp;orderid=14-14782-00538&amp;source=Orders&amp;ru=https%3A%2F%2Fwww.ebay.com%2Fsh%2Ford%2F%3Ffilter%3Dstatus%253AAWAITING_SHIPMENT" TargetMode="External"/><Relationship Id="rId745" Type="http://schemas.openxmlformats.org/officeDocument/2006/relationships/hyperlink" Target="https://www.ebay.com/mesh/ord/details?mode=SH&amp;srn=2628&amp;orderid=21-14903-23302&amp;source=Orders&amp;ru=https%3A%2F%2Fwww.ebay.com%2Fsh%2Ford%2F%3Ffilter%3Dstatus%253AALL_ORDERS" TargetMode="External"/><Relationship Id="rId987" Type="http://schemas.openxmlformats.org/officeDocument/2006/relationships/hyperlink" Target="https://www.ebay.com/mesh/ord/details?mode=SH&amp;srn=2813&amp;orderid=22-15053-97514&amp;source=Orders&amp;ru=https%3A%2F%2Fwww.ebay.com%2Fsh%2Ford" TargetMode="External"/><Relationship Id="rId502" Type="http://schemas.openxmlformats.org/officeDocument/2006/relationships/hyperlink" Target="https://www.ebay.com/mesh/ord/details?mode=SH&amp;srn=2443&amp;orderid=06-14794-84810&amp;source=Orders&amp;ru=https%3A%2F%2Fwww.ebay.com%2Fsh%2Ford%2F%3Ffilter%3Dstatus%253AAWAITING_SHIPMENT" TargetMode="External"/><Relationship Id="rId744" Type="http://schemas.openxmlformats.org/officeDocument/2006/relationships/hyperlink" Target="https://www.ebay.com/mesh/ord/details?mode=SH&amp;srn=1211&amp;orderid=26-14893-33683&amp;source=Orders&amp;ru=https%3A%2F%2Fwww.ebay.com%2Fsh%2Ford" TargetMode="External"/><Relationship Id="rId986" Type="http://schemas.openxmlformats.org/officeDocument/2006/relationships/hyperlink" Target="https://www.ebay.com/mesh/ord/details?mode=SH&amp;srn=1258&amp;orderid=03-15088-92705&amp;source=Orders&amp;ru=https%3A%2F%2Fwww.ebay.com%2Fsh%2Ford%2F%3Ffilter%3Dstatus%253AALL_ORDERS" TargetMode="External"/><Relationship Id="rId501" Type="http://schemas.openxmlformats.org/officeDocument/2006/relationships/hyperlink" Target="https://www.ebay.com/mesh/ord/details?mode=SH&amp;srn=2442&amp;orderid=11-14785-94936&amp;source=Orders&amp;ru=https%3A%2F%2Fwww.ebay.com%2Fsh%2Ford" TargetMode="External"/><Relationship Id="rId743" Type="http://schemas.openxmlformats.org/officeDocument/2006/relationships/hyperlink" Target="https://www.ebay.com/mesh/ord/details?mode=SH&amp;srn=2619&amp;orderid=23-14890-32974&amp;source=Orders&amp;ru=https%3A%2F%2Fwww.ebay.com%2Fsh%2Ford" TargetMode="External"/><Relationship Id="rId985" Type="http://schemas.openxmlformats.org/officeDocument/2006/relationships/hyperlink" Target="https://www.ebay.com/mesh/ord/details?mode=SH&amp;srn=2815&amp;orderid=22-15055-03290&amp;source=Orders&amp;ru=https%3A%2F%2Fwww.ebay.com%2Fsh%2Ford%2F%3Ffilter%3Dstatus%253AALL_ORDERS" TargetMode="External"/><Relationship Id="rId500" Type="http://schemas.openxmlformats.org/officeDocument/2006/relationships/hyperlink" Target="https://www.ebay.com/mesh/ord/details?orderid=06-14750-96728" TargetMode="External"/><Relationship Id="rId742" Type="http://schemas.openxmlformats.org/officeDocument/2006/relationships/hyperlink" Target="https://www.ebay.com/mesh/ord/details?orderid=22-14802-54075" TargetMode="External"/><Relationship Id="rId984" Type="http://schemas.openxmlformats.org/officeDocument/2006/relationships/hyperlink" Target="https://www.ebay.com/mesh/ord/details?mode=SH&amp;srn=2816&amp;orderid=05-15087-69423&amp;source=Orders&amp;ru=https%3A%2F%2Fwww.ebay.com%2Fsh%2Ford%2F%3Ffilter%3Dstatus%253AAWAITING_SHIPMENT" TargetMode="External"/><Relationship Id="rId507" Type="http://schemas.openxmlformats.org/officeDocument/2006/relationships/hyperlink" Target="https://www.ebay.com/mesh/ord/details?mode=SH&amp;srn=2451&amp;orderid=10-14795-77362&amp;source=Orders&amp;ru=https%3A%2F%2Fwww.ebay.com%2Fsh%2Ford%2F%3Ffilter%3Dstatus%253AAWAITING_SHIPMENT" TargetMode="External"/><Relationship Id="rId749" Type="http://schemas.openxmlformats.org/officeDocument/2006/relationships/hyperlink" Target="https://www.ebay.com/mesh/ord/details?mode=SH&amp;srn=2636&amp;orderid=08-14930-80188&amp;source=Orders&amp;ru=https%3A%2F%2Fwww.ebay.com%2Fsh%2Ford" TargetMode="External"/><Relationship Id="rId506" Type="http://schemas.openxmlformats.org/officeDocument/2006/relationships/hyperlink" Target="https://www.ebay.com/mesh/ord/details?mode=SH&amp;srn=2447&amp;orderid=05-14800-80576&amp;source=Orders&amp;ru=https%3A%2F%2Fwww.ebay.com%2Fsh%2Ford" TargetMode="External"/><Relationship Id="rId748" Type="http://schemas.openxmlformats.org/officeDocument/2006/relationships/hyperlink" Target="https://www.ebay.com/mesh/ord/details?mode=SH&amp;srn=2635&amp;orderid=14-14920-21381&amp;source=Orders&amp;ru=https%3A%2F%2Fwww.ebay.com%2Fsh%2Ford%2F%3Ffilter%3Dstatus%253AAWAITING_SHIPMENT" TargetMode="External"/><Relationship Id="rId505" Type="http://schemas.openxmlformats.org/officeDocument/2006/relationships/hyperlink" Target="https://www.ebay.com/mesh/ord/details?orderid=17-14734-96000" TargetMode="External"/><Relationship Id="rId747" Type="http://schemas.openxmlformats.org/officeDocument/2006/relationships/hyperlink" Target="https://www.ebay.com/mesh/ord/details?mode=SH&amp;srn=1214&amp;orderid=06-14933-27195&amp;source=Orders&amp;ru=https%3A%2F%2Fwww.ebay.com%2Fsh%2Ford%2F%3Ffilter%3Dstatus%253AAWAITING_SHIPMENT" TargetMode="External"/><Relationship Id="rId989" Type="http://schemas.openxmlformats.org/officeDocument/2006/relationships/hyperlink" Target="https://www.ebay.com/mesh/ord/details?mode=SH&amp;srn=2704&amp;orderid=25-14962-01077&amp;source=Orders&amp;ru=https%3A%2F%2Fwww.ebay.com%2Fsh%2Ford" TargetMode="External"/><Relationship Id="rId504" Type="http://schemas.openxmlformats.org/officeDocument/2006/relationships/hyperlink" Target="https://www.ebay.com/mesh/ord/details?mode=SH&amp;srn=2445&amp;orderid=26-14762-49973&amp;source=Orders&amp;ru=https%3A%2F%2Fwww.ebay.com%2Fsh%2Ford" TargetMode="External"/><Relationship Id="rId746" Type="http://schemas.openxmlformats.org/officeDocument/2006/relationships/hyperlink" Target="https://www.ebay.com/mesh/ord/details?mode=SH&amp;srn=1215&amp;orderid=05-14936-08299&amp;source=Orders&amp;ru=https%3A%2F%2Fwww.ebay.com%2Fsh%2Ford" TargetMode="External"/><Relationship Id="rId988" Type="http://schemas.openxmlformats.org/officeDocument/2006/relationships/hyperlink" Target="https://www.ebay.com/mesh/ord/details?mode=SH&amp;srn=1257&amp;orderid=02-15090-17466&amp;source=Orders&amp;ru=https%3A%2F%2Fwww.ebay.com%2Fsh%2Ford" TargetMode="External"/><Relationship Id="rId48" Type="http://schemas.openxmlformats.org/officeDocument/2006/relationships/hyperlink" Target="https://www.ebay.com/mesh/ord/details?mode=SH&amp;srn=1000&amp;orderid=18-14357-27735&amp;source=Orders&amp;ru=https%3A%2F%2Fwww.ebay.com%2Fsh%2Ford%2F%3Ffilter%3Dstatus%253AALL_ORDERS" TargetMode="External"/><Relationship Id="rId47" Type="http://schemas.openxmlformats.org/officeDocument/2006/relationships/hyperlink" Target="https://www.ebay.com/mesh/ord/details?mode=SH&amp;srn=1000&amp;orderid=18-14357-27735&amp;source=Orders&amp;ru=https%3A%2F%2Fwww.ebay.com%2Fsh%2Ford%2F%3Ffilter%3Dstatus%253AALL_ORDERS%26partialRefresh%3Dtrue" TargetMode="External"/><Relationship Id="rId49" Type="http://schemas.openxmlformats.org/officeDocument/2006/relationships/hyperlink" Target="https://www.ebay.com/mesh/ord/details?mode=SH&amp;srn=2140&amp;orderid=07-14377-68488&amp;source=Orders&amp;ru=https%3A%2F%2Fwww.ebay.com%2Fsh%2Ford" TargetMode="External"/><Relationship Id="rId741" Type="http://schemas.openxmlformats.org/officeDocument/2006/relationships/hyperlink" Target="https://www.ebay.com/mesh/ord/details?mode=SH&amp;srn=1213&amp;orderid=03-14936-09029&amp;source=Orders&amp;ru=https%3A%2F%2Fwww.ebay.com%2Fsh%2Ford%2F%3Ffilter%3Dstatus%253APAID_SHIPPED" TargetMode="External"/><Relationship Id="rId983" Type="http://schemas.openxmlformats.org/officeDocument/2006/relationships/hyperlink" Target="https://www.ebay.com/mesh/ord/details?mode=SH&amp;srn=2811&amp;orderid=25-15048-24173&amp;source=Orders&amp;ru=https%3A%2F%2Fwww.ebay.com%2Fsh%2Ford%2F%3Ffilter%3Dstatus%253AAWAITING_SHIPMENT" TargetMode="External"/><Relationship Id="rId1330" Type="http://schemas.openxmlformats.org/officeDocument/2006/relationships/table" Target="../tables/table52.xml"/><Relationship Id="rId740" Type="http://schemas.openxmlformats.org/officeDocument/2006/relationships/hyperlink" Target="https://www.ebay.com/mesh/ord/details?mode=SH&amp;srn=2629&amp;orderid=26-14895-71211&amp;source=Orders&amp;ru=https%3A%2F%2Fwww.ebay.com%2Fsh%2Ford%2F%3Ffilter%3Dstatus%253APAID_SHIPPED" TargetMode="External"/><Relationship Id="rId982" Type="http://schemas.openxmlformats.org/officeDocument/2006/relationships/hyperlink" Target="https://www.ebay.com/mesh/ord/details?mode=SH&amp;srn=2814&amp;orderid=10-15075-45491&amp;source=Orders&amp;ru=https%3A%2F%2Fwww.ebay.com%2Fsh%2Ford%2F%3Ffilter%3Dstatus%253AAWAITING_SHIPMENT" TargetMode="External"/><Relationship Id="rId1331" Type="http://schemas.openxmlformats.org/officeDocument/2006/relationships/table" Target="../tables/table53.xml"/><Relationship Id="rId981" Type="http://schemas.openxmlformats.org/officeDocument/2006/relationships/hyperlink" Target="https://www.ebay.com/mesh/ord/details?mode=SH&amp;srn=2809&amp;orderid=10-15073-22436&amp;source=Orders&amp;ru=https%3A%2F%2Fwww.ebay.com%2Fsh%2Ford%2F%3Ffilter%3Dstatus%253AAWAITING_SHIPMENT" TargetMode="External"/><Relationship Id="rId1332" Type="http://schemas.openxmlformats.org/officeDocument/2006/relationships/table" Target="../tables/table54.xml"/><Relationship Id="rId980" Type="http://schemas.openxmlformats.org/officeDocument/2006/relationships/hyperlink" Target="https://www.ebay.com/mesh/ord/details?mode=SH&amp;srn=2805&amp;orderid=17-15055-21477&amp;source=Orders&amp;ru=https%3A%2F%2Fwww.ebay.com%2Fsh%2Ford%2F%3Ffilter%3Dstatus%253AAWAITING_SHIPMENT" TargetMode="External"/><Relationship Id="rId1333" Type="http://schemas.openxmlformats.org/officeDocument/2006/relationships/table" Target="../tables/table55.xml"/><Relationship Id="rId1323" Type="http://schemas.openxmlformats.org/officeDocument/2006/relationships/table" Target="../tables/table45.xml"/><Relationship Id="rId1324" Type="http://schemas.openxmlformats.org/officeDocument/2006/relationships/table" Target="../tables/table46.xml"/><Relationship Id="rId31" Type="http://schemas.openxmlformats.org/officeDocument/2006/relationships/hyperlink" Target="https://www.ebay.com/mesh/ord/details?mode=SH&amp;srn=991&amp;orderid=12-14345-08221&amp;source=Orders&amp;ru=https%3A%2F%2Fwww.ebay.com%2Fsh%2Ford" TargetMode="External"/><Relationship Id="rId1325" Type="http://schemas.openxmlformats.org/officeDocument/2006/relationships/table" Target="../tables/table47.xml"/><Relationship Id="rId30" Type="http://schemas.openxmlformats.org/officeDocument/2006/relationships/hyperlink" Target="https://www.ebay.com/mesh/ord/details?mode=SH&amp;srn=992&amp;orderid=07-14353-35252&amp;source=Orders&amp;ru=https%3A%2F%2Fwww.ebay.com%2Fsh%2Ford" TargetMode="External"/><Relationship Id="rId1326" Type="http://schemas.openxmlformats.org/officeDocument/2006/relationships/table" Target="../tables/table48.xml"/><Relationship Id="rId33" Type="http://schemas.openxmlformats.org/officeDocument/2006/relationships/hyperlink" Target="https://www.ebay.com/mesh/ord/details?mode=SH&amp;srn=2130&amp;orderid=04-14360-06529&amp;source=Orders&amp;ru=https%3A%2F%2Fwww.ebay.com%2Fsh%2Ford" TargetMode="External"/><Relationship Id="rId1327" Type="http://schemas.openxmlformats.org/officeDocument/2006/relationships/table" Target="../tables/table49.xml"/><Relationship Id="rId32" Type="http://schemas.openxmlformats.org/officeDocument/2006/relationships/hyperlink" Target="https://www.ebay.com/mesh/ord/details?mode=SH&amp;srn=995&amp;orderid=26-14327-53115&amp;source=Orders&amp;ru=https%3A%2F%2Fwww.ebay.com%2Fsh%2Ford" TargetMode="External"/><Relationship Id="rId1328" Type="http://schemas.openxmlformats.org/officeDocument/2006/relationships/table" Target="../tables/table50.xml"/><Relationship Id="rId35" Type="http://schemas.openxmlformats.org/officeDocument/2006/relationships/hyperlink" Target="https://www.ebay.com/mesh/ord/details?mode=SH&amp;srn=2133&amp;orderid=10-14351-59185&amp;source=Orders&amp;ru=https%3A%2F%2Fwww.ebay.com%2Fsh%2Ford%2F%3Ffilter%3Dstatus%253AAWAITING_SHIPMENT" TargetMode="External"/><Relationship Id="rId1329" Type="http://schemas.openxmlformats.org/officeDocument/2006/relationships/table" Target="../tables/table51.xml"/><Relationship Id="rId34" Type="http://schemas.openxmlformats.org/officeDocument/2006/relationships/hyperlink" Target="https://www.ebay.com/mesh/ord/details?mode=SH&amp;srn=2131&amp;orderid=13-14347-50742&amp;source=Orders&amp;ru=https%3A%2F%2Fwww.ebay.com%2Fsh%2Ford%2F%3Ffilter%3Dstatus%253AAWAITING_SHIPMENT" TargetMode="External"/><Relationship Id="rId739" Type="http://schemas.openxmlformats.org/officeDocument/2006/relationships/hyperlink" Target="https://www.ebay.com/mesh/ord/details?mode=SH&amp;srn=2630&amp;orderid=05-14933-17530&amp;source=Orders&amp;ru=https%3A%2F%2Fwww.ebay.com%2Fsh%2Ford%2F%3Ffilter%3Dstatus%253APAID_SHIPPED" TargetMode="External"/><Relationship Id="rId734" Type="http://schemas.openxmlformats.org/officeDocument/2006/relationships/hyperlink" Target="https://www.ebay.com/mesh/ord/details?mode=SH&amp;srn=1210&amp;orderid=09-14917-42914&amp;source=Orders&amp;ru=https%3A%2F%2Fwww.ebay.com%2Fsh%2Ford%2F%3Ffilter%3Dstatus%253APAID_SHIPPED" TargetMode="External"/><Relationship Id="rId976" Type="http://schemas.openxmlformats.org/officeDocument/2006/relationships/hyperlink" Target="https://www.ebay.com/mesh/ord/details?mode=SH&amp;srn=2802&amp;orderid=17-15053-87177&amp;source=Orders&amp;ru=https%3A%2F%2Fwww.ebay.com%2Fsh%2Ford%2F%3Ffilter%3Dstatus%253AAWAITING_SHIPMENT" TargetMode="External"/><Relationship Id="rId733" Type="http://schemas.openxmlformats.org/officeDocument/2006/relationships/hyperlink" Target="https://www.ebay.com/mesh/ord/details?mode=SH&amp;srn=1212&amp;orderid=13-14916-24809&amp;source=Orders&amp;ru=https%3A%2F%2Fwww.ebay.com%2Fsh%2Ford%2F%3Ffilter%3Dstatus%253APAID_SHIPPED" TargetMode="External"/><Relationship Id="rId975" Type="http://schemas.openxmlformats.org/officeDocument/2006/relationships/hyperlink" Target="https://www.ebay.com/mesh/ord/details?mode=SH&amp;srn=2810&amp;orderid=23-15051-38851&amp;source=Orders&amp;ru=https%3A%2F%2Fwww.ebay.com%2Fsh%2Ford%2F%3Ffilter%3Dstatus%253AAWAITING_SHIPMENT" TargetMode="External"/><Relationship Id="rId732" Type="http://schemas.openxmlformats.org/officeDocument/2006/relationships/hyperlink" Target="https://www.ebay.com/mesh/ord/details?mode=SH&amp;srn=2625&amp;orderid=15-14909-22424&amp;source=Orders&amp;ru=https%3A%2F%2Fwww.ebay.com%2Fsh%2Ford%2F%3Ffilter%3Dstatus%253APAID_SHIPPED" TargetMode="External"/><Relationship Id="rId974" Type="http://schemas.openxmlformats.org/officeDocument/2006/relationships/hyperlink" Target="https://www.ebay.com/mesh/ord/details?mode=SH&amp;srn=2807&amp;orderid=22-15049-58718&amp;source=Orders&amp;ru=https%3A%2F%2Fwww.ebay.com%2Fsh%2Ford%2F%3Ffilter%3Dstatus%253AAWAITING_SHIPMENT" TargetMode="External"/><Relationship Id="rId731" Type="http://schemas.openxmlformats.org/officeDocument/2006/relationships/hyperlink" Target="https://www.ebay.com/mesh/ord/details?mode=SH&amp;srn=2627&amp;orderid=16-14910-41858&amp;source=Orders&amp;ru=https%3A%2F%2Fwww.ebay.com%2Fsh%2Ford%2F%3Ffilter%3Dstatus%253APAID_SHIPPED" TargetMode="External"/><Relationship Id="rId973" Type="http://schemas.openxmlformats.org/officeDocument/2006/relationships/hyperlink" Target="https://www.ebay.com/mesh/ord/details?mode=SH&amp;srn=2799&amp;orderid=25-15038-50551&amp;source=Orders&amp;ru=https%3A%2F%2Fwww.ebay.com%2Fsh%2Ford%2F%3Ffilter%3Dstatus%253AAWAITING_SHIPMENT" TargetMode="External"/><Relationship Id="rId738" Type="http://schemas.openxmlformats.org/officeDocument/2006/relationships/hyperlink" Target="https://www.ebay.com/mesh/ord/details?mode=SH&amp;srn=2631&amp;orderid=11-14922-67583&amp;source=Orders&amp;ru=https%3A%2F%2Fwww.ebay.com%2Fsh%2Ford%2F%3Ffilter%3Dstatus%253APAID_SHIPPED" TargetMode="External"/><Relationship Id="rId737" Type="http://schemas.openxmlformats.org/officeDocument/2006/relationships/hyperlink" Target="https://www.ebay.com/mesh/ord/details?mode=SH&amp;srn=2632&amp;orderid=09-14927-45069&amp;source=Orders&amp;ru=https%3A%2F%2Fwww.ebay.com%2Fsh%2Ford%2F%3Ffilter%3Dstatus%253AAWAITING_SHIPMENT" TargetMode="External"/><Relationship Id="rId979" Type="http://schemas.openxmlformats.org/officeDocument/2006/relationships/hyperlink" Target="https://www.ebay.com/mesh/ord/details?mode=SH&amp;srn=2804&amp;orderid=15-15058-12428&amp;source=Orders&amp;ru=https%3A%2F%2Fwww.ebay.com%2Fsh%2Ford%2F%3Ffilter%3Dstatus%253AAWAITING_SHIPMENT" TargetMode="External"/><Relationship Id="rId736" Type="http://schemas.openxmlformats.org/officeDocument/2006/relationships/hyperlink" Target="https://www.ebay.com/mesh/ord/details?mode=SH&amp;srn=2616&amp;orderid=26-14882-24825&amp;source=Orders&amp;ru=https%3A%2F%2Fwww.ebay.com%2Fsh%2Ford%2F%3Ffilter%3Dstatus%253APAID_SHIPPED" TargetMode="External"/><Relationship Id="rId978" Type="http://schemas.openxmlformats.org/officeDocument/2006/relationships/hyperlink" Target="https://www.ebay.com/mesh/ord/details?mode=SH&amp;srn=2812&amp;orderid=26-15046-38226&amp;source=Orders&amp;ru=https%3A%2F%2Fwww.ebay.com%2Fsh%2Ford%2F%3Ffilter%3Dstatus%253AAWAITING_SHIPMENT" TargetMode="External"/><Relationship Id="rId735" Type="http://schemas.openxmlformats.org/officeDocument/2006/relationships/hyperlink" Target="https://www.ebay.com/mesh/ord/details?mode=SH&amp;srn=2626&amp;orderid=01-14936-93409&amp;source=Orders&amp;ru=https%3A%2F%2Fwww.ebay.com%2Fsh%2Ford%2F%3Ffilter%3Dstatus%253AAWAITING_SHIPMENT" TargetMode="External"/><Relationship Id="rId977" Type="http://schemas.openxmlformats.org/officeDocument/2006/relationships/hyperlink" Target="https://www.ebay.com/mesh/ord/details?mode=SH&amp;srn=2797&amp;orderid=16-15052-70774&amp;source=Orders&amp;ru=https%3A%2F%2Fwww.ebay.com%2Fsh%2Ford%2F%3Ffilter%3Dstatus%253AAWAITING_SHIPMENT" TargetMode="External"/><Relationship Id="rId37" Type="http://schemas.openxmlformats.org/officeDocument/2006/relationships/hyperlink" Target="https://www.ebay.com/mesh/ord/details?mode=SH&amp;srn=2135&amp;orderid=24-14346-48596&amp;source=Orders&amp;ru=https%3A%2F%2Fwww.ebay.com%2Fsh%2Ford" TargetMode="External"/><Relationship Id="rId36" Type="http://schemas.openxmlformats.org/officeDocument/2006/relationships/hyperlink" Target="https://www.ebay.com/mesh/ord/details?mode=SH&amp;srn=2132&amp;orderid=20-14337-20153&amp;source=Orders&amp;ru=https%3A%2F%2Fwww.ebay.com%2Fsh%2Ford%2F%3Ffilter%3Dstatus%253AAWAITING_SHIPMENT" TargetMode="External"/><Relationship Id="rId39" Type="http://schemas.openxmlformats.org/officeDocument/2006/relationships/hyperlink" Target="https://www.ebay.com/mesh/ord/details?mode=SH&amp;srn=2136&amp;orderid=07-14356-43892&amp;source=Orders&amp;ru=https%3A%2F%2Fwww.ebay.com%2Fsh%2Ford" TargetMode="External"/><Relationship Id="rId38" Type="http://schemas.openxmlformats.org/officeDocument/2006/relationships/hyperlink" Target="https://www.ebay.com/mesh/ord/details?mode=SH&amp;srn=2134&amp;orderid=25-14330-29945&amp;source=Orders&amp;ru=https%3A%2F%2Fwww.ebay.com%2Fsh%2Ford" TargetMode="External"/><Relationship Id="rId730" Type="http://schemas.openxmlformats.org/officeDocument/2006/relationships/hyperlink" Target="https://www.ebay.com/mesh/ord/details?mode=SH&amp;srn=2623&amp;orderid=23-14894-96028&amp;source=Orders&amp;ru=https%3A%2F%2Fwww.ebay.com%2Fsh%2Ford%2F%3Ffilter%3Dstatus%253AAWAITING_SHIPMENT" TargetMode="External"/><Relationship Id="rId972" Type="http://schemas.openxmlformats.org/officeDocument/2006/relationships/hyperlink" Target="https://www.ebay.com/mesh/ord/details?mode=SH&amp;srn=2795&amp;orderid=10-15062-11309&amp;source=Orders&amp;ru=https%3A%2F%2Fwww.ebay.com%2Fsh%2Ford%2F%3Ffilter%3Dstatus%253AAWAITING_SHIPMENT" TargetMode="External"/><Relationship Id="rId971" Type="http://schemas.openxmlformats.org/officeDocument/2006/relationships/hyperlink" Target="https://www.ebay.com/mesh/ord/details?mode=SH&amp;srn=2808&amp;orderid=15-15062-55117&amp;source=Orders&amp;ru=https%3A%2F%2Fwww.ebay.com%2Fsh%2Ford%2F%3Ffilter%3Dstatus%253APAID_SHIPPED" TargetMode="External"/><Relationship Id="rId1320" Type="http://schemas.openxmlformats.org/officeDocument/2006/relationships/table" Target="../tables/table42.xml"/><Relationship Id="rId970" Type="http://schemas.openxmlformats.org/officeDocument/2006/relationships/hyperlink" Target="https://www.ebay.com/mesh/ord/details?mode=SH&amp;srn=2796&amp;orderid=05-15072-51508&amp;source=Orders&amp;ru=https%3A%2F%2Fwww.ebay.com%2Fsh%2Ford%2F%3Ffilter%3Dstatus%253APAID_SHIPPED" TargetMode="External"/><Relationship Id="rId1321" Type="http://schemas.openxmlformats.org/officeDocument/2006/relationships/table" Target="../tables/table43.xml"/><Relationship Id="rId1322" Type="http://schemas.openxmlformats.org/officeDocument/2006/relationships/table" Target="../tables/table44.xml"/><Relationship Id="rId1114" Type="http://schemas.openxmlformats.org/officeDocument/2006/relationships/hyperlink" Target="https://www.ebay.com/mesh/ord/details?mode=SH&amp;srn=1273&amp;orderid=09-15171-87556&amp;source=Orders&amp;ru=https%3A%2F%2Fwww.ebay.com%2Fsh%2Ford%2F%3Ffilter%3Dstatus%253APAID_SHIPPED" TargetMode="External"/><Relationship Id="rId1356" Type="http://schemas.openxmlformats.org/officeDocument/2006/relationships/table" Target="../tables/table78.xml"/><Relationship Id="rId1115" Type="http://schemas.openxmlformats.org/officeDocument/2006/relationships/hyperlink" Target="https://www.ebay.com/mesh/ord/details?mode=SH&amp;srn=2924&amp;orderid=08-15172-35469&amp;source=Orders&amp;ru=https%3A%2F%2Fwww.ebay.com%2Fsh%2Ford%2F%3Ffilter%3Dstatus%253AAWAITING_SHIPMENT" TargetMode="External"/><Relationship Id="rId1357" Type="http://schemas.openxmlformats.org/officeDocument/2006/relationships/table" Target="../tables/table79.xml"/><Relationship Id="rId20" Type="http://schemas.openxmlformats.org/officeDocument/2006/relationships/hyperlink" Target="https://www.ebay.com/mesh/ord/details?mode=SH&amp;srn=989&amp;orderid=12-14342-90657&amp;source=Orders&amp;ru=https%3A%2F%2Fwww.ebay.com%2Fsh%2Ford%2F%3Ffilter%3Dstatus%253AALL_ORDERS%26partialRefresh%3Dtrue" TargetMode="External"/><Relationship Id="rId1116" Type="http://schemas.openxmlformats.org/officeDocument/2006/relationships/hyperlink" Target="https://www.ebay.com/mesh/ord/details?orderid=24-15083-70330" TargetMode="External"/><Relationship Id="rId1358" Type="http://schemas.openxmlformats.org/officeDocument/2006/relationships/table" Target="../tables/table80.xml"/><Relationship Id="rId1117" Type="http://schemas.openxmlformats.org/officeDocument/2006/relationships/hyperlink" Target="https://www.ebay.com/mesh/ord/details?mode=SH&amp;srn=1272&amp;orderid=04-15166-57380&amp;source=Orders&amp;ru=https%3A%2F%2Fwww.ebay.com%2Fsh%2Ford" TargetMode="External"/><Relationship Id="rId1359" Type="http://schemas.openxmlformats.org/officeDocument/2006/relationships/table" Target="../tables/table81.xml"/><Relationship Id="rId22" Type="http://schemas.openxmlformats.org/officeDocument/2006/relationships/hyperlink" Target="https://www.ebay.com/mesh/ord/details?orderid=08-14322-73699" TargetMode="External"/><Relationship Id="rId1118" Type="http://schemas.openxmlformats.org/officeDocument/2006/relationships/hyperlink" Target="https://www.ebay.com/mesh/ord/details?mode=SH&amp;srn=2923&amp;orderid=17-15154-26113&amp;source=Orders&amp;ru=https%3A%2F%2Fwww.ebay.com%2Fsh%2Ford" TargetMode="External"/><Relationship Id="rId21" Type="http://schemas.openxmlformats.org/officeDocument/2006/relationships/hyperlink" Target="https://www.ebay.com/mesh/ord/details?mode=SH&amp;srn=2126&amp;orderid=22-14328-54658&amp;source=Orders&amp;ru=https%3A%2F%2Fwww.ebay.com%2Fsh%2Ford" TargetMode="External"/><Relationship Id="rId1119" Type="http://schemas.openxmlformats.org/officeDocument/2006/relationships/hyperlink" Target="https://www.ebay.com/mesh/ord/details?mode=SH&amp;srn=2918&amp;orderid=15-15149-93949&amp;source=Orders&amp;ru=https%3A%2F%2Fwww.ebay.com%2Fsh%2Ford" TargetMode="External"/><Relationship Id="rId24" Type="http://schemas.openxmlformats.org/officeDocument/2006/relationships/hyperlink" Target="https://www.ebay.com/mesh/ord/details?mode=SH&amp;srn=990&amp;orderid=27-14322-84177&amp;source=Orders&amp;ru=https%3A%2F%2Fwww.ebay.com%2Fsh%2Ford" TargetMode="External"/><Relationship Id="rId23" Type="http://schemas.openxmlformats.org/officeDocument/2006/relationships/hyperlink" Target="https://www.ebay.com/mesh/ord/details?mode=SH&amp;srn=2127&amp;orderid=18-14335-68295&amp;source=Orders&amp;ru=https%3A%2F%2Fwww.ebay.com%2Fsh%2Ford" TargetMode="External"/><Relationship Id="rId525" Type="http://schemas.openxmlformats.org/officeDocument/2006/relationships/hyperlink" Target="https://www.ebay.com/mesh/ord/details?mode=SH&amp;srn=2464&amp;orderid=14-14803-27505&amp;source=Orders&amp;ru=https%3A%2F%2Fwww.ebay.com%2Fsh%2Ford" TargetMode="External"/><Relationship Id="rId767" Type="http://schemas.openxmlformats.org/officeDocument/2006/relationships/hyperlink" Target="https://www.ebay.com/mesh/ord/details?mode=SH&amp;srn=2644&amp;orderid=18-14924-60060&amp;source=Orders&amp;ru=https%3A%2F%2Fwww.ebay.com%2Fsh%2Ford%2F%3Ffilter%3Dstatus%253AAWAITING_SHIPMENT" TargetMode="External"/><Relationship Id="rId524" Type="http://schemas.openxmlformats.org/officeDocument/2006/relationships/hyperlink" Target="https://www.ebay.com/mesh/ord/details?mode=SH&amp;srn=2467&amp;orderid=13-14807-69874&amp;source=Orders&amp;ru=https%3A%2F%2Fwww.ebay.com%2Fsh%2Ford" TargetMode="External"/><Relationship Id="rId766" Type="http://schemas.openxmlformats.org/officeDocument/2006/relationships/hyperlink" Target="https://www.ebay.com/mesh/ord/details?mode=SH&amp;srn=2656&amp;orderid=12-14947-93888&amp;source=Orders&amp;ru=https%3A%2F%2Fwww.ebay.com%2Fsh%2Ford" TargetMode="External"/><Relationship Id="rId523" Type="http://schemas.openxmlformats.org/officeDocument/2006/relationships/hyperlink" Target="https://www.ebay.com/mesh/ord/details?mode=SH&amp;srn=2460&amp;orderid=26-14781-38395&amp;source=Orders&amp;ru=https%3A%2F%2Fwww.ebay.com%2Fsh%2Ford" TargetMode="External"/><Relationship Id="rId765" Type="http://schemas.openxmlformats.org/officeDocument/2006/relationships/hyperlink" Target="https://www.ebay.com/mesh/ord/details?mode=SH&amp;srn=2648&amp;orderid=14-14934-46921&amp;source=Orders&amp;ru=https%3A%2F%2Fwww.ebay.com%2Fsh%2Ford" TargetMode="External"/><Relationship Id="rId522" Type="http://schemas.openxmlformats.org/officeDocument/2006/relationships/hyperlink" Target="https://www.ebay.com/mesh/ord/details?mode=SH&amp;srn=1179&amp;orderid=12-14805-83235&amp;source=Orders&amp;ru=https%3A%2F%2Fwww.ebay.com%2Fsh%2Ford" TargetMode="External"/><Relationship Id="rId764" Type="http://schemas.openxmlformats.org/officeDocument/2006/relationships/hyperlink" Target="https://www.ebay.com/mesh/ord/details?mode=SH&amp;srn=2647&amp;orderid=18-14926-53017&amp;source=Orders&amp;ru=https%3A%2F%2Fwww.ebay.com%2Fsh%2Ford" TargetMode="External"/><Relationship Id="rId529" Type="http://schemas.openxmlformats.org/officeDocument/2006/relationships/hyperlink" Target="https://www.ebay.com/mesh/ord/details?mode=SH&amp;srn=1181&amp;orderid=16-14802-68493&amp;source=Orders&amp;ru=https%3A%2F%2Fwww.ebay.com%2Fsh%2Ford%2F%3Ffilter%3Dstatus%253AAWAITING_SHIPMENT" TargetMode="External"/><Relationship Id="rId528" Type="http://schemas.openxmlformats.org/officeDocument/2006/relationships/hyperlink" Target="https://www.ebay.com/mesh/ord/details?mode=SH&amp;srn=2461&amp;orderid=04-14818-79367&amp;source=Orders&amp;ru=https%3A%2F%2Fwww.ebay.com%2Fsh%2Ford%2F%3Ffilter%3Dstatus%253AAWAITING_SHIPMENT" TargetMode="External"/><Relationship Id="rId527" Type="http://schemas.openxmlformats.org/officeDocument/2006/relationships/hyperlink" Target="https://www.ebay.com/mesh/ord/details?mode=SH&amp;srn=2465&amp;orderid=02-14823-92500&amp;source=Orders&amp;ru=https%3A%2F%2Fwww.ebay.com%2Fsh%2Ford%2F%3Ffilter%3Dstatus%253AAWAITING_SHIPMENT" TargetMode="External"/><Relationship Id="rId769" Type="http://schemas.openxmlformats.org/officeDocument/2006/relationships/hyperlink" Target="https://www.ebay.com/mesh/ord/details?mode=SH&amp;srn=2649&amp;orderid=14-14936-97577&amp;source=Orders&amp;ru=https%3A%2F%2Fwww.ebay.com%2Fsh%2Ford%2F%3Ffilter%3Dstatus%253AAWAITING_SHIPMENT" TargetMode="External"/><Relationship Id="rId526" Type="http://schemas.openxmlformats.org/officeDocument/2006/relationships/hyperlink" Target="https://www.ebay.com/mesh/ord/details?mode=SH&amp;srn=2466&amp;orderid=10-14810-04648&amp;source=Orders&amp;ru=https%3A%2F%2Fwww.ebay.com%2Fsh%2Ford%2F%3Ffilter%3Dstatus%253AAWAITING_SHIPMENT" TargetMode="External"/><Relationship Id="rId768" Type="http://schemas.openxmlformats.org/officeDocument/2006/relationships/hyperlink" Target="https://www.ebay.com/mesh/ord/details?mode=SH&amp;srn=2653&amp;orderid=19-14935-05363&amp;source=Orders&amp;ru=https%3A%2F%2Fwww.ebay.com%2Fsh%2Ford%2F%3Ffilter%3Dstatus%253AAWAITING_SHIPMENT" TargetMode="External"/><Relationship Id="rId26" Type="http://schemas.openxmlformats.org/officeDocument/2006/relationships/hyperlink" Target="https://www.ebay.com/mesh/ord/details?mode=SH&amp;srn=2129&amp;orderid=25-14327-33843&amp;source=Orders&amp;ru=https%3A%2F%2Fwww.ebay.com%2Fsh%2Ford" TargetMode="External"/><Relationship Id="rId25" Type="http://schemas.openxmlformats.org/officeDocument/2006/relationships/hyperlink" Target="https://www.ebay.com/mesh/ord/details?mode=SH&amp;srn=2128&amp;orderid=25-14325-90157&amp;source=Orders&amp;ru=https%3A%2F%2Fwww.ebay.com%2Fsh%2Ford" TargetMode="External"/><Relationship Id="rId28" Type="http://schemas.openxmlformats.org/officeDocument/2006/relationships/hyperlink" Target="https://www.ebay.com/mesh/ord/details?mode=SH&amp;srn=994&amp;orderid=06-14355-59705&amp;source=Orders&amp;ru=https%3A%2F%2Fwww.ebay.com%2Fsh%2Ford" TargetMode="External"/><Relationship Id="rId1350" Type="http://schemas.openxmlformats.org/officeDocument/2006/relationships/table" Target="../tables/table72.xml"/><Relationship Id="rId27" Type="http://schemas.openxmlformats.org/officeDocument/2006/relationships/hyperlink" Target="https://www.ebay.com/mesh/ord/details?orderid=20-14314-62650" TargetMode="External"/><Relationship Id="rId1351" Type="http://schemas.openxmlformats.org/officeDocument/2006/relationships/table" Target="../tables/table73.xml"/><Relationship Id="rId521" Type="http://schemas.openxmlformats.org/officeDocument/2006/relationships/hyperlink" Target="https://www.ebay.com/mesh/ord/details?mode=SH&amp;srn=1180&amp;orderid=19-14794-85813&amp;source=Orders&amp;ru=https%3A%2F%2Fwww.ebay.com%2Fsh%2Ford" TargetMode="External"/><Relationship Id="rId763" Type="http://schemas.openxmlformats.org/officeDocument/2006/relationships/hyperlink" Target="https://www.ebay.com/mesh/ord/details?mode=SH&amp;srn=2646&amp;orderid=19-14924-71020&amp;source=Orders&amp;ru=https%3A%2F%2Fwww.ebay.com%2Fsh%2Ford" TargetMode="External"/><Relationship Id="rId1110" Type="http://schemas.openxmlformats.org/officeDocument/2006/relationships/hyperlink" Target="https://www.ebay.com/mesh/ord/details?mode=SH&amp;srn=2926&amp;orderid=20-15151-31511&amp;source=Orders&amp;ru=https%3A%2F%2Fwww.ebay.com%2Fsh%2Ford%2F%3Ffilter%3Dstatus%253AAWAITING_SHIPMENT" TargetMode="External"/><Relationship Id="rId1352" Type="http://schemas.openxmlformats.org/officeDocument/2006/relationships/table" Target="../tables/table74.xml"/><Relationship Id="rId29" Type="http://schemas.openxmlformats.org/officeDocument/2006/relationships/hyperlink" Target="https://www.ebay.com/mesh/ord/details?mode=SH&amp;srn=993&amp;orderid=22-14331-96203&amp;source=Orders&amp;ru=https%3A%2F%2Fwww.ebay.com%2Fsh%2Ford" TargetMode="External"/><Relationship Id="rId520" Type="http://schemas.openxmlformats.org/officeDocument/2006/relationships/hyperlink" Target="https://www.ebay.com/mesh/ord/details?mode=SH&amp;srn=2457&amp;orderid=23-14783-96566&amp;source=Orders&amp;ru=https%3A%2F%2Fwww.ebay.com%2Fsh%2Ford" TargetMode="External"/><Relationship Id="rId762" Type="http://schemas.openxmlformats.org/officeDocument/2006/relationships/hyperlink" Target="https://www.ebay.com/mesh/ord/details?mode=SH&amp;srn=2642&amp;orderid=05-14944-49266&amp;source=Orders&amp;ru=https%3A%2F%2Fwww.ebay.com%2Fsh%2Ford%2F%3Ffilter%3Dstatus%253APAID_SHIPPED" TargetMode="External"/><Relationship Id="rId1111" Type="http://schemas.openxmlformats.org/officeDocument/2006/relationships/hyperlink" Target="https://www.ebay.com/mesh/ord/details?mode=SH&amp;srn=2925&amp;orderid=09-15171-12922&amp;source=Orders&amp;ru=https%3A%2F%2Fwww.ebay.com%2Fsh%2Ford%2F%3Ffilter%3Dstatus%253AAWAITING_SHIPMENT" TargetMode="External"/><Relationship Id="rId1353" Type="http://schemas.openxmlformats.org/officeDocument/2006/relationships/table" Target="../tables/table75.xml"/><Relationship Id="rId761" Type="http://schemas.openxmlformats.org/officeDocument/2006/relationships/hyperlink" Target="https://www.ebay.com/mesh/ord/details?mode=SH&amp;srn=2645&amp;orderid=15-14929-93417&amp;source=Orders&amp;ru=https%3A%2F%2Fwww.ebay.com%2Fsh%2Ford%2F%3Ffilter%3Dstatus%253AAWAITING_SHIPMENT" TargetMode="External"/><Relationship Id="rId1112" Type="http://schemas.openxmlformats.org/officeDocument/2006/relationships/hyperlink" Target="https://www.ebay.com/mesh/ord/details?mode=SH&amp;srn=2922&amp;orderid=06-15173-86913&amp;source=Orders&amp;ru=https%3A%2F%2Fwww.ebay.com%2Fsh%2Ford%2F%3Ffilter%3Dstatus%253AAWAITING_SHIPMENT" TargetMode="External"/><Relationship Id="rId1354" Type="http://schemas.openxmlformats.org/officeDocument/2006/relationships/table" Target="../tables/table76.xml"/><Relationship Id="rId760" Type="http://schemas.openxmlformats.org/officeDocument/2006/relationships/hyperlink" Target="https://www.ebay.com/mesh/ord/details?mode=SH&amp;srn=2643&amp;orderid=14-14928-63226&amp;source=Orders&amp;ru=https%3A%2F%2Fwww.ebay.com%2Fsh%2Ford%2F%3Ffilter%3Dstatus%253AAWAITING_SHIPMENT" TargetMode="External"/><Relationship Id="rId1113" Type="http://schemas.openxmlformats.org/officeDocument/2006/relationships/hyperlink" Target="https://www.ebay.com/mesh/ord/details?mode=SH&amp;srn=2921&amp;orderid=15-15156-96623&amp;source=Orders&amp;ru=https%3A%2F%2Fwww.ebay.com%2Fsh%2Ford%2F%3Ffilter%3Dstatus%253AAWAITING_SHIPMENT" TargetMode="External"/><Relationship Id="rId1355" Type="http://schemas.openxmlformats.org/officeDocument/2006/relationships/table" Target="../tables/table77.xml"/><Relationship Id="rId1103" Type="http://schemas.openxmlformats.org/officeDocument/2006/relationships/hyperlink" Target="https://www.ebay.com/mesh/ord/details?mode=SH&amp;srn=2906&amp;orderid=02-15165-30935&amp;source=Orders&amp;ru=https%3A%2F%2Fwww.ebay.com%2Fsh%2Ford%2F%3Ffilter%3Dstatus%253AAWAITING_SHIPMENT" TargetMode="External"/><Relationship Id="rId1345" Type="http://schemas.openxmlformats.org/officeDocument/2006/relationships/table" Target="../tables/table67.xml"/><Relationship Id="rId1104" Type="http://schemas.openxmlformats.org/officeDocument/2006/relationships/hyperlink" Target="https://www.ebay.com/mesh/ord/details?mode=SH&amp;srn=2906&amp;orderid=02-15165-30935&amp;source=Orders&amp;ru=https%3A%2F%2Fwww.ebay.com%2Fsh%2Ford%2F%3Ffilter%3Dstatus%253APAID_SHIPPED" TargetMode="External"/><Relationship Id="rId1346" Type="http://schemas.openxmlformats.org/officeDocument/2006/relationships/table" Target="../tables/table68.xml"/><Relationship Id="rId1105" Type="http://schemas.openxmlformats.org/officeDocument/2006/relationships/hyperlink" Target="https://www.ebay.com/mesh/ord/details?orderid=06-15066-67760" TargetMode="External"/><Relationship Id="rId1347" Type="http://schemas.openxmlformats.org/officeDocument/2006/relationships/table" Target="../tables/table69.xml"/><Relationship Id="rId1106" Type="http://schemas.openxmlformats.org/officeDocument/2006/relationships/hyperlink" Target="https://www.ebay.com/mesh/ord/details?mode=SH&amp;srn=2905&amp;orderid=07-15155-28486&amp;source=Orders&amp;ru=https%3A%2F%2Fwww.ebay.com%2Fsh%2Ford%2F%3Ffilter%3Dstatus%253APAID_SHIPPED" TargetMode="External"/><Relationship Id="rId1348" Type="http://schemas.openxmlformats.org/officeDocument/2006/relationships/table" Target="../tables/table70.xml"/><Relationship Id="rId11" Type="http://schemas.openxmlformats.org/officeDocument/2006/relationships/hyperlink" Target="https://www.ebay.com/mesh/ord/details?mode=SH&amp;srn=985&amp;orderid=10-14331-97957&amp;source=Orders&amp;ru=https%3A%2F%2Fwww.ebay.com%2Fsh%2Ford%2F%3Ffilter%3Dstatus%253AALL_ORDERS%26partialRefresh%3Dtrue" TargetMode="External"/><Relationship Id="rId1107" Type="http://schemas.openxmlformats.org/officeDocument/2006/relationships/hyperlink" Target="https://www.ebay.com/mesh/ord/details?mode=SH&amp;srn=2916&amp;orderid=20-15137-30063&amp;source=Orders&amp;ru=https%3A%2F%2Fwww.ebay.com%2Fsh%2Ford%2F%3Ffilter%3Dstatus%253AAWAITING_SHIPMENT" TargetMode="External"/><Relationship Id="rId1349" Type="http://schemas.openxmlformats.org/officeDocument/2006/relationships/table" Target="../tables/table71.xml"/><Relationship Id="rId10" Type="http://schemas.openxmlformats.org/officeDocument/2006/relationships/hyperlink" Target="https://www.ebay.com/mesh/ord/details?mode=SH&amp;srn=978&amp;orderid=15-14282-71484&amp;source=Orders&amp;ru=https%3A%2F%2Fwww.ebay.com%2Fsh%2Ford%2F%3Ffilter%3Dstatus%253AALL_ORDERS%26partialRefresh%3Dtrue" TargetMode="External"/><Relationship Id="rId1108" Type="http://schemas.openxmlformats.org/officeDocument/2006/relationships/hyperlink" Target="https://www.ebay.com/mesh/ord/details?mode=SH&amp;srn=2919&amp;orderid=20-15141-74605&amp;source=Orders&amp;ru=https%3A%2F%2Fwww.ebay.com%2Fsh%2Ford%2F%3Ffilter%3Dstatus%253AAWAITING_SHIPMENT" TargetMode="External"/><Relationship Id="rId13" Type="http://schemas.openxmlformats.org/officeDocument/2006/relationships/hyperlink" Target="https://www.ebay.com/mesh/ord/details?mode=SH&amp;srn=983&amp;orderid=24-14324-84572&amp;source=Orders&amp;ru=https%3A%2F%2Fwww.ebay.com%2Fsh%2Ford%2F%3Ffilter%3Dstatus%253AALL_ORDERS%26partialRefresh%3Dtrue" TargetMode="External"/><Relationship Id="rId1109" Type="http://schemas.openxmlformats.org/officeDocument/2006/relationships/hyperlink" Target="https://www.ebay.com/mesh/ord/details?mode=SH&amp;srn=2927&amp;orderid=23-15146-07346&amp;source=Orders&amp;ru=https%3A%2F%2Fwww.ebay.com%2Fsh%2Ford%2F%3Ffilter%3Dstatus%253AAWAITING_SHIPMENT" TargetMode="External"/><Relationship Id="rId12" Type="http://schemas.openxmlformats.org/officeDocument/2006/relationships/hyperlink" Target="https://www.ebay.com/mesh/ord/details?mode=SH&amp;srn=982&amp;orderid=17-14319-70656&amp;source=Orders&amp;ru=https%3A%2F%2Fwww.ebay.com%2Fsh%2Ford%2F%3Ffilter%3Dstatus%253AALL_ORDERS%26partialRefresh%3Dtrue" TargetMode="External"/><Relationship Id="rId519" Type="http://schemas.openxmlformats.org/officeDocument/2006/relationships/hyperlink" Target="https://www.ebay.com/mesh/ord/details?mode=SH&amp;srn=2458&amp;orderid=14-14799-53545&amp;source=Orders&amp;ru=https%3A%2F%2Fwww.ebay.com%2Fsh%2Ford%2F%3Ffilter%3Dstatus%253AAWAITING_SHIPMENT" TargetMode="External"/><Relationship Id="rId514" Type="http://schemas.openxmlformats.org/officeDocument/2006/relationships/hyperlink" Target="https://www.ebay.com/mesh/ord/details?mode=SH&amp;srn=2454&amp;orderid=03-14812-19257&amp;source=Orders&amp;ru=https%3A%2F%2Fwww.ebay.com%2Fsh%2Ford" TargetMode="External"/><Relationship Id="rId756" Type="http://schemas.openxmlformats.org/officeDocument/2006/relationships/hyperlink" Target="https://www.ebay.com/mesh/ord/details?mode=SH&amp;srn=2641&amp;orderid=05-14941-75796&amp;source=Orders&amp;ru=https%3A%2F%2Fwww.ebay.com%2Fsh%2Ford%2F%3Ffilter%3Dstatus%253AALL_ORDERS" TargetMode="External"/><Relationship Id="rId998" Type="http://schemas.openxmlformats.org/officeDocument/2006/relationships/hyperlink" Target="https://www.ebay.com/mesh/ord/details?mode=SH&amp;srn=2823&amp;orderid=21-15060-64774&amp;source=Orders&amp;ru=https%3A%2F%2Fwww.ebay.com%2Fsh%2Ford%2F%3Ffilter%3Dstatus%253APAID_SHIPPED" TargetMode="External"/><Relationship Id="rId513" Type="http://schemas.openxmlformats.org/officeDocument/2006/relationships/hyperlink" Target="https://www.ebay.com/mesh/ord/details?mode=SH&amp;srn=2449&amp;orderid=10-14792-79920&amp;source=Orders&amp;ru=https%3A%2F%2Fwww.ebay.com%2Fsh%2Ford%2F%3Ffilter%3Dstatus%253AAWAITING_SHIPMENT" TargetMode="External"/><Relationship Id="rId755" Type="http://schemas.openxmlformats.org/officeDocument/2006/relationships/hyperlink" Target="https://www.ebay.com/mesh/ord/details?mode=SH&amp;srn=1216&amp;orderid=24-14921-91484&amp;source=Orders&amp;ru=https%3A%2F%2Fwww.ebay.com%2Fsh%2Ford%2F%3Ffilter%3Dstatus%253AAWAITING_SHIPMENT" TargetMode="External"/><Relationship Id="rId997" Type="http://schemas.openxmlformats.org/officeDocument/2006/relationships/hyperlink" Target="https://www.ebay.com/mesh/ord/details?mode=SH&amp;srn=2825&amp;orderid=23-15058-16180&amp;source=Orders&amp;ru=https%3A%2F%2Fwww.ebay.com%2Fsh%2Ford%2F%3Ffilter%3Dstatus%253APAID_SHIPPED" TargetMode="External"/><Relationship Id="rId512" Type="http://schemas.openxmlformats.org/officeDocument/2006/relationships/hyperlink" Target="https://order.ebay.com/ord/show?orderId=15-14784-67271" TargetMode="External"/><Relationship Id="rId754" Type="http://schemas.openxmlformats.org/officeDocument/2006/relationships/hyperlink" Target="https://www.ebay.com/mesh/ord/details?mode=SH&amp;srn=2638&amp;orderid=15-14921-67230&amp;source=Orders&amp;ru=https%3A%2F%2Fwww.ebay.com%2Fsh%2Ford%2F%3Ffilter%3Dstatus%253AAWAITING_SHIPMENT" TargetMode="External"/><Relationship Id="rId996" Type="http://schemas.openxmlformats.org/officeDocument/2006/relationships/hyperlink" Target="https://www.ebay.com/mesh/ord/details?mode=SH&amp;srn=2826&amp;orderid=11-15080-62498&amp;source=Orders&amp;ru=https%3A%2F%2Fwww.ebay.com%2Fsh%2Ford%2F%3Ffilter%3Dstatus%253AAWAITING_SHIPMENT" TargetMode="External"/><Relationship Id="rId511" Type="http://schemas.openxmlformats.org/officeDocument/2006/relationships/hyperlink" Target="https://www.ebay.com/mesh/ord/details?mode=SH&amp;srn=2448&amp;orderid=26-14766-29905&amp;source=Orders&amp;ru=https%3A%2F%2Fwww.ebay.com%2Fsh%2Ford%2F%3Ffilter%3Dstatus%253AAWAITING_SHIPMENT" TargetMode="External"/><Relationship Id="rId753" Type="http://schemas.openxmlformats.org/officeDocument/2006/relationships/hyperlink" Target="https://www.ebay.com/mesh/ord/details?orderid=22-14839-64992" TargetMode="External"/><Relationship Id="rId995" Type="http://schemas.openxmlformats.org/officeDocument/2006/relationships/hyperlink" Target="https://www.ebay.com/mesh/ord/details?mode=SH&amp;srn=2824&amp;orderid=09-15082-62314&amp;source=Orders&amp;ru=https%3A%2F%2Fwww.ebay.com%2Fsh%2Ford%2F%3Ffilter%3Dstatus%253AAWAITING_SHIPMENT" TargetMode="External"/><Relationship Id="rId518" Type="http://schemas.openxmlformats.org/officeDocument/2006/relationships/hyperlink" Target="https://www.ebay.com/mesh/ord/details?mode=SH&amp;srn=2459&amp;orderid=16-14796-80985&amp;source=Orders&amp;ru=https%3A%2F%2Fwww.ebay.com%2Fsh%2Ford%2F%3Ffilter%3Dstatus%253AAWAITING_SHIPMENT" TargetMode="External"/><Relationship Id="rId517" Type="http://schemas.openxmlformats.org/officeDocument/2006/relationships/hyperlink" Target="https://www.ebay.com/mesh/ord/details?mode=SH&amp;srn=2456&amp;orderid=25-14779-83458&amp;source=Orders&amp;ru=https%3A%2F%2Fwww.ebay.com%2Fsh%2Ford%2F%3Ffilter%3Dstatus%253AAWAITING_SHIPMENT" TargetMode="External"/><Relationship Id="rId759" Type="http://schemas.openxmlformats.org/officeDocument/2006/relationships/hyperlink" Target="https://www.ebay.com/mesh/ord/details?mode=SH&amp;srn=2640&amp;orderid=18-14918-60709&amp;source=Orders&amp;ru=https%3A%2F%2Fwww.ebay.com%2Fsh%2Ford%2F%3Ffilter%3Dstatus%253AAWAITING_SHIPMENT" TargetMode="External"/><Relationship Id="rId516" Type="http://schemas.openxmlformats.org/officeDocument/2006/relationships/hyperlink" Target="https://www.ebay.com/mesh/ord/details?mode=SH&amp;srn=2397&amp;orderid=18-14741-13995&amp;source=Orders&amp;ru=https%3A%2F%2Fwww.ebay.com%2Fsh%2Ford%2F%3Ffilter%3Dstatus%253AALL_ORDERS%26search%3Dordernumber%253A18-14741-13995%26partialRefresh%3Dtrue" TargetMode="External"/><Relationship Id="rId758" Type="http://schemas.openxmlformats.org/officeDocument/2006/relationships/hyperlink" Target="https://www.ebay.com/mesh/ord/details?mode=SH&amp;srn=1217&amp;orderid=21-14913-53488&amp;source=Orders&amp;ru=https%3A%2F%2Fwww.ebay.com%2Fsh%2Ford%2F%3Ffilter%3Dstatus%253AAWAITING_SHIPMENT" TargetMode="External"/><Relationship Id="rId515" Type="http://schemas.openxmlformats.org/officeDocument/2006/relationships/hyperlink" Target="https://www.ebay.com/mesh/ord/details?mode=SH&amp;srn=2453&amp;orderid=09-14801-05136&amp;source=Orders&amp;ru=https%3A%2F%2Fwww.ebay.com%2Fsh%2Ford" TargetMode="External"/><Relationship Id="rId757" Type="http://schemas.openxmlformats.org/officeDocument/2006/relationships/hyperlink" Target="https://www.ebay.com/mesh/ord/details?orderid=09-14850-32294" TargetMode="External"/><Relationship Id="rId999" Type="http://schemas.openxmlformats.org/officeDocument/2006/relationships/hyperlink" Target="https://www.ebay.com/mesh/ord/details?mode=SH&amp;srn=2829&amp;orderid=01-15101-63591&amp;source=Orders&amp;ru=https%3A%2F%2Fwww.ebay.com%2Fsh%2Ford" TargetMode="External"/><Relationship Id="rId15" Type="http://schemas.openxmlformats.org/officeDocument/2006/relationships/hyperlink" Target="https://www.ebay.com/mesh/ord/details?mode=SH&amp;srn=2125&amp;orderid=18-14327-36764&amp;source=Orders&amp;ru=https%3A%2F%2Fwww.ebay.com%2Fsh%2Ford%3Ffilter%3Dstatus%253AALL_ORDERS" TargetMode="External"/><Relationship Id="rId990" Type="http://schemas.openxmlformats.org/officeDocument/2006/relationships/hyperlink" Target="https://www.ebay.com/mesh/ord/details?mode=SH&amp;srn=2818&amp;orderid=14-15071-65787&amp;source=Orders&amp;ru=https%3A%2F%2Fwww.ebay.com%2Fsh%2Ford%2F%3Ffilter%3Dstatus%253AAWAITING_SHIPMENT" TargetMode="External"/><Relationship Id="rId14" Type="http://schemas.openxmlformats.org/officeDocument/2006/relationships/hyperlink" Target="https://www.ebay.com/mesh/ord/details?mode=SH&amp;srn=984&amp;orderid=10-14330-32392&amp;source=Orders&amp;ru=https%3A%2F%2Fwww.ebay.com%2Fsh%2Ford%2F%3Ffilter%3Dstatus%253AALL_ORDERS%26partialRefresh%3Dtrue" TargetMode="External"/><Relationship Id="rId17" Type="http://schemas.openxmlformats.org/officeDocument/2006/relationships/hyperlink" Target="https://www.ebay.com/mesh/ord/details?mode=SH&amp;srn=2123&amp;orderid=12-14331-67938&amp;source=Orders&amp;ru=https%3A%2F%2Fwww.ebay.com%2Fsh%2Ford%3Ffilter%3Dstatus%253AALL_ORDERS" TargetMode="External"/><Relationship Id="rId16" Type="http://schemas.openxmlformats.org/officeDocument/2006/relationships/hyperlink" Target="https://www.ebay.com/mesh/ord/details?mode=SH&amp;srn=2124&amp;orderid=24-14329-22692&amp;source=Orders&amp;ru=https%3A%2F%2Fwww.ebay.com%2Fsh%2Ford%3Ffilter%3Dstatus%253AALL_ORDERS" TargetMode="External"/><Relationship Id="rId1340" Type="http://schemas.openxmlformats.org/officeDocument/2006/relationships/table" Target="../tables/table62.xml"/><Relationship Id="rId19" Type="http://schemas.openxmlformats.org/officeDocument/2006/relationships/hyperlink" Target="https://www.ebay.com/mesh/ord/details?mode=SH&amp;srn=987&amp;orderid=16-14333-12658&amp;source=Orders&amp;ru=https%3A%2F%2Fwww.ebay.com%2Fsh%2Ford%2F%3Ffilter%3Dstatus%253AAWAITING_SHIPMENT" TargetMode="External"/><Relationship Id="rId510" Type="http://schemas.openxmlformats.org/officeDocument/2006/relationships/hyperlink" Target="https://www.ebay.com/mesh/ord/details?mode=SH&amp;srn=2450&amp;orderid=07-14798-26062&amp;source=Orders&amp;ru=https%3A%2F%2Fwww.ebay.com%2Fsh%2Ford%2F%3Ffilter%3Dstatus%253AAWAITING_SHIPMENT" TargetMode="External"/><Relationship Id="rId752" Type="http://schemas.openxmlformats.org/officeDocument/2006/relationships/hyperlink" Target="https://www.ebay.com/mesh/ord/details?mode=SH&amp;srn=2639&amp;orderid=11-14928-92326&amp;source=Orders&amp;ru=https%3A%2F%2Fwww.ebay.com%2Fsh%2Ford" TargetMode="External"/><Relationship Id="rId994" Type="http://schemas.openxmlformats.org/officeDocument/2006/relationships/hyperlink" Target="https://www.ebay.com/mesh/ord/details?mode=SH&amp;srn=2827&amp;orderid=16-15072-26854&amp;source=Orders&amp;ru=https%3A%2F%2Fwww.ebay.com%2Fsh%2Ford%2F%3Ffilter%3Dstatus%253AAWAITING_SHIPMENT" TargetMode="External"/><Relationship Id="rId1341" Type="http://schemas.openxmlformats.org/officeDocument/2006/relationships/table" Target="../tables/table63.xml"/><Relationship Id="rId18" Type="http://schemas.openxmlformats.org/officeDocument/2006/relationships/hyperlink" Target="https://www.ebay.com/mesh/ord/details?mode=SH&amp;srn=988&amp;orderid=24-14336-39718&amp;source=Orders&amp;ru=https%3A%2F%2Fwww.ebay.com%2Fsh%2Ford%2F%3Ffilter%3Dstatus%253AAWAITING_SHIPMENT" TargetMode="External"/><Relationship Id="rId751" Type="http://schemas.openxmlformats.org/officeDocument/2006/relationships/hyperlink" Target="https://order.ebay.com/ord/show?orderId=23-14905-50835" TargetMode="External"/><Relationship Id="rId993" Type="http://schemas.openxmlformats.org/officeDocument/2006/relationships/hyperlink" Target="https://www.ebay.com/mesh/ord/details?mode=SH&amp;srn=2819&amp;orderid=14-15072-53303&amp;source=Orders&amp;ru=https%3A%2F%2Fwww.ebay.com%2Fsh%2Ford%2F%3Ffilter%3Dstatus%253AAWAITING_SHIPMENT" TargetMode="External"/><Relationship Id="rId1100" Type="http://schemas.openxmlformats.org/officeDocument/2006/relationships/hyperlink" Target="https://www.ebay.com/mesh/ord/details?mode=SH&amp;srn=2913&amp;orderid=08-15154-88233&amp;source=Orders&amp;ru=https%3A%2F%2Fwww.ebay.com%2Fsh%2Ford%2F%3Ffilter%3Dstatus%253AAWAITING_SHIPMENT" TargetMode="External"/><Relationship Id="rId1342" Type="http://schemas.openxmlformats.org/officeDocument/2006/relationships/table" Target="../tables/table64.xml"/><Relationship Id="rId750" Type="http://schemas.openxmlformats.org/officeDocument/2006/relationships/hyperlink" Target="https://www.ebay.com/mesh/ord/details?mode=SH&amp;srn=2634&amp;orderid=17-14914-72053&amp;source=Orders&amp;ru=https%3A%2F%2Fwww.ebay.com%2Fsh%2Ford" TargetMode="External"/><Relationship Id="rId992" Type="http://schemas.openxmlformats.org/officeDocument/2006/relationships/hyperlink" Target="https://www.ebay.com/mesh/ord/details?mode=SH&amp;srn=2821&amp;orderid=21-15060-09062&amp;source=Orders&amp;ru=https%3A%2F%2Fwww.ebay.com%2Fsh%2Ford%2F%3Ffilter%3Dstatus%253AAWAITING_SHIPMENT" TargetMode="External"/><Relationship Id="rId1101" Type="http://schemas.openxmlformats.org/officeDocument/2006/relationships/hyperlink" Target="https://www.ebay.com/mesh/ord/details?mode=SH&amp;srn=2914&amp;orderid=12-15148-95910&amp;source=Orders&amp;ru=https%3A%2F%2Fwww.ebay.com%2Fsh%2Ford%2F%3Ffilter%3Dstatus%253APAID_SHIPPED" TargetMode="External"/><Relationship Id="rId1343" Type="http://schemas.openxmlformats.org/officeDocument/2006/relationships/table" Target="../tables/table65.xml"/><Relationship Id="rId991" Type="http://schemas.openxmlformats.org/officeDocument/2006/relationships/hyperlink" Target="https://order.ebay.com/ord/show?orderId=20-15062-13458" TargetMode="External"/><Relationship Id="rId1102" Type="http://schemas.openxmlformats.org/officeDocument/2006/relationships/hyperlink" Target="https://www.ebay.com/mesh/ord/details?mode=SH&amp;srn=1271&amp;orderid=20-15131-95738&amp;source=Orders&amp;ru=https%3A%2F%2Fwww.ebay.com%2Fsh%2Ford%2F%3Ffilter%3Dstatus%253AAWAITING_SHIPMENT" TargetMode="External"/><Relationship Id="rId1344" Type="http://schemas.openxmlformats.org/officeDocument/2006/relationships/table" Target="../tables/table66.xml"/><Relationship Id="rId84" Type="http://schemas.openxmlformats.org/officeDocument/2006/relationships/hyperlink" Target="https://www.ebay.com/mesh/ord/details?mode=SH&amp;srn=2148&amp;orderid=16-14404-67774&amp;source=Orders&amp;ru=https%3A%2F%2Fwww.ebay.com%2Fsh%2Ford" TargetMode="External"/><Relationship Id="rId83" Type="http://schemas.openxmlformats.org/officeDocument/2006/relationships/hyperlink" Target="https://www.ebay.com/mesh/ord/details?mode=SH&amp;srn=2119&amp;orderid=11-14317-69475&amp;source=Orders&amp;ru=https%3A%2F%2Fwww.ebay.com%2Fsh%2Ford%2F%3Ffilter%3Dstatus%253AALL_ORDERS%26partialRefresh%3Dtrue" TargetMode="External"/><Relationship Id="rId86" Type="http://schemas.openxmlformats.org/officeDocument/2006/relationships/hyperlink" Target="https://www.ebay.com/mesh/ord/details?mode=SH&amp;srn=2149&amp;orderid=08-14417-20222&amp;source=Orders&amp;ru=https%3A%2F%2Fwww.ebay.com%2Fsh%2Ford" TargetMode="External"/><Relationship Id="rId85" Type="http://schemas.openxmlformats.org/officeDocument/2006/relationships/hyperlink" Target="https://www.ebay.com/mesh/ord/details?orderid=15-14388-20244" TargetMode="External"/><Relationship Id="rId88" Type="http://schemas.openxmlformats.org/officeDocument/2006/relationships/hyperlink" Target="https://www.ebay.com/mesh/ord/details?mode=SH&amp;srn=1025&amp;orderid=20-14402-01348&amp;source=Orders&amp;ru=https%3A%2F%2Fwww.ebay.com%2Fsh%2Ford" TargetMode="External"/><Relationship Id="rId87" Type="http://schemas.openxmlformats.org/officeDocument/2006/relationships/hyperlink" Target="https://www.ebay.com/mesh/ord/details?mode=SH&amp;srn=2150&amp;orderid=14-14408-98424&amp;source=Orders&amp;ru=https%3A%2F%2Fwww.ebay.com%2Fsh%2Ford" TargetMode="External"/><Relationship Id="rId89" Type="http://schemas.openxmlformats.org/officeDocument/2006/relationships/hyperlink" Target="https://www.ebay.com/mesh/ord/details?mode=SH&amp;srn=1024&amp;orderid=09-14416-45646&amp;source=Orders&amp;ru=https%3A%2F%2Fwww.ebay.com%2Fsh%2Ford" TargetMode="External"/><Relationship Id="rId709" Type="http://schemas.openxmlformats.org/officeDocument/2006/relationships/hyperlink" Target="https://www.ebay.com/mesh/ord/details?orderid=13-14870-69757" TargetMode="External"/><Relationship Id="rId708" Type="http://schemas.openxmlformats.org/officeDocument/2006/relationships/hyperlink" Target="https://www.ebay.com/mesh/ord/details?mode=SH&amp;srn=2603&amp;orderid=10-14903-69259&amp;source=Orders&amp;ru=https%3A%2F%2Fwww.ebay.com%2Fsh%2Ford" TargetMode="External"/><Relationship Id="rId707" Type="http://schemas.openxmlformats.org/officeDocument/2006/relationships/hyperlink" Target="https://www.ebay.com/mesh/ord/details?mode=SH&amp;srn=2604&amp;orderid=27-14875-14265&amp;source=Orders&amp;ru=https%3A%2F%2Fwww.ebay.com%2Fsh%2Ford" TargetMode="External"/><Relationship Id="rId949" Type="http://schemas.openxmlformats.org/officeDocument/2006/relationships/hyperlink" Target="https://www.ebay.com/mesh/ord/details?mode=SH&amp;srn=2774&amp;orderid=10-15048-83520&amp;source=Orders&amp;ru=https%3A%2F%2Fwww.ebay.com%2Fsh%2Ford" TargetMode="External"/><Relationship Id="rId706" Type="http://schemas.openxmlformats.org/officeDocument/2006/relationships/hyperlink" Target="https://www.ebay.com/mesh/ord/details?mode=SH&amp;srn=2605&amp;orderid=17-14892-25720&amp;source=Orders&amp;ru=https%3A%2F%2Fwww.ebay.com%2Fsh%2Ford" TargetMode="External"/><Relationship Id="rId948" Type="http://schemas.openxmlformats.org/officeDocument/2006/relationships/hyperlink" Target="https://www.ebay.com/mesh/ord/details?mode=SH&amp;srn=2782&amp;orderid=08-15058-30507&amp;source=Orders&amp;ru=https%3A%2F%2Fwww.ebay.com%2Fsh%2Ford" TargetMode="External"/><Relationship Id="rId80" Type="http://schemas.openxmlformats.org/officeDocument/2006/relationships/hyperlink" Target="https://www.ebay.com/mesh/ord/details?mode=SH&amp;srn=2146&amp;orderid=11-14408-01202&amp;source=Orders&amp;ru=https%3A%2F%2Fwww.ebay.com%2Fsh%2Ford" TargetMode="External"/><Relationship Id="rId82" Type="http://schemas.openxmlformats.org/officeDocument/2006/relationships/hyperlink" Target="https://www.ebay.com/mesh/ord/details?mode=SH&amp;srn=2147&amp;orderid=06-14418-39049&amp;source=Orders&amp;ru=https%3A%2F%2Fwww.ebay.com%2Fsh%2Ford" TargetMode="External"/><Relationship Id="rId81" Type="http://schemas.openxmlformats.org/officeDocument/2006/relationships/hyperlink" Target="https://www.ebay.com/mesh/ord/details?mode=SH&amp;srn=982&amp;orderid=17-14319-70656&amp;source=Orders&amp;ru=https%3A%2F%2Fwww.ebay.com%2Fsh%2Ford%2F%3Ffilter%3Dstatus%253AALL_ORDERS%26partialRefresh%3Dtrue" TargetMode="External"/><Relationship Id="rId701" Type="http://schemas.openxmlformats.org/officeDocument/2006/relationships/hyperlink" Target="https://www.ebay.com/mesh/ord/details?mode=SH&amp;srn=2592&amp;orderid=16-14886-92222&amp;source=Orders&amp;ru=https%3A%2F%2Fwww.ebay.com%2Fsh%2Ford%2F%3Ffilter%3Dstatus%253AAWAITING_SHIPMENT" TargetMode="External"/><Relationship Id="rId943" Type="http://schemas.openxmlformats.org/officeDocument/2006/relationships/hyperlink" Target="https://www.ebay.com/mesh/ord/details?mode=SH&amp;srn=2780&amp;orderid=12-15046-78212&amp;source=Orders&amp;ru=https%3A%2F%2Fwww.ebay.com%2Fsh%2Ford" TargetMode="External"/><Relationship Id="rId700" Type="http://schemas.openxmlformats.org/officeDocument/2006/relationships/hyperlink" Target="https://www.ebay.com/mesh/ord/details?mode=SH&amp;srn=2596&amp;orderid=17-14888-66325&amp;source=Orders&amp;ru=https%3A%2F%2Fwww.ebay.com%2Fsh%2Ford%2F%3Ffilter%3Dstatus%253AAWAITING_SHIPMENT" TargetMode="External"/><Relationship Id="rId942" Type="http://schemas.openxmlformats.org/officeDocument/2006/relationships/hyperlink" Target="https://www.ebay.com/mesh/ord/details?mode=SH&amp;srn=2778&amp;orderid=25-15023-21738&amp;source=Orders&amp;ru=https%3A%2F%2Fwww.ebay.com%2Fsh%2Ford%2F%3Ffilter%3Dstatus%253AAWAITING_SHIPMENT" TargetMode="External"/><Relationship Id="rId941" Type="http://schemas.openxmlformats.org/officeDocument/2006/relationships/hyperlink" Target="https://www.ebay.com/mesh/ord/details?mode=SH&amp;srn=2775&amp;orderid=09-15050-69752&amp;source=Orders&amp;ru=https%3A%2F%2Fwww.ebay.com%2Fsh%2Ford%2F%3Ffilter%3Dstatus%253AAWAITING_SHIPMENT" TargetMode="External"/><Relationship Id="rId940" Type="http://schemas.openxmlformats.org/officeDocument/2006/relationships/hyperlink" Target="https://www.ebay.com/mesh/ord/details?mode=SH&amp;srn=2776&amp;orderid=22-15027-80540&amp;source=Orders&amp;ru=https%3A%2F%2Fwww.ebay.com%2Fsh%2Ford%2F%3Ffilter%3Dstatus%253AAWAITING_SHIPMENT" TargetMode="External"/><Relationship Id="rId705" Type="http://schemas.openxmlformats.org/officeDocument/2006/relationships/hyperlink" Target="https://www.ebay.com/mesh/ord/details?mode=SH&amp;srn=2598&amp;orderid=21-14882-28059&amp;source=Orders&amp;ru=https%3A%2F%2Fwww.ebay.com%2Fsh%2Ford" TargetMode="External"/><Relationship Id="rId947" Type="http://schemas.openxmlformats.org/officeDocument/2006/relationships/hyperlink" Target="https://www.ebay.com/mesh/ord/details?mode=SH&amp;srn=1255&amp;orderid=11-15055-44299&amp;source=Orders&amp;ru=https%3A%2F%2Fwww.ebay.com%2Fsh%2Ford" TargetMode="External"/><Relationship Id="rId704" Type="http://schemas.openxmlformats.org/officeDocument/2006/relationships/hyperlink" Target="https://www.ebay.com/mesh/ord/details?mode=SH&amp;srn=2600&amp;orderid=05-14912-05435&amp;source=Orders&amp;ru=https%3A%2F%2Fwww.ebay.com%2Fsh%2Ford%2F%3Ffilter%3Dstatus%253AAWAITING_SHIPMENT" TargetMode="External"/><Relationship Id="rId946" Type="http://schemas.openxmlformats.org/officeDocument/2006/relationships/hyperlink" Target="https://order.ebay.com/ord/show?orderId=26-15026-34605" TargetMode="External"/><Relationship Id="rId703" Type="http://schemas.openxmlformats.org/officeDocument/2006/relationships/hyperlink" Target="https://www.ebay.com/mesh/ord/details?mode=SH&amp;srn=2602&amp;orderid=03-14915-24189&amp;source=Orders&amp;ru=https%3A%2F%2Fwww.ebay.com%2Fsh%2Ford%2F%3Ffilter%3Dstatus%253AAWAITING_SHIPMENT" TargetMode="External"/><Relationship Id="rId945" Type="http://schemas.openxmlformats.org/officeDocument/2006/relationships/hyperlink" Target="https://www.ebay.com/mesh/ord/details?mode=SH&amp;srn=2779&amp;orderid=02-15065-12277&amp;source=Orders&amp;ru=https%3A%2F%2Fwww.ebay.com%2Fsh%2Ford%2F%3Ffilter%3Dstatus%253AAWAITING_SHIPMENT" TargetMode="External"/><Relationship Id="rId702" Type="http://schemas.openxmlformats.org/officeDocument/2006/relationships/hyperlink" Target="https://www.ebay.com/mesh/ord/details?mode=SH&amp;srn=2597&amp;orderid=21-14881-65614&amp;source=Orders&amp;ru=https%3A%2F%2Fwww.ebay.com%2Fsh%2Ford%2F%3Ffilter%3Dstatus%253AAWAITING_SHIPMENT" TargetMode="External"/><Relationship Id="rId944" Type="http://schemas.openxmlformats.org/officeDocument/2006/relationships/hyperlink" Target="https://www.ebay.com/mesh/ord/details?mode=SH&amp;srn=2777&amp;orderid=19-15033-61971&amp;source=Orders&amp;ru=https%3A%2F%2Fwww.ebay.com%2Fsh%2Ford" TargetMode="External"/><Relationship Id="rId73" Type="http://schemas.openxmlformats.org/officeDocument/2006/relationships/hyperlink" Target="https://www.ebay.com/mesh/ord/details?mode=SH&amp;srn=1018&amp;orderid=02-14416-16101&amp;source=Orders&amp;ru=https%3A%2F%2Fwww.ebay.com%2Fsh%2Ford" TargetMode="External"/><Relationship Id="rId72" Type="http://schemas.openxmlformats.org/officeDocument/2006/relationships/hyperlink" Target="https://www.ebay.com/mesh/ord/details?mode=SH&amp;srn=1012&amp;orderid=24-14390-24723&amp;source=Orders&amp;ru=https%3A%2F%2Fwww.ebay.com%2Fsh%2Ford" TargetMode="External"/><Relationship Id="rId75" Type="http://schemas.openxmlformats.org/officeDocument/2006/relationships/hyperlink" Target="https://www.ebay.com/mesh/ord/details?mode=SH&amp;srn=2128&amp;orderid=25-14325-90157&amp;source=Orders&amp;ru=https%3A%2F%2Fwww.ebay.com%2Fsh%2Ford" TargetMode="External"/><Relationship Id="rId74" Type="http://schemas.openxmlformats.org/officeDocument/2006/relationships/hyperlink" Target="https://www.ebay.com/mesh/ord/details?mode=SH&amp;srn=1019&amp;orderid=17-14394-54144&amp;source=Orders&amp;ru=https%3A%2F%2Fwww.ebay.com%2Fsh%2Ford%2F%3Ffilter%3Dstatus%253AALL_ORDERS%26partialRefresh%3Dtrue" TargetMode="External"/><Relationship Id="rId77" Type="http://schemas.openxmlformats.org/officeDocument/2006/relationships/hyperlink" Target="https://www.ebay.com/mesh/ord/details?mode=SH&amp;srn=1022&amp;orderid=03-14417-32784&amp;source=Orders&amp;ru=https%3A%2F%2Fwww.ebay.com%2Fsh%2Ford" TargetMode="External"/><Relationship Id="rId76" Type="http://schemas.openxmlformats.org/officeDocument/2006/relationships/hyperlink" Target="https://www.ebay.com/mesh/ord/details?mode=SH&amp;srn=1023&amp;orderid=06-14414-60970&amp;source=Orders&amp;ru=https%3A%2F%2Fwww.ebay.com%2Fsh%2Ford" TargetMode="External"/><Relationship Id="rId79" Type="http://schemas.openxmlformats.org/officeDocument/2006/relationships/hyperlink" Target="https://www.ebay.com/mesh/ord/details?mode=SH&amp;srn=2134&amp;orderid=25-14330-29945&amp;source=Orders&amp;ru=https%3A%2F%2Fwww.ebay.com%2Fsh%2Ford" TargetMode="External"/><Relationship Id="rId78" Type="http://schemas.openxmlformats.org/officeDocument/2006/relationships/hyperlink" Target="https://www.ebay.com/mesh/ord/details?mode=SH&amp;srn=1020&amp;orderid=08-14408-71312&amp;source=Orders&amp;ru=https%3A%2F%2Fwww.ebay.com%2Fsh%2Ford" TargetMode="External"/><Relationship Id="rId939" Type="http://schemas.openxmlformats.org/officeDocument/2006/relationships/hyperlink" Target="https://www.ebay.com/mesh/ord/details?mode=SH&amp;srn=2773&amp;orderid=17-15035-91791&amp;source=Orders&amp;ru=https%3A%2F%2Fwww.ebay.com%2Fsh%2Ford%2F%3Ffilter%3Dstatus%253APAID_SHIPPED" TargetMode="External"/><Relationship Id="rId938" Type="http://schemas.openxmlformats.org/officeDocument/2006/relationships/hyperlink" Target="https://www.ebay.com/mesh/ord/details?mode=SH&amp;srn=2771&amp;orderid=03-15059-22331&amp;source=Orders&amp;ru=https%3A%2F%2Fwww.ebay.com%2Fsh%2Ford%2F%3Ffilter%3Dstatus%253AAWAITING_SHIPMENT" TargetMode="External"/><Relationship Id="rId937" Type="http://schemas.openxmlformats.org/officeDocument/2006/relationships/hyperlink" Target="https://www.ebay.com/mesh/ord/details?mode=SH&amp;srn=2769&amp;orderid=04-15055-92965&amp;source=Orders&amp;ru=https%3A%2F%2Fwww.ebay.com%2Fsh%2Ford%2F%3Ffilter%3Dstatus%253APAID_SHIPPED" TargetMode="External"/><Relationship Id="rId71" Type="http://schemas.openxmlformats.org/officeDocument/2006/relationships/hyperlink" Target="https://www.ebay.com/mesh/ord/details?mode=SH&amp;srn=1013&amp;orderid=19-14384-64205&amp;source=Orders&amp;ru=https%3A%2F%2Fwww.ebay.com%2Fsh%2Ford" TargetMode="External"/><Relationship Id="rId70" Type="http://schemas.openxmlformats.org/officeDocument/2006/relationships/hyperlink" Target="https://www.ebay.com/mesh/ord/details?mode=SH&amp;srn=1015&amp;orderid=20-14385-67943&amp;source=Orders&amp;ru=https%3A%2F%2Fwww.ebay.com%2Fsh%2Ford" TargetMode="External"/><Relationship Id="rId932" Type="http://schemas.openxmlformats.org/officeDocument/2006/relationships/hyperlink" Target="https://www.ebay.com/mesh/ord/details?mode=SH&amp;srn=2768&amp;orderid=16-15033-44000&amp;source=Orders&amp;ru=https%3A%2F%2Fwww.ebay.com%2Fsh%2Ford" TargetMode="External"/><Relationship Id="rId931" Type="http://schemas.openxmlformats.org/officeDocument/2006/relationships/hyperlink" Target="https://www.ebay.com/mesh/ord/details?mode=SH&amp;srn=2767&amp;orderid=08-15047-28525&amp;source=Orders&amp;ru=https%3A%2F%2Fwww.ebay.com%2Fsh%2Ford%2F%3Ffilter%3Dstatus%253AAWAITING_SHIPMENT" TargetMode="External"/><Relationship Id="rId930" Type="http://schemas.openxmlformats.org/officeDocument/2006/relationships/hyperlink" Target="https://www.ebay.com/mesh/ord/details?mode=SH&amp;srn=2763&amp;orderid=06-15048-16997&amp;source=Orders&amp;ru=https%3A%2F%2Fwww.ebay.com%2Fsh%2Ford" TargetMode="External"/><Relationship Id="rId936" Type="http://schemas.openxmlformats.org/officeDocument/2006/relationships/hyperlink" Target="https://www.ebay.com/mesh/ord/details?mode=SH&amp;srn=2770&amp;orderid=16-15035-34627&amp;source=Orders&amp;ru=https%3A%2F%2Fwww.ebay.com%2Fsh%2Ford%2F%3Ffilter%3Dstatus%253APAID_SHIPPED" TargetMode="External"/><Relationship Id="rId935" Type="http://schemas.openxmlformats.org/officeDocument/2006/relationships/hyperlink" Target="https://www.ebay.com/mesh/ord/details?mode=SH&amp;srn=1252&amp;orderid=01-15061-88942&amp;source=Orders&amp;ru=https%3A%2F%2Fwww.ebay.com%2Fsh%2Ford%2F%3Ffilter%3Dstatus%253AAWAITING_SHIPMENT" TargetMode="External"/><Relationship Id="rId934" Type="http://schemas.openxmlformats.org/officeDocument/2006/relationships/hyperlink" Target="https://www.ebay.com/mesh/ord/details?mode=SH&amp;srn=2772&amp;orderid=12-15043-41071&amp;source=Orders&amp;ru=https%3A%2F%2Fwww.ebay.com%2Fsh%2Ford%2F%3Ffilter%3Dstatus%253AAWAITING_SHIPMENT" TargetMode="External"/><Relationship Id="rId933" Type="http://schemas.openxmlformats.org/officeDocument/2006/relationships/hyperlink" Target="https://www.ebay.com/mesh/ord/details?mode=SH&amp;srn=1254&amp;orderid=10-15047-97413&amp;source=Orders&amp;ru=https%3A%2F%2Fwww.ebay.com%2Fsh%2Ford" TargetMode="External"/><Relationship Id="rId62" Type="http://schemas.openxmlformats.org/officeDocument/2006/relationships/hyperlink" Target="https://www.ebay.com/mesh/ord/details?mode=SH&amp;srn=998&amp;orderid=07-14365-60938&amp;source=Orders&amp;ru=https%3A%2F%2Fwww.ebay.com%2Fsh%2Ford" TargetMode="External"/><Relationship Id="rId1312" Type="http://schemas.openxmlformats.org/officeDocument/2006/relationships/table" Target="../tables/table34.xml"/><Relationship Id="rId61" Type="http://schemas.openxmlformats.org/officeDocument/2006/relationships/hyperlink" Target="https://www.ebay.com/mesh/ord/details?mode=SH&amp;srn=1008&amp;orderid=14-14381-19309&amp;source=Orders&amp;ru=https%3A%2F%2Fwww.ebay.com%2Fsh%2Ford" TargetMode="External"/><Relationship Id="rId1313" Type="http://schemas.openxmlformats.org/officeDocument/2006/relationships/table" Target="../tables/table35.xml"/><Relationship Id="rId64" Type="http://schemas.openxmlformats.org/officeDocument/2006/relationships/hyperlink" Target="https://www.ebay.com/mesh/ord/details?mode=SH&amp;srn=1010&amp;orderid=15-14383-77790&amp;source=Orders&amp;ru=https%3A%2F%2Fwww.ebay.com%2Fsh%2Ford" TargetMode="External"/><Relationship Id="rId1314" Type="http://schemas.openxmlformats.org/officeDocument/2006/relationships/table" Target="../tables/table36.xml"/><Relationship Id="rId63" Type="http://schemas.openxmlformats.org/officeDocument/2006/relationships/hyperlink" Target="https://www.ebay.com/mesh/ord/details?mode=SH&amp;srn=2145&amp;orderid=10-14387-72152&amp;source=Orders&amp;ru=https%3A%2F%2Fwww.ebay.com%2Fsh%2Ford%2F%3Ffilter%3Dstatus%253AAWAITING_SHIPMENT" TargetMode="External"/><Relationship Id="rId1315" Type="http://schemas.openxmlformats.org/officeDocument/2006/relationships/table" Target="../tables/table37.xml"/><Relationship Id="rId66" Type="http://schemas.openxmlformats.org/officeDocument/2006/relationships/hyperlink" Target="https://www.ebay.com/mesh/ord/details?mode=SH&amp;srn=1014&amp;orderid=23-14379-03592&amp;source=Orders&amp;ru=https%3A%2F%2Fwww.ebay.com%2Fsh%2Ford" TargetMode="External"/><Relationship Id="rId1316" Type="http://schemas.openxmlformats.org/officeDocument/2006/relationships/table" Target="../tables/table38.xml"/><Relationship Id="rId65" Type="http://schemas.openxmlformats.org/officeDocument/2006/relationships/hyperlink" Target="https://www.ebay.com/mesh/ord/details?mode=SH&amp;srn=1009&amp;orderid=26-14365-96945&amp;source=Orders&amp;ru=https%3A%2F%2Fwww.ebay.com%2Fsh%2Ford" TargetMode="External"/><Relationship Id="rId1317" Type="http://schemas.openxmlformats.org/officeDocument/2006/relationships/table" Target="../tables/table39.xml"/><Relationship Id="rId68" Type="http://schemas.openxmlformats.org/officeDocument/2006/relationships/hyperlink" Target="https://www.ebay.com/mesh/ord/details?mode=SH&amp;srn=1017&amp;orderid=04-14412-66765&amp;source=Orders&amp;ru=https%3A%2F%2Fwww.ebay.com%2Fsh%2Ford" TargetMode="External"/><Relationship Id="rId1318" Type="http://schemas.openxmlformats.org/officeDocument/2006/relationships/table" Target="../tables/table40.xml"/><Relationship Id="rId67" Type="http://schemas.openxmlformats.org/officeDocument/2006/relationships/hyperlink" Target="https://www.ebay.com/mesh/ord/details?mode=SH&amp;srn=1011&amp;orderid=15-14388-20244&amp;source=Orders&amp;ru=https%3A%2F%2Fwww.ebay.com%2Fsh%2Ford" TargetMode="External"/><Relationship Id="rId1319" Type="http://schemas.openxmlformats.org/officeDocument/2006/relationships/table" Target="../tables/table41.xml"/><Relationship Id="rId729" Type="http://schemas.openxmlformats.org/officeDocument/2006/relationships/hyperlink" Target="https://www.ebay.com/mesh/ord/details?mode=SH&amp;srn=1209&amp;orderid=20-14897-94822&amp;source=Orders&amp;ru=https%3A%2F%2Fwww.ebay.com%2Fsh%2Ford%2F%3Ffilter%3Dstatus%253AAWAITING_SHIPMENT" TargetMode="External"/><Relationship Id="rId728" Type="http://schemas.openxmlformats.org/officeDocument/2006/relationships/hyperlink" Target="https://www.ebay.com/mesh/ord/details?mode=SH&amp;srn=2621&amp;orderid=21-14894-59254&amp;source=Orders&amp;ru=https%3A%2F%2Fwww.ebay.com%2Fsh%2Ford" TargetMode="External"/><Relationship Id="rId60" Type="http://schemas.openxmlformats.org/officeDocument/2006/relationships/hyperlink" Target="https://www.ebay.com/mesh/ord/details?mode=SH&amp;srn=2143&amp;orderid=02-14395-52648&amp;source=Orders&amp;ru=https%3A%2F%2Fwww.ebay.com%2Fsh%2Ford%2F%3Ffilter%3Dstatus%253AAWAITING_SHIPMENT" TargetMode="External"/><Relationship Id="rId723" Type="http://schemas.openxmlformats.org/officeDocument/2006/relationships/hyperlink" Target="https://www.ebay.com/mesh/ord/details?mode=SH&amp;srn=2615&amp;orderid=17-14896-96445&amp;source=Orders&amp;ru=https%3A%2F%2Fwww.ebay.com%2Fsh%2Ford%2F%3Ffilter%3Dstatus%253AAWAITING_SHIPMENT" TargetMode="External"/><Relationship Id="rId965" Type="http://schemas.openxmlformats.org/officeDocument/2006/relationships/hyperlink" Target="https://www.ebay.com/mesh/ord/details?mode=SH&amp;srn=2801&amp;orderid=08-15069-80740&amp;source=Orders&amp;ru=https%3A%2F%2Fwww.ebay.com%2Fsh%2Ford" TargetMode="External"/><Relationship Id="rId722" Type="http://schemas.openxmlformats.org/officeDocument/2006/relationships/hyperlink" Target="https://www.ebay.com/ord/show?orderid=22-14884-42662" TargetMode="External"/><Relationship Id="rId964" Type="http://schemas.openxmlformats.org/officeDocument/2006/relationships/hyperlink" Target="https://www.ebay.com/mesh/ord/details?mode=SH&amp;srn=2806&amp;orderid=06-15077-54762&amp;source=Orders&amp;ru=https%3A%2F%2Fwww.ebay.com%2Fsh%2Ford%2F%3Ffilter%3Dstatus%253AAWAITING_SHIPMENT" TargetMode="External"/><Relationship Id="rId721" Type="http://schemas.openxmlformats.org/officeDocument/2006/relationships/hyperlink" Target="https://www.ebay.com/mesh/ord/details?mode=SH&amp;srn=1206&amp;orderid=10-14905-29604&amp;source=Orders&amp;ru=https%3A%2F%2Fwww.ebay.com%2Fsh%2Ford%2F%3Ffilter%3Dstatus%253APAID_SHIPPED" TargetMode="External"/><Relationship Id="rId963" Type="http://schemas.openxmlformats.org/officeDocument/2006/relationships/hyperlink" Target="https://www.ebay.com/mesh/ord/details?mode=SH&amp;srn=2709&amp;orderid=04-15004-32972&amp;source=Orders&amp;ru=https%3A%2F%2Fwww.ebay.com%2Fsh%2Ford" TargetMode="External"/><Relationship Id="rId720" Type="http://schemas.openxmlformats.org/officeDocument/2006/relationships/hyperlink" Target="https://www.ebay.com/mesh/ord/details?mode=SH&amp;srn=2607&amp;orderid=18-14891-88284&amp;source=Orders&amp;ru=https%3A%2F%2Fwww.ebay.com%2Fsh%2Ford%2F%3Ffilter%3Dstatus%253APAID_SHIPPED" TargetMode="External"/><Relationship Id="rId962" Type="http://schemas.openxmlformats.org/officeDocument/2006/relationships/hyperlink" Target="https://www.ebay.com/mesh/ord/details?mode=SH&amp;srn=2793&amp;orderid=06-15066-67760&amp;source=Orders&amp;ru=https%3A%2F%2Fwww.ebay.com%2Fsh%2Ford" TargetMode="External"/><Relationship Id="rId727" Type="http://schemas.openxmlformats.org/officeDocument/2006/relationships/hyperlink" Target="https://www.ebay.com/mesh/ord/details?mode=SH&amp;srn=2618&amp;orderid=19-14896-82975&amp;source=Orders&amp;ru=https%3A%2F%2Fwww.ebay.com%2Fsh%2Ford" TargetMode="External"/><Relationship Id="rId969" Type="http://schemas.openxmlformats.org/officeDocument/2006/relationships/hyperlink" Target="https://www.ebay.com/mesh/ord/details?mode=SH&amp;srn=1256&amp;orderid=23-15039-35664&amp;source=Orders&amp;ru=https%3A%2F%2Fwww.ebay.com%2Fsh%2Ford%2F%3Ffilter%3Dstatus%253APAID_SHIPPED" TargetMode="External"/><Relationship Id="rId726" Type="http://schemas.openxmlformats.org/officeDocument/2006/relationships/hyperlink" Target="https://www.ebay.com/mesh/ord/details?mode=SH&amp;srn=2622&amp;orderid=21-14896-91504&amp;source=Orders&amp;ru=https%3A%2F%2Fwww.ebay.com%2Fsh%2Ford" TargetMode="External"/><Relationship Id="rId968" Type="http://schemas.openxmlformats.org/officeDocument/2006/relationships/hyperlink" Target="https://order.ebay.com/ord/show?orderId=21-15046-83963" TargetMode="External"/><Relationship Id="rId725" Type="http://schemas.openxmlformats.org/officeDocument/2006/relationships/hyperlink" Target="https://www.ebay.com/mesh/ord/details?mode=SH&amp;srn=2620&amp;orderid=23-14891-40204&amp;source=Orders&amp;ru=https%3A%2F%2Fwww.ebay.com%2Fsh%2Ford" TargetMode="External"/><Relationship Id="rId967" Type="http://schemas.openxmlformats.org/officeDocument/2006/relationships/hyperlink" Target="https://www.ebay.com/mesh/ord/details?mode=SH&amp;srn=2798&amp;orderid=09-15065-28896&amp;source=Orders&amp;ru=https%3A%2F%2Fwww.ebay.com%2Fsh%2Ford" TargetMode="External"/><Relationship Id="rId724" Type="http://schemas.openxmlformats.org/officeDocument/2006/relationships/hyperlink" Target="https://www.ebay.com/mesh/ord/details?mode=SH&amp;srn=2624&amp;orderid=07-14923-21351&amp;source=Orders&amp;ru=https%3A%2F%2Fwww.ebay.com%2Fsh%2Ford%2F%3Ffilter%3Dstatus%253AALL_ORDERS" TargetMode="External"/><Relationship Id="rId966" Type="http://schemas.openxmlformats.org/officeDocument/2006/relationships/hyperlink" Target="https://www.ebay.com/mesh/ord/details?mode=SH&amp;srn=2800&amp;orderid=03-15078-56126&amp;source=Orders&amp;ru=https%3A%2F%2Fwww.ebay.com%2Fsh%2Ford" TargetMode="External"/><Relationship Id="rId69" Type="http://schemas.openxmlformats.org/officeDocument/2006/relationships/hyperlink" Target="https://www.ebay.com/mesh/ord/details?mode=SH&amp;srn=1016&amp;orderid=09-14403-82155&amp;source=Orders&amp;ru=https%3A%2F%2Fwww.ebay.com%2Fsh%2Ford" TargetMode="External"/><Relationship Id="rId961" Type="http://schemas.openxmlformats.org/officeDocument/2006/relationships/hyperlink" Target="https://www.ebay.com/mesh/ord/details?mode=SH&amp;srn=2792&amp;orderid=02-15073-52049&amp;source=Orders&amp;ru=https%3A%2F%2Fwww.ebay.com%2Fsh%2Ford" TargetMode="External"/><Relationship Id="rId960" Type="http://schemas.openxmlformats.org/officeDocument/2006/relationships/hyperlink" Target="https://www.ebay.com/mesh/ord/details?mode=SH&amp;srn=2794&amp;orderid=11-15057-40372&amp;source=Orders&amp;ru=https%3A%2F%2Fwww.ebay.com%2Fsh%2Ford%2F%3Ffilter%3Dstatus%253AAWAITING_SHIPMENT" TargetMode="External"/><Relationship Id="rId1310" Type="http://schemas.openxmlformats.org/officeDocument/2006/relationships/table" Target="../tables/table32.xml"/><Relationship Id="rId1311" Type="http://schemas.openxmlformats.org/officeDocument/2006/relationships/table" Target="../tables/table33.xml"/><Relationship Id="rId51" Type="http://schemas.openxmlformats.org/officeDocument/2006/relationships/hyperlink" Target="https://www.ebay.com/mesh/ord/details?mode=SH&amp;srn=1003&amp;orderid=02-14387-77262&amp;source=Orders&amp;ru=https%3A%2F%2Fwww.ebay.com%2Fsh%2Ford" TargetMode="External"/><Relationship Id="rId1301" Type="http://schemas.openxmlformats.org/officeDocument/2006/relationships/table" Target="../tables/table23.xml"/><Relationship Id="rId50" Type="http://schemas.openxmlformats.org/officeDocument/2006/relationships/hyperlink" Target="https://www.ebay.com/mesh/ord/details?mode=SH&amp;srn=2141&amp;orderid=13-14369-76770&amp;source=Orders&amp;ru=https%3A%2F%2Fwww.ebay.com%2Fsh%2Ford" TargetMode="External"/><Relationship Id="rId1302" Type="http://schemas.openxmlformats.org/officeDocument/2006/relationships/table" Target="../tables/table24.xml"/><Relationship Id="rId53" Type="http://schemas.openxmlformats.org/officeDocument/2006/relationships/hyperlink" Target="https://www.ebay.com/mesh/ord/details?mode=SH&amp;srn=1002&amp;orderid=05-14383-44662&amp;source=Orders&amp;ru=https%3A%2F%2Fwww.ebay.com%2Fsh%2Ford" TargetMode="External"/><Relationship Id="rId1303" Type="http://schemas.openxmlformats.org/officeDocument/2006/relationships/table" Target="../tables/table25.xml"/><Relationship Id="rId52" Type="http://schemas.openxmlformats.org/officeDocument/2006/relationships/hyperlink" Target="https://www.ebay.com/mesh/ord/details?mode=SH&amp;srn=1004&amp;orderid=24-14370-99855&amp;source=Orders&amp;ru=https%3A%2F%2Fwww.ebay.com%2Fsh%2Ford" TargetMode="External"/><Relationship Id="rId1304" Type="http://schemas.openxmlformats.org/officeDocument/2006/relationships/table" Target="../tables/table26.xml"/><Relationship Id="rId55" Type="http://schemas.openxmlformats.org/officeDocument/2006/relationships/hyperlink" Target="https://www.ebay.com/mesh/ord/details?mode=SH&amp;srn=2142&amp;orderid=27-14354-11236&amp;source=Orders&amp;ru=https%3A%2F%2Fwww.ebay.com%2Fsh%2Ford" TargetMode="External"/><Relationship Id="rId1305" Type="http://schemas.openxmlformats.org/officeDocument/2006/relationships/table" Target="../tables/table27.xml"/><Relationship Id="rId54" Type="http://schemas.openxmlformats.org/officeDocument/2006/relationships/hyperlink" Target="https://www.ebay.com/mesh/ord/details?mode=SH&amp;srn=1001&amp;orderid=17-14364-69946&amp;source=Orders&amp;ru=https%3A%2F%2Fwww.ebay.com%2Fsh%2Ford" TargetMode="External"/><Relationship Id="rId1306" Type="http://schemas.openxmlformats.org/officeDocument/2006/relationships/table" Target="../tables/table28.xml"/><Relationship Id="rId57" Type="http://schemas.openxmlformats.org/officeDocument/2006/relationships/hyperlink" Target="https://www.ebay.com/mesh/ord/details?mode=SH&amp;srn=1007&amp;orderid=27-14358-34102&amp;source=Orders&amp;ru=https%3A%2F%2Fwww.ebay.com%2Fsh%2Ford" TargetMode="External"/><Relationship Id="rId1307" Type="http://schemas.openxmlformats.org/officeDocument/2006/relationships/table" Target="../tables/table29.xml"/><Relationship Id="rId56" Type="http://schemas.openxmlformats.org/officeDocument/2006/relationships/hyperlink" Target="https://www.ebay.com/mesh/ord/details?mode=SH&amp;srn=1005&amp;orderid=27-14354-65233&amp;source=Orders&amp;ru=https%3A%2F%2Fwww.ebay.com%2Fsh%2Ford%2F%3Ffilter%3Dstatus%253AAWAITING_SHIPMENT" TargetMode="External"/><Relationship Id="rId1308" Type="http://schemas.openxmlformats.org/officeDocument/2006/relationships/table" Target="../tables/table30.xml"/><Relationship Id="rId1309" Type="http://schemas.openxmlformats.org/officeDocument/2006/relationships/table" Target="../tables/table31.xml"/><Relationship Id="rId719" Type="http://schemas.openxmlformats.org/officeDocument/2006/relationships/hyperlink" Target="https://www.ebay.com/mesh/ord/details?mode=SH&amp;srn=2611&amp;orderid=19-14891-16109&amp;source=Orders&amp;ru=https%3A%2F%2Fwww.ebay.com%2Fsh%2Ford%2F%3Ffilter%3Dstatus%253APAID_SHIPPED" TargetMode="External"/><Relationship Id="rId718" Type="http://schemas.openxmlformats.org/officeDocument/2006/relationships/hyperlink" Target="https://www.ebay.com/mesh/ord/details?mode=SH&amp;srn=2609&amp;orderid=24-14897-12839&amp;source=Orders&amp;ru=https%3A%2F%2Fwww.ebay.com%2Fsh%2Ford" TargetMode="External"/><Relationship Id="rId717" Type="http://schemas.openxmlformats.org/officeDocument/2006/relationships/hyperlink" Target="https://www.ebay.com/mesh/ord/details?mode=SH&amp;srn=1192&amp;orderid=02-14867-16983&amp;source=Orders&amp;ru=https%3A%2F%2Fwww.ebay.com%2Fsh%2Ford" TargetMode="External"/><Relationship Id="rId959" Type="http://schemas.openxmlformats.org/officeDocument/2006/relationships/hyperlink" Target="https://www.ebay.com/mesh/ord/details?mode=SH&amp;srn=2791&amp;orderid=26-15029-56050&amp;source=Orders&amp;ru=https%3A%2F%2Fwww.ebay.com%2Fsh%2Ford%2F%3Ffilter%3Dstatus%253AAWAITING_SHIPMENT" TargetMode="External"/><Relationship Id="rId712" Type="http://schemas.openxmlformats.org/officeDocument/2006/relationships/hyperlink" Target="https://www.ebay.com/mesh/ord/details?mode=SH&amp;srn=2610&amp;orderid=18-14892-57918&amp;source=Orders&amp;ru=https%3A%2F%2Fwww.ebay.com%2Fsh%2Ford%2F%3Ffilter%3Dstatus%253AAWAITING_SHIPMENT" TargetMode="External"/><Relationship Id="rId954" Type="http://schemas.openxmlformats.org/officeDocument/2006/relationships/hyperlink" Target="https://www.ebay.com/mesh/ord/details?mode=SH&amp;srn=2784&amp;orderid=09-15055-59861&amp;source=Orders&amp;ru=https%3A%2F%2Fwww.ebay.com%2Fsh%2Ford%2F%3Ffilter%3Dstatus%253APAID_SHIPPED" TargetMode="External"/><Relationship Id="rId711" Type="http://schemas.openxmlformats.org/officeDocument/2006/relationships/hyperlink" Target="https://www.ebay.com/mesh/ord/details?mode=SH&amp;srn=2601&amp;orderid=12-14899-54077&amp;source=Orders&amp;ru=https%3A%2F%2Fwww.ebay.com%2Fsh%2Ford%2F%3Ffilter%3Dstatus%253AAWAITING_SHIPMENT" TargetMode="External"/><Relationship Id="rId953" Type="http://schemas.openxmlformats.org/officeDocument/2006/relationships/hyperlink" Target="https://www.ebay.com/mesh/ord/details?mode=SH&amp;srn=2787&amp;orderid=10-15055-45736&amp;source=Orders&amp;ru=https%3A%2F%2Fwww.ebay.com%2Fsh%2Ford%2F%3Ffilter%3Dstatus%253APAID_SHIPPED" TargetMode="External"/><Relationship Id="rId710" Type="http://schemas.openxmlformats.org/officeDocument/2006/relationships/hyperlink" Target="https://www.ebay.com/mesh/ord/details?mode=SH&amp;srn=2599&amp;orderid=02-14916-43081&amp;source=Orders&amp;ru=https%3A%2F%2Fwww.ebay.com%2Fsh%2Ford%2F%3Ffilter%3Dstatus%253AAWAITING_SHIPMENT" TargetMode="External"/><Relationship Id="rId952" Type="http://schemas.openxmlformats.org/officeDocument/2006/relationships/hyperlink" Target="https://www.ebay.com/mesh/ord/details?mode=SH&amp;srn=2788&amp;orderid=04-15067-85568&amp;source=Orders&amp;ru=https%3A%2F%2Fwww.ebay.com%2Fsh%2Ford%2F%3Ffilter%3Dstatus%253APAID_SHIPPED" TargetMode="External"/><Relationship Id="rId951" Type="http://schemas.openxmlformats.org/officeDocument/2006/relationships/hyperlink" Target="https://www.ebay.com/mesh/ord/details?orderid=01-14878-40414" TargetMode="External"/><Relationship Id="rId716" Type="http://schemas.openxmlformats.org/officeDocument/2006/relationships/hyperlink" Target="https://www.ebay.com/mesh/ord/details?mode=SH&amp;srn=2614&amp;orderid=18-14894-07951&amp;source=Orders&amp;ru=https%3A%2F%2Fwww.ebay.com%2Fsh%2Ford" TargetMode="External"/><Relationship Id="rId958" Type="http://schemas.openxmlformats.org/officeDocument/2006/relationships/hyperlink" Target="https://www.ebay.com/mesh/ord/details?mode=SH&amp;srn=2790&amp;orderid=01-15076-12145&amp;source=Orders&amp;ru=https%3A%2F%2Fwww.ebay.com%2Fsh%2Ford%2F%3Ffilter%3Dstatus%253AAWAITING_SHIPMENT" TargetMode="External"/><Relationship Id="rId715" Type="http://schemas.openxmlformats.org/officeDocument/2006/relationships/hyperlink" Target="https://www.ebay.com/mesh/ord/details?mode=SH&amp;srn=2612&amp;orderid=13-14901-93544&amp;source=Orders&amp;ru=https%3A%2F%2Fwww.ebay.com%2Fsh%2Ford" TargetMode="External"/><Relationship Id="rId957" Type="http://schemas.openxmlformats.org/officeDocument/2006/relationships/hyperlink" Target="https://www.ebay.com/mesh/ord/details?mode=SH&amp;srn=2786&amp;orderid=21-15035-32191&amp;source=Orders&amp;ru=https%3A%2F%2Fwww.ebay.com%2Fsh%2Ford%2F%3Ffilter%3Dstatus%253AAWAITING_SHIPMENT" TargetMode="External"/><Relationship Id="rId714" Type="http://schemas.openxmlformats.org/officeDocument/2006/relationships/hyperlink" Target="https://www.ebay.com/mesh/ord/details?mode=SH&amp;srn=2613&amp;orderid=04-14918-05825&amp;source=Orders&amp;ru=https%3A%2F%2Fwww.ebay.com%2Fsh%2Ford%2F%3Ffilter%3Dstatus%253AAWAITING_SHIPMENT" TargetMode="External"/><Relationship Id="rId956" Type="http://schemas.openxmlformats.org/officeDocument/2006/relationships/hyperlink" Target="https://www.ebay.com/mesh/ord/details?mode=SH&amp;srn=2781&amp;orderid=13-15047-99923&amp;source=Orders&amp;ru=https%3A%2F%2Fwww.ebay.com%2Fsh%2Ford%2F%3Ffilter%3Dstatus%253APAID_SHIPPED" TargetMode="External"/><Relationship Id="rId713" Type="http://schemas.openxmlformats.org/officeDocument/2006/relationships/hyperlink" Target="https://www.ebay.com/mesh/ord/details?mode=SH&amp;srn=2608&amp;orderid=25-14880-29677&amp;source=Orders&amp;ru=https%3A%2F%2Fwww.ebay.com%2Fsh%2Ford%2F%3Ffilter%3Dstatus%253APAID_SHIPPED" TargetMode="External"/><Relationship Id="rId955" Type="http://schemas.openxmlformats.org/officeDocument/2006/relationships/hyperlink" Target="https://www.ebay.com/mesh/ord/details?mode=SH&amp;srn=2783&amp;orderid=15-15044-66904&amp;source=Orders&amp;ru=https%3A%2F%2Fwww.ebay.com%2Fsh%2Ford%2F%3Ffilter%3Dstatus%253APAID_SHIPPED" TargetMode="External"/><Relationship Id="rId59" Type="http://schemas.openxmlformats.org/officeDocument/2006/relationships/hyperlink" Target="https://www.ebay.com/mesh/ord/details?orderid=14-14379-56031" TargetMode="External"/><Relationship Id="rId58" Type="http://schemas.openxmlformats.org/officeDocument/2006/relationships/hyperlink" Target="https://www.ebay.com/mesh/ord/details?mode=SH&amp;srn=1006&amp;orderid=09-14383-32413&amp;source=Orders&amp;ru=https%3A%2F%2Fwww.ebay.com%2Fsh%2Ford%2F%3Ffilter%3Dstatus%253AALL_ORDERS%26partialRefresh%3Dtrue" TargetMode="External"/><Relationship Id="rId950" Type="http://schemas.openxmlformats.org/officeDocument/2006/relationships/hyperlink" Target="https://www.ebay.com/mesh/ord/details?mode=SH&amp;srn=2789&amp;orderid=02-15072-44910&amp;source=Orders&amp;ru=https%3A%2F%2Fwww.ebay.com%2Fsh%2Ford%2F%3Ffilter%3Dstatus%253AAWAITING_SHIPMENT" TargetMode="External"/><Relationship Id="rId1300" Type="http://schemas.openxmlformats.org/officeDocument/2006/relationships/table" Target="../tables/table22.xml"/><Relationship Id="rId590" Type="http://schemas.openxmlformats.org/officeDocument/2006/relationships/hyperlink" Target="https://www.ebay.com/mesh/ord/details?mode=SH&amp;srn=2526&amp;orderid=01-14874-91493&amp;source=Orders&amp;ru=https%3A%2F%2Fwww.ebay.com%2Fsh%2Ford" TargetMode="External"/><Relationship Id="rId107" Type="http://schemas.openxmlformats.org/officeDocument/2006/relationships/hyperlink" Target="https://www.ebay.com/mesh/ord/details?mode=SH&amp;srn=1036&amp;orderid=19-14413-35202&amp;source=Orders&amp;ru=https%3A%2F%2Fwww.ebay.com%2Fsh%2Ford" TargetMode="External"/><Relationship Id="rId349" Type="http://schemas.openxmlformats.org/officeDocument/2006/relationships/hyperlink" Target="https://www.ebay.com/mesh/ord/details?mode=SH&amp;srn=1141&amp;orderid=13-14686-99816&amp;source=Orders&amp;ru=https%3A%2F%2Fwww.ebay.com%2Fsh%2Ford%2F%3Ffilter%3Dstatus%253APAID_SHIPPED" TargetMode="External"/><Relationship Id="rId106" Type="http://schemas.openxmlformats.org/officeDocument/2006/relationships/hyperlink" Target="https://www.ebay.com/mesh/ord/details?mode=SH&amp;srn=1038&amp;orderid=02-14440-97772&amp;source=Orders&amp;ru=https%3A%2F%2Fwww.ebay.com%2Fsh%2Ford" TargetMode="External"/><Relationship Id="rId348" Type="http://schemas.openxmlformats.org/officeDocument/2006/relationships/hyperlink" Target="https://www.ebay.com/mesh/ord/details?mode=SH&amp;srn=1140&amp;orderid=20-14673-48877&amp;source=Orders&amp;ru=https%3A%2F%2Fwww.ebay.com%2Fsh%2Ford%2F%3Ffilter%3Dstatus%253AALL_ORDERS%26partialRefresh%3Dtrue" TargetMode="External"/><Relationship Id="rId105" Type="http://schemas.openxmlformats.org/officeDocument/2006/relationships/hyperlink" Target="https://www.ebay.com/mesh/ord/details?mode=SH&amp;srn=1040&amp;orderid=08-14438-03219&amp;source=Orders&amp;ru=https%3A%2F%2Fwww.ebay.com%2Fsh%2Ford" TargetMode="External"/><Relationship Id="rId347" Type="http://schemas.openxmlformats.org/officeDocument/2006/relationships/hyperlink" Target="https://www.ebay.com/mesh/ord/details?mode=SH&amp;srn=2333&amp;orderid=26-14664-72462&amp;source=Orders&amp;ru=https%3A%2F%2Fwww.ebay.com%2Fsh%2Ford%2F%3Ffilter%3Dstatus%253AAWAITING_SHIPMENT" TargetMode="External"/><Relationship Id="rId589" Type="http://schemas.openxmlformats.org/officeDocument/2006/relationships/hyperlink" Target="https://www.ebay.com/mesh/ord/details?mode=SH&amp;srn=1192&amp;orderid=02-14867-16983&amp;source=Orders&amp;ru=https%3A%2F%2Fwww.ebay.com%2Fsh%2Ford" TargetMode="External"/><Relationship Id="rId104" Type="http://schemas.openxmlformats.org/officeDocument/2006/relationships/hyperlink" Target="https://www.ebay.com/mesh/ord/details?mode=SH&amp;srn=1039&amp;orderid=17-14423-42408&amp;source=Orders&amp;ru=https%3A%2F%2Fwww.ebay.com%2Fsh%2Ford" TargetMode="External"/><Relationship Id="rId346" Type="http://schemas.openxmlformats.org/officeDocument/2006/relationships/hyperlink" Target="https://www.ebay.com/mesh/ord/details?mode=SH&amp;srn=2334&amp;orderid=10-14690-05570&amp;source=Orders&amp;ru=https%3A%2F%2Fwww.ebay.com%2Fsh%2Ford%2F%3Ffilter%3Dstatus%253AAWAITING_SHIPMENT" TargetMode="External"/><Relationship Id="rId588" Type="http://schemas.openxmlformats.org/officeDocument/2006/relationships/hyperlink" Target="https://www.ebay.com/ord/show?orderid=02-14795-29524" TargetMode="External"/><Relationship Id="rId109" Type="http://schemas.openxmlformats.org/officeDocument/2006/relationships/hyperlink" Target="https://www.ebay.com/mesh/ord/details?mode=SH&amp;srn=1041&amp;orderid=09-14441-94473&amp;source=Orders&amp;ru=https%3A%2F%2Fwww.ebay.com%2Fsh%2Ford" TargetMode="External"/><Relationship Id="rId108" Type="http://schemas.openxmlformats.org/officeDocument/2006/relationships/hyperlink" Target="https://www.ebay.com/mesh/ord/details?mode=SH&amp;srn=2155&amp;orderid=10-14436-79112&amp;source=Orders&amp;ru=https%3A%2F%2Fwww.ebay.com%2Fsh%2Ford" TargetMode="External"/><Relationship Id="rId341" Type="http://schemas.openxmlformats.org/officeDocument/2006/relationships/hyperlink" Target="https://www.ebay.com/mesh/ord/details?mode=SH&amp;srn=2320&amp;orderid=20-14656-35009&amp;source=Orders&amp;ru=https%3A%2F%2Fwww.ebay.com%2Fsh%2Ford" TargetMode="External"/><Relationship Id="rId583" Type="http://schemas.openxmlformats.org/officeDocument/2006/relationships/hyperlink" Target="https://www.ebay.com/mesh/ord/details?orderid=01-14744-93902" TargetMode="External"/><Relationship Id="rId340" Type="http://schemas.openxmlformats.org/officeDocument/2006/relationships/hyperlink" Target="https://www.ebay.com/mesh/ord/details?mode=SH&amp;srn=2319&amp;orderid=16-14662-11951&amp;source=Orders&amp;ru=https%3A%2F%2Fwww.ebay.com%2Fsh%2Ford" TargetMode="External"/><Relationship Id="rId582" Type="http://schemas.openxmlformats.org/officeDocument/2006/relationships/hyperlink" Target="https://www.ebay.com/mesh/ord/details?mode=SH&amp;srn=2509&amp;orderid=19-14828-90543&amp;source=Orders&amp;ru=https%3A%2F%2Fwww.ebay.com%2Fsh%2Ford%2F%3Ffilter%3Dstatus%253AAWAITING_SHIPMENT" TargetMode="External"/><Relationship Id="rId581" Type="http://schemas.openxmlformats.org/officeDocument/2006/relationships/hyperlink" Target="https://www.ebay.com/mesh/ord/details?mode=SH&amp;srn=2508&amp;orderid=23-14820-12506&amp;source=Orders&amp;ru=https%3A%2F%2Fwww.ebay.com%2Fsh%2Ford%2F%3Ffilter%3Dstatus%253AAWAITING_SHIPMENT" TargetMode="External"/><Relationship Id="rId580" Type="http://schemas.openxmlformats.org/officeDocument/2006/relationships/hyperlink" Target="https://www.ebay.com/mesh/ord/details?mode=SH&amp;srn=2505&amp;orderid=22-14819-14879&amp;source=Orders&amp;ru=https%3A%2F%2Fwww.ebay.com%2Fsh%2Ford" TargetMode="External"/><Relationship Id="rId103" Type="http://schemas.openxmlformats.org/officeDocument/2006/relationships/hyperlink" Target="https://www.ebay.com/mesh/ord/details?mode=SH&amp;srn=1035&amp;orderid=02-14436-45507&amp;source=Orders&amp;ru=https%3A%2F%2Fwww.ebay.com%2Fsh%2Ford" TargetMode="External"/><Relationship Id="rId345" Type="http://schemas.openxmlformats.org/officeDocument/2006/relationships/hyperlink" Target="https://www.ebay.com/mesh/ord/details?mode=SH&amp;srn=2335&amp;orderid=07-14695-20193&amp;source=Orders&amp;ru=https%3A%2F%2Fwww.ebay.com%2Fsh%2Ford%2F%3Ffilter%3Dstatus%253AAWAITING_SHIPMENT" TargetMode="External"/><Relationship Id="rId587" Type="http://schemas.openxmlformats.org/officeDocument/2006/relationships/hyperlink" Target="https://www.ebay.com/mesh/ord/details?mode=SH&amp;srn=2507&amp;orderid=20-14824-80740&amp;source=Orders&amp;ru=https%3A%2F%2Fwww.ebay.com%2Fsh%2Ford" TargetMode="External"/><Relationship Id="rId102" Type="http://schemas.openxmlformats.org/officeDocument/2006/relationships/hyperlink" Target="https://www.ebay.com/mesh/ord/details?mode=SH&amp;srn=2154&amp;orderid=10-14435-40922&amp;source=Orders&amp;ru=https%3A%2F%2Fwww.ebay.com%2Fsh%2Ford" TargetMode="External"/><Relationship Id="rId344" Type="http://schemas.openxmlformats.org/officeDocument/2006/relationships/hyperlink" Target="https://www.ebay.com/mesh/ord/details?mode=SH&amp;srn=2323&amp;orderid=27-14650-69974&amp;source=Orders&amp;ru=https%3A%2F%2Fwww.ebay.com%2Fsh%2Ford" TargetMode="External"/><Relationship Id="rId586" Type="http://schemas.openxmlformats.org/officeDocument/2006/relationships/hyperlink" Target="https://www.ebay.com/mesh/ord/details?mode=SH&amp;srn=2510&amp;orderid=03-14857-68669&amp;source=Orders&amp;ru=https%3A%2F%2Fwww.ebay.com%2Fsh%2Ford" TargetMode="External"/><Relationship Id="rId101" Type="http://schemas.openxmlformats.org/officeDocument/2006/relationships/hyperlink" Target="https://www.ebay.com/mesh/ord/details?mode=SH&amp;srn=2152&amp;orderid=23-14408-27824&amp;source=Orders&amp;ru=https%3A%2F%2Fwww.ebay.com%2Fsh%2Ford" TargetMode="External"/><Relationship Id="rId343" Type="http://schemas.openxmlformats.org/officeDocument/2006/relationships/hyperlink" Target="https://www.ebay.com/mesh/ord/details?mode=SH&amp;srn=2324&amp;orderid=22-14658-46555&amp;source=Orders&amp;ru=https%3A%2F%2Fwww.ebay.com%2Fsh%2Ford" TargetMode="External"/><Relationship Id="rId585" Type="http://schemas.openxmlformats.org/officeDocument/2006/relationships/hyperlink" Target="https://www.ebay.com/mesh/ord/details?mode=SH&amp;srn=2511&amp;orderid=23-14825-67123&amp;source=Orders&amp;ru=https%3A%2F%2Fwww.ebay.com%2Fsh%2Ford" TargetMode="External"/><Relationship Id="rId100" Type="http://schemas.openxmlformats.org/officeDocument/2006/relationships/hyperlink" Target="https://www.ebay.com/mesh/ord/details?mode=SH&amp;srn=2153&amp;orderid=18-14423-71355&amp;source=Orders&amp;ru=https%3A%2F%2Fwww.ebay.com%2Fsh%2Ford" TargetMode="External"/><Relationship Id="rId342" Type="http://schemas.openxmlformats.org/officeDocument/2006/relationships/hyperlink" Target="https://www.ebay.com/mesh/ord/details?mode=SH&amp;srn=2331&amp;orderid=18-14674-65307&amp;source=Orders&amp;ru=https%3A%2F%2Fwww.ebay.com%2Fsh%2Ford" TargetMode="External"/><Relationship Id="rId584" Type="http://schemas.openxmlformats.org/officeDocument/2006/relationships/hyperlink" Target="https://www.ebay.com/mesh/ord/details?mode=SH&amp;srn=1190&amp;orderid=03-14853-99257&amp;source=Orders&amp;ru=https%3A%2F%2Fwww.ebay.com%2Fsh%2Ford" TargetMode="External"/><Relationship Id="rId338" Type="http://schemas.openxmlformats.org/officeDocument/2006/relationships/hyperlink" Target="https://www.ebay.com/mesh/ord/details?mode=SH&amp;srn=2326&amp;orderid=06-14689-46758&amp;source=Orders&amp;ru=https%3A%2F%2Fwww.ebay.com%2Fsh%2Ford%2F%3Ffilter%3Dstatus%253APAID_SHIPPED" TargetMode="External"/><Relationship Id="rId337" Type="http://schemas.openxmlformats.org/officeDocument/2006/relationships/hyperlink" Target="https://www.ebay.com/mesh/ord/details?mode=SH&amp;srn=2330&amp;orderid=24-14679-60159&amp;source=Orders&amp;ru=https%3A%2F%2Fwww.ebay.com%2Fsh%2Ford%2F%3Ffilter%3Dstatus%253APAID_SHIPPED" TargetMode="External"/><Relationship Id="rId579" Type="http://schemas.openxmlformats.org/officeDocument/2006/relationships/hyperlink" Target="https://www.ebay.com/mesh/ord/details?mode=SH&amp;srn=2484&amp;orderid=27-14794-42713&amp;source=Orders&amp;ru=https%3A%2F%2Fwww.ebay.com%2Fsh%2Ford" TargetMode="External"/><Relationship Id="rId336" Type="http://schemas.openxmlformats.org/officeDocument/2006/relationships/hyperlink" Target="https://www.ebay.com/mesh/ord/details?mode=SH&amp;srn=2321&amp;orderid=17-14661-91767&amp;source=Orders&amp;ru=https%3A%2F%2Fwww.ebay.com%2Fsh%2Ford%2F%3Ffilter%3Dstatus%253AAWAITING_SHIPMENT" TargetMode="External"/><Relationship Id="rId578" Type="http://schemas.openxmlformats.org/officeDocument/2006/relationships/hyperlink" Target="https://www.ebay.com/mesh/ord/details?mode=SH&amp;srn=2503&amp;orderid=05-14847-57469&amp;source=Orders&amp;ru=https%3A%2F%2Fwww.ebay.com%2Fsh%2Ford%2F%3Ffilter%3Dstatus%253AAWAITING_SHIPMENT" TargetMode="External"/><Relationship Id="rId335" Type="http://schemas.openxmlformats.org/officeDocument/2006/relationships/hyperlink" Target="https://www.ebay.com/mesh/ord/details?mode=SH&amp;srn=2328&amp;orderid=18-14672-89923&amp;source=Orders&amp;ru=https%3A%2F%2Fwww.ebay.com%2Fsh%2Ford%2F%3Ffilter%3Dstatus%253AAWAITING_SHIPMENT" TargetMode="External"/><Relationship Id="rId577" Type="http://schemas.openxmlformats.org/officeDocument/2006/relationships/hyperlink" Target="https://www.ebay.com/mesh/ord/details?mode=SH&amp;srn=2506&amp;orderid=06-14848-63600&amp;source=Orders&amp;ru=https%3A%2F%2Fwww.ebay.com%2Fsh%2Ford%2F%3Ffilter%3Dstatus%253APAID_SHIPPED" TargetMode="External"/><Relationship Id="rId339" Type="http://schemas.openxmlformats.org/officeDocument/2006/relationships/hyperlink" Target="https://www.ebay.com/mesh/ord/details?mode=SH&amp;srn=2325&amp;orderid=14-14671-52180&amp;source=Orders&amp;ru=https%3A%2F%2Fwww.ebay.com%2Fsh%2Ford%2F%3Ffilter%3Dstatus%253APAID_SHIPPED" TargetMode="External"/><Relationship Id="rId330" Type="http://schemas.openxmlformats.org/officeDocument/2006/relationships/hyperlink" Target="https://www.ebay.com/mesh/ord/details?mode=SH&amp;srn=2318&amp;orderid=13-14666-81599&amp;source=Orders&amp;ru=https%3A%2F%2Fwww.ebay.com%2Fsh%2Ford%2F%3Ffilter%3Dstatus%253APAID_SHIPPED" TargetMode="External"/><Relationship Id="rId572" Type="http://schemas.openxmlformats.org/officeDocument/2006/relationships/hyperlink" Target="https://www.ebay.com/mesh/ord/details?mode=SH&amp;srn=1187&amp;orderid=26-14795-59609&amp;source=Orders&amp;ru=https%3A%2F%2Fwww.ebay.com%2Fsh%2Ford%2F%3Ffilter%3Dstatus%253AAWAITING_SHIPMENT" TargetMode="External"/><Relationship Id="rId571" Type="http://schemas.openxmlformats.org/officeDocument/2006/relationships/hyperlink" Target="https://www.ebay.com/mesh/ord/details?mode=SH&amp;srn=1189&amp;orderid=14-14829-46039&amp;source=Orders&amp;ru=https%3A%2F%2Fwww.ebay.com%2Fsh%2Ford%2F%3Ffilter%3Dstatus%253AAWAITING_SHIPMENT" TargetMode="External"/><Relationship Id="rId570" Type="http://schemas.openxmlformats.org/officeDocument/2006/relationships/hyperlink" Target="https://www.ebay.com/mesh/ord/details?mode=SH&amp;srn=2497&amp;orderid=20-14816-91046&amp;source=Orders&amp;ru=https%3A%2F%2Fwww.ebay.com%2Fsh%2Ford%2F%3Ffilter%3Dstatus%253AAWAITING_SHIPMENT" TargetMode="External"/><Relationship Id="rId334" Type="http://schemas.openxmlformats.org/officeDocument/2006/relationships/hyperlink" Target="https://www.ebay.com/mesh/ord/details?mode=SH&amp;srn=2322&amp;orderid=17-14665-65163&amp;source=Orders&amp;ru=https%3A%2F%2Fwww.ebay.com%2Fsh%2Ford%2F%3Ffilter%3Dstatus%253APAID_SHIPPED" TargetMode="External"/><Relationship Id="rId576" Type="http://schemas.openxmlformats.org/officeDocument/2006/relationships/hyperlink" Target="https://www.ebay.com/mesh/ord/details?mode=SH&amp;srn=2504&amp;orderid=11-14836-79980&amp;source=Orders&amp;ru=https%3A%2F%2Fwww.ebay.com%2Fsh%2Ford%2F%3Ffilter%3Dstatus%253AAWAITING_SHIPMENT" TargetMode="External"/><Relationship Id="rId333" Type="http://schemas.openxmlformats.org/officeDocument/2006/relationships/hyperlink" Target="https://www.ebay.com/mesh/ord/details?mode=SH&amp;srn=1139&amp;orderid=09-14672-47878&amp;source=Orders&amp;ru=https%3A%2F%2Fwww.ebay.com%2Fsh%2Ford%2F%3Ffilter%3Dstatus%253AALL_ORDERS%26partialRefresh%3Dtrue" TargetMode="External"/><Relationship Id="rId575" Type="http://schemas.openxmlformats.org/officeDocument/2006/relationships/hyperlink" Target="https://www.ebay.com/mesh/ord/details?mode=SH&amp;srn=2486&amp;orderid=06-14829-72982&amp;source=Orders&amp;ru=https%3A%2F%2Fwww.ebay.com%2Fsh%2Ford" TargetMode="External"/><Relationship Id="rId332" Type="http://schemas.openxmlformats.org/officeDocument/2006/relationships/hyperlink" Target="https://www.ebay.com/mesh/ord/details?mode=SH&amp;srn=2244&amp;orderid=11-14601-86379&amp;source=Orders&amp;ru=https%3A%2F%2Fwww.ebay.com%2Fsh%2Ford%3Fsearch%3Dordernumber%253A11-14601-86379" TargetMode="External"/><Relationship Id="rId574" Type="http://schemas.openxmlformats.org/officeDocument/2006/relationships/hyperlink" Target="https://www.ebay.com/mesh/ord/details?mode=SH&amp;srn=2494&amp;orderid=15-14824-66496&amp;source=Orders&amp;ru=https%3A%2F%2Fwww.ebay.com%2Fsh%2Ford" TargetMode="External"/><Relationship Id="rId331" Type="http://schemas.openxmlformats.org/officeDocument/2006/relationships/hyperlink" Target="https://www.ebay.com/mesh/ord/details?orderid=05-14582-98538" TargetMode="External"/><Relationship Id="rId573" Type="http://schemas.openxmlformats.org/officeDocument/2006/relationships/hyperlink" Target="https://www.ebay.com/mesh/ord/details?mode=SH&amp;srn=2495&amp;orderid=09-14834-82172&amp;source=Orders&amp;ru=https%3A%2F%2Fwww.ebay.com%2Fsh%2Ford" TargetMode="External"/><Relationship Id="rId370" Type="http://schemas.openxmlformats.org/officeDocument/2006/relationships/hyperlink" Target="https://www.ebay.com/mesh/ord/details?mode=SH&amp;srn=2343&amp;orderid=06-14704-54308&amp;source=Orders&amp;ru=https%3A%2F%2Fwww.ebay.com%2Fsh%2Ford%2F%3Ffilter%3Dstatus%253APAID_SHIPPED" TargetMode="External"/><Relationship Id="rId129" Type="http://schemas.openxmlformats.org/officeDocument/2006/relationships/hyperlink" Target="https://www.ebay.com/mesh/ord/details?mode=SH&amp;srn=2145&amp;orderid=10-14387-72152&amp;source=Orders&amp;ru=https%3A%2F%2Fwww.ebay.com%2Fsh%2Ford%2F%3Ffilter%3Dstatus%253AAWAITING_SHIPMENT" TargetMode="External"/><Relationship Id="rId128" Type="http://schemas.openxmlformats.org/officeDocument/2006/relationships/hyperlink" Target="https://www.ebay.com/mesh/ord/details?mode=SH&amp;srn=2165&amp;orderid=12-14448-90599&amp;source=Orders&amp;ru=https%3A%2F%2Fwww.ebay.com%2Fsh%2Ford" TargetMode="External"/><Relationship Id="rId127" Type="http://schemas.openxmlformats.org/officeDocument/2006/relationships/hyperlink" Target="https://www.ebay.com/mesh/ord/details?mode=SH&amp;srn=1046&amp;orderid=20-14438-45433&amp;source=Orders&amp;ru=https%3A%2F%2Fwww.ebay.com%2Fsh%2Ford" TargetMode="External"/><Relationship Id="rId369" Type="http://schemas.openxmlformats.org/officeDocument/2006/relationships/hyperlink" Target="https://www.ebay.com/mesh/ord/details?mode=SH&amp;srn=2345&amp;orderid=16-14692-63555&amp;source=Orders&amp;ru=https%3A%2F%2Fwww.ebay.com%2Fsh%2Ford" TargetMode="External"/><Relationship Id="rId126" Type="http://schemas.openxmlformats.org/officeDocument/2006/relationships/hyperlink" Target="https://www.ebay.com/mesh/ord/details?mode=SH&amp;srn=2166&amp;orderid=24-14446-44283&amp;source=Orders&amp;ru=https%3A%2F%2Fwww.ebay.com%2Fsh%2Ford" TargetMode="External"/><Relationship Id="rId368" Type="http://schemas.openxmlformats.org/officeDocument/2006/relationships/hyperlink" Target="https://www.ebay.com/mesh/ord/details?mode=SH&amp;srn=2347&amp;orderid=06-14710-73276&amp;source=Orders&amp;ru=https%3A%2F%2Fwww.ebay.com%2Fsh%2Ford" TargetMode="External"/><Relationship Id="rId121" Type="http://schemas.openxmlformats.org/officeDocument/2006/relationships/hyperlink" Target="https://www.ebay.com/mesh/ord/details?mode=SH&amp;srn=1045&amp;orderid=18-14433-34126&amp;source=Orders&amp;ru=https%3A%2F%2Fwww.ebay.com%2Fsh%2Ford" TargetMode="External"/><Relationship Id="rId363" Type="http://schemas.openxmlformats.org/officeDocument/2006/relationships/hyperlink" Target="https://www.ebay.com/mesh/ord/details?mode=SH&amp;srn=2344&amp;orderid=14-14695-67844&amp;source=Orders&amp;ru=https%3A%2F%2Fwww.ebay.com%2Fsh%2Ford%2F%3Ffilter%3Dstatus%253APAID_SHIPPED" TargetMode="External"/><Relationship Id="rId120" Type="http://schemas.openxmlformats.org/officeDocument/2006/relationships/hyperlink" Target="https://www.ebay.com/mesh/ord/details?mode=SH&amp;srn=2158&amp;orderid=20-14427-26908&amp;source=Orders&amp;ru=https%3A%2F%2Fwww.ebay.com%2Fsh%2Ford" TargetMode="External"/><Relationship Id="rId362" Type="http://schemas.openxmlformats.org/officeDocument/2006/relationships/hyperlink" Target="https://order.ebay.com/ord/show?orderId=12-14693-73453" TargetMode="External"/><Relationship Id="rId361" Type="http://schemas.openxmlformats.org/officeDocument/2006/relationships/hyperlink" Target="https://www.ebay.com/mesh/ord/details?mode=SH&amp;srn=1143&amp;orderid=23-14678-09126&amp;source=Orders&amp;ru=https%3A%2F%2Fwww.ebay.com%2Fsh%2Ford%2F%3Ffilter%3Dstatus%253APAID_SHIPPED" TargetMode="External"/><Relationship Id="rId360" Type="http://schemas.openxmlformats.org/officeDocument/2006/relationships/hyperlink" Target="https://www.ebay.com/mesh/ord/details?mode=SH&amp;srn=1142&amp;orderid=26-14672-27648&amp;source=Orders&amp;ru=https%3A%2F%2Fwww.ebay.com%2Fsh%2Ford%2F%3Ffilter%3Dstatus%253AAWAITING_SHIPMENT" TargetMode="External"/><Relationship Id="rId125" Type="http://schemas.openxmlformats.org/officeDocument/2006/relationships/hyperlink" Target="https://www.ebay.com/mesh/ord/details?mode=SH&amp;srn=2162&amp;orderid=17-14439-07212&amp;source=Orders&amp;ru=https%3A%2F%2Fwww.ebay.com%2Fsh%2Ford" TargetMode="External"/><Relationship Id="rId367" Type="http://schemas.openxmlformats.org/officeDocument/2006/relationships/hyperlink" Target="https://www.ebay.com/mesh/ord/details?mode=SH&amp;srn=2350&amp;orderid=08-14708-48661&amp;source=Orders&amp;ru=https%3A%2F%2Fwww.ebay.com%2Fsh%2Ford" TargetMode="External"/><Relationship Id="rId124" Type="http://schemas.openxmlformats.org/officeDocument/2006/relationships/hyperlink" Target="https://www.ebay.com/mesh/ord/details?mode=SH&amp;srn=2163&amp;orderid=05-14457-58764&amp;source=Orders&amp;ru=https%3A%2F%2Fwww.ebay.com%2Fsh%2Ford" TargetMode="External"/><Relationship Id="rId366" Type="http://schemas.openxmlformats.org/officeDocument/2006/relationships/hyperlink" Target="https://www.ebay.com/mesh/ord/details?mode=SH&amp;srn=2351&amp;orderid=10-14705-48734&amp;source=Orders&amp;ru=https%3A%2F%2Fwww.ebay.com%2Fsh%2Ford" TargetMode="External"/><Relationship Id="rId123" Type="http://schemas.openxmlformats.org/officeDocument/2006/relationships/hyperlink" Target="https://www.ebay.com/mesh/ord/details?mode=SH&amp;srn=2164&amp;orderid=22-14432-47770&amp;source=Orders&amp;ru=https%3A%2F%2Fwww.ebay.com%2Fsh%2Ford" TargetMode="External"/><Relationship Id="rId365" Type="http://schemas.openxmlformats.org/officeDocument/2006/relationships/hyperlink" Target="https://www.ebay.com/mesh/ord/details?mode=SH&amp;srn=1144&amp;orderid=07-14713-77557&amp;source=Orders&amp;ru=https%3A%2F%2Fwww.ebay.com%2Fsh%2Ford%2F%3Ffilter%3Dstatus%253AAWAITING_SHIPMENT" TargetMode="External"/><Relationship Id="rId122" Type="http://schemas.openxmlformats.org/officeDocument/2006/relationships/hyperlink" Target="https://www.ebay.com/mesh/ord/details?mode=SH&amp;srn=1019&amp;orderid=17-14394-54144&amp;source=Orders&amp;ru=https%3A%2F%2Fwww.ebay.com%2Fsh%2Ford%2F%3Ffilter%3Dstatus%253AALL_ORDERS%26partialRefresh%3Dtrue" TargetMode="External"/><Relationship Id="rId364" Type="http://schemas.openxmlformats.org/officeDocument/2006/relationships/hyperlink" Target="https://www.ebay.com/mesh/ord/details?mode=SH&amp;srn=1145&amp;orderid=08-14714-24260&amp;source=Orders&amp;ru=https%3A%2F%2Fwww.ebay.com%2Fsh%2Ford%2F%3Ffilter%3Dstatus%253AAWAITING_SHIPMENT" TargetMode="External"/><Relationship Id="rId95" Type="http://schemas.openxmlformats.org/officeDocument/2006/relationships/hyperlink" Target="https://www.ebay.com/mesh/ord/details?mode=SH&amp;srn=1030&amp;orderid=03-14431-97830&amp;source=Orders&amp;ru=https%3A%2F%2Fwww.ebay.com%2Fsh%2Ford" TargetMode="External"/><Relationship Id="rId94" Type="http://schemas.openxmlformats.org/officeDocument/2006/relationships/hyperlink" Target="https://www.ebay.com/mesh/ord/details?mode=SH&amp;srn=1031&amp;orderid=13-14418-02055&amp;source=Orders&amp;ru=https%3A%2F%2Fwww.ebay.com%2Fsh%2Ford" TargetMode="External"/><Relationship Id="rId97" Type="http://schemas.openxmlformats.org/officeDocument/2006/relationships/hyperlink" Target="https://www.ebay.com/mesh/ord/details?mode=SH&amp;srn=1032&amp;orderid=11-14421-44985&amp;source=Orders&amp;ru=https%3A%2F%2Fwww.ebay.com%2Fsh%2Ford%2F%3Ffilter%3Dstatus%253AALL_ORDERS%26partialRefresh%3Dtrue" TargetMode="External"/><Relationship Id="rId96" Type="http://schemas.openxmlformats.org/officeDocument/2006/relationships/hyperlink" Target="https://www.ebay.com/mesh/ord/details?mode=SH&amp;srn=1029&amp;orderid=08-14422-71129&amp;source=Orders&amp;ru=https%3A%2F%2Fwww.ebay.com%2Fsh%2Ford" TargetMode="External"/><Relationship Id="rId99" Type="http://schemas.openxmlformats.org/officeDocument/2006/relationships/hyperlink" Target="https://www.ebay.com/mesh/ord/details?mode=SH&amp;srn=1034&amp;orderid=24-14418-03099&amp;source=Orders&amp;ru=https%3A%2F%2Fwww.ebay.com%2Fsh%2Ford" TargetMode="External"/><Relationship Id="rId98" Type="http://schemas.openxmlformats.org/officeDocument/2006/relationships/hyperlink" Target="https://www.ebay.com/mesh/ord/details?mode=SH&amp;srn=1033&amp;orderid=16-14414-40275&amp;source=Orders&amp;ru=https%3A%2F%2Fwww.ebay.com%2Fsh%2Ford" TargetMode="External"/><Relationship Id="rId91" Type="http://schemas.openxmlformats.org/officeDocument/2006/relationships/hyperlink" Target="https://www.ebay.com/mesh/ord/details?mode=SH&amp;srn=1027&amp;orderid=17-14407-94914&amp;source=Orders&amp;ru=https%3A%2F%2Fwww.ebay.com%2Fsh%2Ford" TargetMode="External"/><Relationship Id="rId90" Type="http://schemas.openxmlformats.org/officeDocument/2006/relationships/hyperlink" Target="https://www.ebay.com/mesh/ord/details?mode=SH&amp;srn=1026&amp;orderid=09-14419-15561&amp;source=Orders&amp;ru=https%3A%2F%2Fwww.ebay.com%2Fsh%2Ford" TargetMode="External"/><Relationship Id="rId93" Type="http://schemas.openxmlformats.org/officeDocument/2006/relationships/hyperlink" Target="https://www.ebay.com/mesh/ord/details?mode=SH&amp;srn=2151&amp;orderid=14-14415-39052&amp;source=Orders&amp;ru=https%3A%2F%2Fwww.ebay.com%2Fsh%2Ford" TargetMode="External"/><Relationship Id="rId92" Type="http://schemas.openxmlformats.org/officeDocument/2006/relationships/hyperlink" Target="https://www.ebay.com/mesh/ord/details?mode=SH&amp;srn=1028&amp;orderid=07-14423-93363&amp;source=Orders&amp;ru=https%3A%2F%2Fwww.ebay.com%2Fsh%2Ford" TargetMode="External"/><Relationship Id="rId118" Type="http://schemas.openxmlformats.org/officeDocument/2006/relationships/hyperlink" Target="https://www.ebay.com/mesh/ord/details?mode=SH&amp;srn=2160&amp;orderid=26-14419-00255&amp;source=Orders&amp;ru=https%3A%2F%2Fwww.ebay.com%2Fsh%2Ford" TargetMode="External"/><Relationship Id="rId117" Type="http://schemas.openxmlformats.org/officeDocument/2006/relationships/hyperlink" Target="https://www.ebay.com/mesh/ord/details?mode=SH&amp;srn=2161&amp;orderid=24-14437-25045&amp;source=Orders&amp;ru=https%3A%2F%2Fwww.ebay.com%2Fsh%2Ford" TargetMode="External"/><Relationship Id="rId359" Type="http://schemas.openxmlformats.org/officeDocument/2006/relationships/hyperlink" Target="https://www.ebay.com/mesh/ord/details?mode=SH&amp;srn=2341&amp;orderid=05-14705-26166&amp;source=Orders&amp;ru=https%3A%2F%2Fwww.ebay.com%2Fsh%2Ford%2F%3Ffilter%3Dstatus%253AAWAITING_SHIPMENT" TargetMode="External"/><Relationship Id="rId116" Type="http://schemas.openxmlformats.org/officeDocument/2006/relationships/hyperlink" Target="https://www.ebay.com/mesh/ord/details?mode=SH&amp;srn=1042&amp;orderid=21-14425-64863&amp;source=Orders&amp;ru=https%3A%2F%2Fwww.ebay.com%2Fsh%2Ford" TargetMode="External"/><Relationship Id="rId358" Type="http://schemas.openxmlformats.org/officeDocument/2006/relationships/hyperlink" Target="https://www.ebay.com/mesh/ord/details?mode=SH&amp;srn=2340&amp;orderid=08-14697-34074&amp;source=Orders&amp;ru=https%3A%2F%2Fwww.ebay.com%2Fsh%2Ford%2F%3Ffilter%3Dstatus%253APAID_SHIPPED" TargetMode="External"/><Relationship Id="rId115" Type="http://schemas.openxmlformats.org/officeDocument/2006/relationships/hyperlink" Target="https://www.ebay.com/mesh/ord/details?mode=SH&amp;srn=1044&amp;orderid=15-14436-25835&amp;source=Orders&amp;ru=https%3A%2F%2Fwww.ebay.com%2Fsh%2Ford" TargetMode="External"/><Relationship Id="rId357" Type="http://schemas.openxmlformats.org/officeDocument/2006/relationships/hyperlink" Target="https://www.ebay.com/mesh/ord/details?mode=SH&amp;srn=2338&amp;orderid=09-14694-34385&amp;source=Orders&amp;ru=https%3A%2F%2Fwww.ebay.com%2Fsh%2Ford%2F%3Ffilter%3Dstatus%253APAID_SHIPPED" TargetMode="External"/><Relationship Id="rId599" Type="http://schemas.openxmlformats.org/officeDocument/2006/relationships/hyperlink" Target="https://www.ebay.com/mesh/ord/details?mode=SH&amp;srn=2519&amp;orderid=07-14857-70585&amp;source=Orders&amp;ru=https%3A%2F%2Fwww.ebay.com%2Fsh%2Ford" TargetMode="External"/><Relationship Id="rId119" Type="http://schemas.openxmlformats.org/officeDocument/2006/relationships/hyperlink" Target="https://www.ebay.com/mesh/ord/details?mode=SH&amp;srn=2159&amp;orderid=27-14417-34037&amp;source=Orders&amp;ru=https%3A%2F%2Fwww.ebay.com%2Fsh%2Ford" TargetMode="External"/><Relationship Id="rId110" Type="http://schemas.openxmlformats.org/officeDocument/2006/relationships/hyperlink" Target="https://www.ebay.com/mesh/ord/details?orderid=14-14379-56031" TargetMode="External"/><Relationship Id="rId352" Type="http://schemas.openxmlformats.org/officeDocument/2006/relationships/hyperlink" Target="https://www.ebay.com/mesh/ord/details?mode=SH&amp;srn=2337&amp;orderid=06-14698-91610&amp;source=Orders&amp;ru=https%3A%2F%2Fwww.ebay.com%2Fsh%2Ford%2F%3Ffilter%3Dstatus%253APAID_SHIPPED" TargetMode="External"/><Relationship Id="rId594" Type="http://schemas.openxmlformats.org/officeDocument/2006/relationships/hyperlink" Target="https://www.ebay.com/mesh/ord/details?mode=SH&amp;srn=2530&amp;orderid=22-14839-64992&amp;source=Orders&amp;ru=https%3A%2F%2Fwww.ebay.com%2Fsh%2Ford" TargetMode="External"/><Relationship Id="rId351" Type="http://schemas.openxmlformats.org/officeDocument/2006/relationships/hyperlink" Target="https://www.ebay.com/mesh/ord/details?mode=SH&amp;srn=2336&amp;orderid=14-14684-88821&amp;source=Orders&amp;ru=https%3A%2F%2Fwww.ebay.com%2Fsh%2Ford" TargetMode="External"/><Relationship Id="rId593" Type="http://schemas.openxmlformats.org/officeDocument/2006/relationships/hyperlink" Target="https://order.ebay.com/ord/show?orderId=22-14837-14691" TargetMode="External"/><Relationship Id="rId350" Type="http://schemas.openxmlformats.org/officeDocument/2006/relationships/hyperlink" Target="https://www.ebay.com/mesh/ord/details?mode=SH&amp;srn=2332&amp;orderid=22-14671-01019&amp;source=Orders&amp;ru=https%3A%2F%2Fwww.ebay.com%2Fsh%2Ford%2F%3Ffilter%3Dstatus%253APAID_SHIPPED" TargetMode="External"/><Relationship Id="rId592" Type="http://schemas.openxmlformats.org/officeDocument/2006/relationships/hyperlink" Target="https://www.ebay.com/mesh/ord/details?mode=SH&amp;srn=2391&amp;orderid=13-14748-12783&amp;source=Orders&amp;ru=https%3A%2F%2Fwww.ebay.com%2Fsh%2Ford" TargetMode="External"/><Relationship Id="rId591" Type="http://schemas.openxmlformats.org/officeDocument/2006/relationships/hyperlink" Target="https://www.ebay.com/mesh/ord/details?mode=SH&amp;srn=2532&amp;orderid=04-14872-22273&amp;source=Orders&amp;ru=https%3A%2F%2Fwww.ebay.com%2Fsh%2Ford" TargetMode="External"/><Relationship Id="rId114" Type="http://schemas.openxmlformats.org/officeDocument/2006/relationships/hyperlink" Target="https://www.ebay.com/mesh/ord/details?mode=SH&amp;srn=1043&amp;orderid=26-14420-00346&amp;source=Orders&amp;ru=https%3A%2F%2Fwww.ebay.com%2Fsh%2Ford" TargetMode="External"/><Relationship Id="rId356" Type="http://schemas.openxmlformats.org/officeDocument/2006/relationships/hyperlink" Target="https://www.ebay.com/mesh/ord/details?mode=SH&amp;srn=2339&amp;orderid=07-14698-12146&amp;source=Orders&amp;ru=https%3A%2F%2Fwww.ebay.com%2Fsh%2Ford" TargetMode="External"/><Relationship Id="rId598" Type="http://schemas.openxmlformats.org/officeDocument/2006/relationships/hyperlink" Target="https://www.ebay.com/mesh/ord/details?mode=SH&amp;srn=2522&amp;orderid=27-14825-90177&amp;source=Orders&amp;ru=https%3A%2F%2Fwww.ebay.com%2Fsh%2Ford" TargetMode="External"/><Relationship Id="rId113" Type="http://schemas.openxmlformats.org/officeDocument/2006/relationships/hyperlink" Target="https://www.ebay.com/mesh/ord/details?mode=SH&amp;srn=2157&amp;orderid=25-14419-92821&amp;source=Orders&amp;ru=https%3A%2F%2Fwww.ebay.com%2Fsh%2Ford" TargetMode="External"/><Relationship Id="rId355" Type="http://schemas.openxmlformats.org/officeDocument/2006/relationships/hyperlink" Target="https://www.ebay.com/mesh/ord/details?mode=SH&amp;srn=2329&amp;orderid=03-14696-83775&amp;source=Orders&amp;ru=https%3A%2F%2Fwww.ebay.com%2Fsh%2Ford" TargetMode="External"/><Relationship Id="rId597" Type="http://schemas.openxmlformats.org/officeDocument/2006/relationships/hyperlink" Target="https://www.ebay.com/mesh/ord/details?mode=SH&amp;srn=2524&amp;orderid=06-14864-06222&amp;source=Orders&amp;ru=https%3A%2F%2Fwww.ebay.com%2Fsh%2Ford" TargetMode="External"/><Relationship Id="rId112" Type="http://schemas.openxmlformats.org/officeDocument/2006/relationships/hyperlink" Target="https://www.ebay.com/mesh/ord/details?mode=SH&amp;srn=2156&amp;orderid=11-14438-91385&amp;source=Orders&amp;ru=https%3A%2F%2Fwww.ebay.com%2Fsh%2Ford" TargetMode="External"/><Relationship Id="rId354" Type="http://schemas.openxmlformats.org/officeDocument/2006/relationships/hyperlink" Target="https://www.ebay.com/mesh/ord/details?mode=SH&amp;srn=2327&amp;orderid=14-14676-74405&amp;source=Orders&amp;ru=https%3A%2F%2Fwww.ebay.com%2Fsh%2Ford%2F%3Ffilter%3Dstatus%253AAWAITING_SHIPMENT" TargetMode="External"/><Relationship Id="rId596" Type="http://schemas.openxmlformats.org/officeDocument/2006/relationships/hyperlink" Target="https://www.ebay.com/mesh/ord/details?mode=SH&amp;srn=2528&amp;orderid=06-14866-90620&amp;source=Orders&amp;ru=https%3A%2F%2Fwww.ebay.com%2Fsh%2Ford" TargetMode="External"/><Relationship Id="rId111" Type="http://schemas.openxmlformats.org/officeDocument/2006/relationships/hyperlink" Target="https://www.ebay.com/mesh/ord/details?mode=SH&amp;srn=1007&amp;orderid=27-14358-34102&amp;source=Orders&amp;ru=https%3A%2F%2Fwww.ebay.com%2Fsh%2Ford" TargetMode="External"/><Relationship Id="rId353" Type="http://schemas.openxmlformats.org/officeDocument/2006/relationships/hyperlink" Target="https://www.ebay.com/mesh/ord/details?mode=SH&amp;srn=2314&amp;orderid=26-14643-32582&amp;source=Orders&amp;ru=https%3A%2F%2Fwww.ebay.com%2Fsh%2Ford%2F%3Ffilter%3Dstatus%253AAWAITING_SHIPMENT" TargetMode="External"/><Relationship Id="rId595" Type="http://schemas.openxmlformats.org/officeDocument/2006/relationships/hyperlink" Target="https://www.ebay.com/mesh/ord/details?mode=SH&amp;srn=2529&amp;orderid=06-14866-82490&amp;source=Orders&amp;ru=https%3A%2F%2Fwww.ebay.com%2Fsh%2Ford" TargetMode="External"/><Relationship Id="rId1136" Type="http://schemas.openxmlformats.org/officeDocument/2006/relationships/hyperlink" Target="https://www.ebay.com/mesh/ord/details?mode=SH&amp;srn=2942&amp;orderid=24-15168-85627&amp;source=Orders&amp;ru=https%3A%2F%2Fwww.ebay.com%2Fsh%2Ford%2F%3Ffilter%3Dstatus%253AAWAITING_SHIPMENT" TargetMode="External"/><Relationship Id="rId1378" Type="http://schemas.openxmlformats.org/officeDocument/2006/relationships/table" Target="../tables/table100.xml"/><Relationship Id="rId1137" Type="http://schemas.openxmlformats.org/officeDocument/2006/relationships/drawing" Target="../drawings/drawing1.xml"/><Relationship Id="rId1379" Type="http://schemas.openxmlformats.org/officeDocument/2006/relationships/table" Target="../tables/table101.xml"/><Relationship Id="rId305" Type="http://schemas.openxmlformats.org/officeDocument/2006/relationships/hyperlink" Target="https://www.ebay.com/mesh/ord/details?mode=SH&amp;srn=1134&amp;orderid=02-14675-10563&amp;source=Orders&amp;ru=https%3A%2F%2Fwww.ebay.com%2Fsh%2Ford%2F%3Ffilter%3Dstatus%253AAWAITING_SHIPMENT" TargetMode="External"/><Relationship Id="rId547" Type="http://schemas.openxmlformats.org/officeDocument/2006/relationships/hyperlink" Target="https://www.ebay.com/mesh/ord/details?mode=SH&amp;srn=2481&amp;orderid=24-14809-47493&amp;source=Orders&amp;ru=https%3A%2F%2Fwww.ebay.com%2Fsh%2Ford" TargetMode="External"/><Relationship Id="rId789" Type="http://schemas.openxmlformats.org/officeDocument/2006/relationships/hyperlink" Target="https://www.ebay.com/mesh/ord/details?mode=SH&amp;srn=2663&amp;orderid=03-14971-21981&amp;source=Orders&amp;ru=https%3A%2F%2Fwww.ebay.com%2Fsh%2Ford%2F%3Ffilter%3Dstatus%253AAWAITING_SHIPMENT" TargetMode="External"/><Relationship Id="rId304" Type="http://schemas.openxmlformats.org/officeDocument/2006/relationships/hyperlink" Target="https://www.ebay.com/mesh/ord/details?mode=SH&amp;srn=1130&amp;orderid=25-14631-62450&amp;source=Orders&amp;ru=https%3A%2F%2Fwww.ebay.com%2Fsh%2Ford%2F%3Ffilter%3Dstatus%253APAID_SHIPPED" TargetMode="External"/><Relationship Id="rId546" Type="http://schemas.openxmlformats.org/officeDocument/2006/relationships/hyperlink" Target="https://www.ebay.com/mesh/ord/details?mode=SH&amp;srn=2476&amp;orderid=25-14791-77480&amp;source=Orders&amp;ru=https%3A%2F%2Fwww.ebay.com%2Fsh%2Ford" TargetMode="External"/><Relationship Id="rId788" Type="http://schemas.openxmlformats.org/officeDocument/2006/relationships/hyperlink" Target="https://www.ebay.com/mesh/ord/details?mode=SH&amp;srn=1223&amp;orderid=22-14935-93597&amp;source=Orders&amp;ru=https%3A%2F%2Fwww.ebay.com%2Fsh%2Ford" TargetMode="External"/><Relationship Id="rId303" Type="http://schemas.openxmlformats.org/officeDocument/2006/relationships/hyperlink" Target="https://www.ebay.com/mesh/ord/details?mode=SH&amp;srn=1131&amp;orderid=01-14670-45756&amp;source=Orders&amp;ru=https%3A%2F%2Fwww.ebay.com%2Fsh%2Ford%2F%3Ffilter%3Dstatus%253APAID_SHIPPED" TargetMode="External"/><Relationship Id="rId545" Type="http://schemas.openxmlformats.org/officeDocument/2006/relationships/hyperlink" Target="https://www.ebay.com/mesh/ord/details?mode=SH&amp;srn=1186&amp;orderid=04-14828-82432&amp;source=Orders&amp;ru=https%3A%2F%2Fwww.ebay.com%2Fsh%2Ford" TargetMode="External"/><Relationship Id="rId787" Type="http://schemas.openxmlformats.org/officeDocument/2006/relationships/hyperlink" Target="https://www.ebay.com/mesh/ord/details?mode=SH&amp;srn=1222&amp;orderid=08-14959-88101&amp;source=Orders&amp;ru=https%3A%2F%2Fwww.ebay.com%2Fsh%2Ford" TargetMode="External"/><Relationship Id="rId302" Type="http://schemas.openxmlformats.org/officeDocument/2006/relationships/hyperlink" Target="https://www.ebay.com/mesh/ord/details?mode=SH&amp;srn=1132&amp;orderid=10-14656-45054&amp;source=Orders&amp;ru=https%3A%2F%2Fwww.ebay.com%2Fsh%2Ford%2F%3Ffilter%3Dstatus%253APAID_SHIPPED" TargetMode="External"/><Relationship Id="rId544" Type="http://schemas.openxmlformats.org/officeDocument/2006/relationships/hyperlink" Target="https://www.ebay.com/mesh/ord/details?mode=SH&amp;srn=2472&amp;orderid=23-14793-45586&amp;source=Orders&amp;ru=https%3A%2F%2Fwww.ebay.com%2Fsh%2Ford%2F%3Ffilter%3Dstatus%253AAWAITING_SHIPMENT" TargetMode="External"/><Relationship Id="rId786" Type="http://schemas.openxmlformats.org/officeDocument/2006/relationships/hyperlink" Target="https://www.ebay.com/mesh/ord/details?mode=SH&amp;srn=1219&amp;orderid=24-14938-73965&amp;source=Orders&amp;ru=https%3A%2F%2Fwww.ebay.com%2Fsh%2Ford%2F%3Ffilter%3Dstatus%253AAWAITING_SHIPMENT" TargetMode="External"/><Relationship Id="rId309" Type="http://schemas.openxmlformats.org/officeDocument/2006/relationships/hyperlink" Target="https://www.ebay.com/mesh/ord/details?mode=SH&amp;srn=2301&amp;orderid=03-14671-98730&amp;source=Orders&amp;ru=https%3A%2F%2Fwww.ebay.com%2Fsh%2Ford%2F%3Ffilter%3Dstatus%253APAID_SHIPPED" TargetMode="External"/><Relationship Id="rId308" Type="http://schemas.openxmlformats.org/officeDocument/2006/relationships/hyperlink" Target="https://www.ebay.com/mesh/ord/details?mode=SH&amp;srn=2299&amp;orderid=25-14635-93853&amp;source=Orders&amp;ru=https%3A%2F%2Fwww.ebay.com%2Fsh%2Ford%2F%3Ffilter%3Dstatus%253AAWAITING_SHIPMENT" TargetMode="External"/><Relationship Id="rId307" Type="http://schemas.openxmlformats.org/officeDocument/2006/relationships/hyperlink" Target="https://www.ebay.com/mesh/ord/details?mode=SH&amp;srn=2303&amp;orderid=09-14663-59277&amp;source=Orders&amp;ru=https%3A%2F%2Fwww.ebay.com%2Fsh%2Ford%2F%3Ffilter%3Dstatus%253AAWAITING_SHIPMENT" TargetMode="External"/><Relationship Id="rId549" Type="http://schemas.openxmlformats.org/officeDocument/2006/relationships/hyperlink" Target="https://www.ebay.com/mesh/ord/details?mode=SH&amp;srn=1185&amp;orderid=07-14823-45205&amp;source=Orders&amp;ru=https%3A%2F%2Fwww.ebay.com%2Fsh%2Ford" TargetMode="External"/><Relationship Id="rId306" Type="http://schemas.openxmlformats.org/officeDocument/2006/relationships/hyperlink" Target="https://www.ebay.com/mesh/ord/details?mode=SH&amp;srn=1133&amp;orderid=14-14653-50781&amp;source=Orders&amp;ru=https%3A%2F%2Fwww.ebay.com%2Fsh%2Ford%2F%3Ffilter%3Dstatus%253AAWAITING_SHIPMENT" TargetMode="External"/><Relationship Id="rId548" Type="http://schemas.openxmlformats.org/officeDocument/2006/relationships/hyperlink" Target="https://www.ebay.com/mesh/ord/details?mode=SH&amp;srn=2333&amp;orderid=26-14664-72462&amp;source=Orders&amp;ru=https%3A%2F%2Fwww.ebay.com%2Fsh%2Ford%2F%3Ffilter%3Dstatus%253AAWAITING_SHIPMENT" TargetMode="External"/><Relationship Id="rId781" Type="http://schemas.openxmlformats.org/officeDocument/2006/relationships/hyperlink" Target="https://www.ebay.com/mesh/ord/details?mode=SH&amp;srn=2655&amp;orderid=06-14958-25253&amp;source=Orders&amp;ru=https%3A%2F%2Fwww.ebay.com%2Fsh%2Ford%2F%3Ffilter%3Dstatus%253APAID_SHIPPED" TargetMode="External"/><Relationship Id="rId1370" Type="http://schemas.openxmlformats.org/officeDocument/2006/relationships/table" Target="../tables/table92.xml"/><Relationship Id="rId780" Type="http://schemas.openxmlformats.org/officeDocument/2006/relationships/hyperlink" Target="https://www.ebay.com/mesh/ord/details?mode=SH&amp;srn=2657&amp;orderid=02-14968-86950&amp;source=Orders&amp;ru=https%3A%2F%2Fwww.ebay.com%2Fsh%2Ford%2F%3Ffilter%3Dstatus%253APAID_SHIPPED" TargetMode="External"/><Relationship Id="rId1371" Type="http://schemas.openxmlformats.org/officeDocument/2006/relationships/table" Target="../tables/table93.xml"/><Relationship Id="rId1130" Type="http://schemas.openxmlformats.org/officeDocument/2006/relationships/hyperlink" Target="https://www.ebay.com/mesh/ord/details?mode=SH&amp;srn=2937&amp;orderid=27-15146-00045&amp;source=Orders&amp;ru=https%3A%2F%2Fwww.ebay.com%2Fsh%2Ford%2F%3Ffilter%3Dstatus%253AAWAITING_SHIPMENT" TargetMode="External"/><Relationship Id="rId1372" Type="http://schemas.openxmlformats.org/officeDocument/2006/relationships/table" Target="../tables/table94.xml"/><Relationship Id="rId1131" Type="http://schemas.openxmlformats.org/officeDocument/2006/relationships/hyperlink" Target="https://www.ebay.com/mesh/ord/details?mode=SH&amp;srn=1274&amp;orderid=07-15184-69335&amp;source=Orders&amp;ru=https%3A%2F%2Fwww.ebay.com%2Fsh%2Ford%2F%3Ffilter%3Dstatus%253AAWAITING_SHIPMENT" TargetMode="External"/><Relationship Id="rId1373" Type="http://schemas.openxmlformats.org/officeDocument/2006/relationships/table" Target="../tables/table95.xml"/><Relationship Id="rId301" Type="http://schemas.openxmlformats.org/officeDocument/2006/relationships/hyperlink" Target="https://www.ebay.com/mesh/ord/details?mode=SH&amp;srn=2296&amp;orderid=17-14645-77541&amp;source=Orders&amp;ru=https%3A%2F%2Fwww.ebay.com%2Fsh%2Ford%2F%3Ffilter%3Dstatus%253APAID_SHIPPED" TargetMode="External"/><Relationship Id="rId543" Type="http://schemas.openxmlformats.org/officeDocument/2006/relationships/hyperlink" Target="https://www.ebay.com/mesh/ord/details?mode=SH&amp;srn=1183&amp;orderid=21-14797-32201&amp;source=Orders&amp;ru=https%3A%2F%2Fwww.ebay.com%2Fsh%2Ford%2F%3Ffilter%3Dstatus%253AAWAITING_SHIPMENT" TargetMode="External"/><Relationship Id="rId785" Type="http://schemas.openxmlformats.org/officeDocument/2006/relationships/hyperlink" Target="https://www.ebay.com/mesh/ord/details?mode=SH&amp;srn=2659&amp;orderid=02-14970-74873&amp;source=Orders&amp;ru=https%3A%2F%2Fwww.ebay.com%2Fsh%2Ford%2F%3Ffilter%3Dstatus%253AAWAITING_SHIPMENT" TargetMode="External"/><Relationship Id="rId1132" Type="http://schemas.openxmlformats.org/officeDocument/2006/relationships/hyperlink" Target="https://www.ebay.com/mesh/ord/details?mode=SH&amp;srn=2936&amp;orderid=16-15165-44210&amp;source=Orders&amp;ru=https%3A%2F%2Fwww.ebay.com%2Fsh%2Ford" TargetMode="External"/><Relationship Id="rId1374" Type="http://schemas.openxmlformats.org/officeDocument/2006/relationships/table" Target="../tables/table96.xml"/><Relationship Id="rId300" Type="http://schemas.openxmlformats.org/officeDocument/2006/relationships/hyperlink" Target="https://www.ebay.com/mesh/ord/details?mode=SH&amp;srn=2295&amp;orderid=20-14640-79042&amp;source=Orders&amp;ru=https%3A%2F%2Fwww.ebay.com%2Fsh%2Ford%2F%3Ffilter%3Dstatus%253APAID_SHIPPED" TargetMode="External"/><Relationship Id="rId542" Type="http://schemas.openxmlformats.org/officeDocument/2006/relationships/hyperlink" Target="https://www.ebay.com/mesh/ord/details?mode=SH&amp;srn=2477&amp;orderid=24-14808-30615&amp;source=Orders&amp;ru=https%3A%2F%2Fwww.ebay.com%2Fsh%2Ford%2F%3Ffilter%3Dstatus%253AAWAITING_SHIPMENT" TargetMode="External"/><Relationship Id="rId784" Type="http://schemas.openxmlformats.org/officeDocument/2006/relationships/hyperlink" Target="https://www.ebay.com/mesh/ord/details?mode=SH&amp;srn=1220&amp;orderid=21-14936-59492&amp;source=Orders&amp;ru=https%3A%2F%2Fwww.ebay.com%2Fsh%2Ford%2F%3Ffilter%3Dstatus%253AAWAITING_SHIPMENT" TargetMode="External"/><Relationship Id="rId1133" Type="http://schemas.openxmlformats.org/officeDocument/2006/relationships/hyperlink" Target="https://www.ebay.com/mesh/ord/details?mode=SH&amp;srn=2940&amp;orderid=27-15148-15258&amp;source=Orders&amp;ru=https%3A%2F%2Fwww.ebay.com%2Fsh%2Ford%2F%3Ffilter%3Dstatus%253AALL_ORDERS" TargetMode="External"/><Relationship Id="rId1375" Type="http://schemas.openxmlformats.org/officeDocument/2006/relationships/table" Target="../tables/table97.xml"/><Relationship Id="rId541" Type="http://schemas.openxmlformats.org/officeDocument/2006/relationships/hyperlink" Target="https://www.ebay.com/mesh/ord/details?mode=SH&amp;srn=2470&amp;orderid=01-14830-14136&amp;source=Orders&amp;ru=https%3A%2F%2Fwww.ebay.com%2Fsh%2Ford" TargetMode="External"/><Relationship Id="rId783" Type="http://schemas.openxmlformats.org/officeDocument/2006/relationships/hyperlink" Target="https://www.ebay.com/mesh/ord/details?orderid=25-14858-06125" TargetMode="External"/><Relationship Id="rId1134" Type="http://schemas.openxmlformats.org/officeDocument/2006/relationships/hyperlink" Target="https://www.ebay.com/mesh/ord/details?mode=SH&amp;srn=2941&amp;orderid=15-15170-13575&amp;source=Orders&amp;ru=https%3A%2F%2Fwww.ebay.com%2Fsh%2Ford%2F%3Ffilter%3Dstatus%253AAWAITING_SHIPMENT" TargetMode="External"/><Relationship Id="rId1376" Type="http://schemas.openxmlformats.org/officeDocument/2006/relationships/table" Target="../tables/table98.xml"/><Relationship Id="rId540" Type="http://schemas.openxmlformats.org/officeDocument/2006/relationships/hyperlink" Target="https://www.ebay.com/mesh/ord/details?mode=SH&amp;srn=1184&amp;orderid=03-14828-16243&amp;source=Orders&amp;ru=https%3A%2F%2Fwww.ebay.com%2Fsh%2Ford" TargetMode="External"/><Relationship Id="rId782" Type="http://schemas.openxmlformats.org/officeDocument/2006/relationships/hyperlink" Target="https://www.ebay.com/mesh/ord/details?orderid=07-14855-67571" TargetMode="External"/><Relationship Id="rId1135" Type="http://schemas.openxmlformats.org/officeDocument/2006/relationships/hyperlink" Target="https://www.ebay.com/mesh/ord/details?mode=SH&amp;srn=2944&amp;orderid=01-15199-59309&amp;source=Orders&amp;ru=https%3A%2F%2Fwww.ebay.com%2Fsh%2Ford%2F%3Ffilter%3Dstatus%253AAWAITING_SHIPMENT" TargetMode="External"/><Relationship Id="rId1377" Type="http://schemas.openxmlformats.org/officeDocument/2006/relationships/table" Target="../tables/table99.xml"/><Relationship Id="rId1125" Type="http://schemas.openxmlformats.org/officeDocument/2006/relationships/hyperlink" Target="https://www.ebay.com/mesh/ord/details?mode=SH&amp;srn=2931&amp;orderid=06-15179-45058&amp;source=Orders&amp;ru=https%3A%2F%2Fwww.ebay.com%2Fsh%2Ford%2F%3Ffilter%3Dstatus%253AAWAITING_SHIPMENT" TargetMode="External"/><Relationship Id="rId1367" Type="http://schemas.openxmlformats.org/officeDocument/2006/relationships/table" Target="../tables/table89.xml"/><Relationship Id="rId1126" Type="http://schemas.openxmlformats.org/officeDocument/2006/relationships/hyperlink" Target="https://www.ebay.com/mesh/ord/details?mode=SH&amp;srn=2932&amp;orderid=01-15191-16067&amp;source=Orders&amp;ru=https%3A%2F%2Fwww.ebay.com%2Fsh%2Ford%2F%3Ffilter%3Dstatus%253AAWAITING_SHIPMENT" TargetMode="External"/><Relationship Id="rId1368" Type="http://schemas.openxmlformats.org/officeDocument/2006/relationships/table" Target="../tables/table90.xml"/><Relationship Id="rId1127" Type="http://schemas.openxmlformats.org/officeDocument/2006/relationships/hyperlink" Target="https://www.ebay.com/mesh/ord/details?mode=SH&amp;srn=2935&amp;orderid=15-15165-37700&amp;source=Orders&amp;ru=https%3A%2F%2Fwww.ebay.com%2Fsh%2Ford%2F%3Ffilter%3Dstatus%253AAWAITING_SHIPMENT" TargetMode="External"/><Relationship Id="rId1369" Type="http://schemas.openxmlformats.org/officeDocument/2006/relationships/table" Target="../tables/table91.xml"/><Relationship Id="rId1128" Type="http://schemas.openxmlformats.org/officeDocument/2006/relationships/hyperlink" Target="https://www.ebay.com/mesh/ord/details?mode=SH&amp;srn=2939&amp;orderid=05-15187-15073&amp;source=Orders&amp;ru=https%3A%2F%2Fwww.ebay.com%2Fsh%2Ford%2F%3Ffilter%3Dstatus%253AAWAITING_SHIPMENT" TargetMode="External"/><Relationship Id="rId1129" Type="http://schemas.openxmlformats.org/officeDocument/2006/relationships/hyperlink" Target="https://www.ebay.com/mesh/ord/details?mode=SH&amp;srn=2938&amp;orderid=09-15179-06316&amp;source=Orders&amp;ru=https%3A%2F%2Fwww.ebay.com%2Fsh%2Ford%2F%3Ffilter%3Dstatus%253AAWAITING_SHIPMENT" TargetMode="External"/><Relationship Id="rId536" Type="http://schemas.openxmlformats.org/officeDocument/2006/relationships/hyperlink" Target="https://www.ebay.com/mesh/ord/details?mode=SH&amp;srn=2474&amp;orderid=07-14821-43127&amp;source=Orders&amp;ru=https%3A%2F%2Fwww.ebay.com%2Fsh%2Ford%2F%3Ffilter%3Dstatus%253AAWAITING_SHIPMENT" TargetMode="External"/><Relationship Id="rId778" Type="http://schemas.openxmlformats.org/officeDocument/2006/relationships/hyperlink" Target="https://www.ebay.com/mesh/ord/details?mode=SH&amp;srn=1221&amp;orderid=02-14970-87472&amp;source=Orders&amp;ru=https%3A%2F%2Fwww.ebay.com%2Fsh%2Ford" TargetMode="External"/><Relationship Id="rId535" Type="http://schemas.openxmlformats.org/officeDocument/2006/relationships/hyperlink" Target="https://www.ebay.com/mesh/ord/details?mode=SH&amp;srn=2469&amp;orderid=12-14809-75601&amp;source=Orders&amp;ru=https%3A%2F%2Fwww.ebay.com%2Fsh%2Ford%2F%3Ffilter%3Dstatus%253AAWAITING_SHIPMENT" TargetMode="External"/><Relationship Id="rId777" Type="http://schemas.openxmlformats.org/officeDocument/2006/relationships/hyperlink" Target="https://www.ebay.com/mesh/ord/details?mode=SH&amp;srn=2654&amp;orderid=27-14921-59894&amp;source=Orders&amp;ru=https%3A%2F%2Fwww.ebay.com%2Fsh%2Ford" TargetMode="External"/><Relationship Id="rId534" Type="http://schemas.openxmlformats.org/officeDocument/2006/relationships/hyperlink" Target="https://www.ebay.com/mesh/ord/details?mode=SH&amp;srn=2473&amp;orderid=15-14807-07574&amp;source=Orders&amp;ru=https%3A%2F%2Fwww.ebay.com%2Fsh%2Ford%2F%3Ffilter%3Dstatus%253AAWAITING_SHIPMENT" TargetMode="External"/><Relationship Id="rId776" Type="http://schemas.openxmlformats.org/officeDocument/2006/relationships/hyperlink" Target="https://www.ebay.com/mesh/ord/details?mode=SH&amp;srn=2651&amp;orderid=03-14957-27308&amp;source=Orders&amp;ru=https%3A%2F%2Fwww.ebay.com%2Fsh%2Ford" TargetMode="External"/><Relationship Id="rId533" Type="http://schemas.openxmlformats.org/officeDocument/2006/relationships/hyperlink" Target="https://www.ebay.com/mesh/ord/details?mode=SH&amp;srn=1182&amp;orderid=27-14785-40997&amp;source=Orders&amp;ru=https%3A%2F%2Fwww.ebay.com%2Fsh%2Ford%2F%3Ffilter%3Dstatus%253AAWAITING_SHIPMENT" TargetMode="External"/><Relationship Id="rId775" Type="http://schemas.openxmlformats.org/officeDocument/2006/relationships/hyperlink" Target="https://www.ebay.com/mesh/ord/details?mode=SH&amp;srn=1218&amp;orderid=11-14940-03047&amp;source=Orders&amp;ru=https%3A%2F%2Fwww.ebay.com%2Fsh%2Ford%2F%3Ffilter%3Dstatus%253AAWAITING_SHIPMENT" TargetMode="External"/><Relationship Id="rId539" Type="http://schemas.openxmlformats.org/officeDocument/2006/relationships/hyperlink" Target="https://www.ebay.com/mesh/ord/details?mode=SH&amp;srn=2478&amp;orderid=02-14831-37356&amp;source=Orders&amp;ru=https%3A%2F%2Fwww.ebay.com%2Fsh%2Ford%2F%3Ffilter%3Dstatus%253AAWAITING_SHIPMENT" TargetMode="External"/><Relationship Id="rId538" Type="http://schemas.openxmlformats.org/officeDocument/2006/relationships/hyperlink" Target="https://www.ebay.com/mesh/ord/details?mode=SH&amp;srn=2471&amp;orderid=12-14810-64955&amp;source=Orders&amp;ru=https%3A%2F%2Fwww.ebay.com%2Fsh%2Ford%2F%3Ffilter%3Dstatus%253AAWAITING_SHIPMENT" TargetMode="External"/><Relationship Id="rId537" Type="http://schemas.openxmlformats.org/officeDocument/2006/relationships/hyperlink" Target="https://www.ebay.com/mesh/ord/details?mode=SH&amp;srn=2475&amp;orderid=06-14823-30162&amp;source=Orders&amp;ru=https%3A%2F%2Fwww.ebay.com%2Fsh%2Ford%2F%3Ffilter%3Dstatus%253AAWAITING_SHIPMENT" TargetMode="External"/><Relationship Id="rId779" Type="http://schemas.openxmlformats.org/officeDocument/2006/relationships/hyperlink" Target="https://www.ebay.com/mesh/ord/details?mode=SH&amp;srn=2658&amp;orderid=27-14925-28895&amp;source=Orders&amp;ru=https%3A%2F%2Fwww.ebay.com%2Fsh%2Ford%2F%3Ffilter%3Dstatus%253APAID_SHIPPED" TargetMode="External"/><Relationship Id="rId770" Type="http://schemas.openxmlformats.org/officeDocument/2006/relationships/hyperlink" Target="https://www.ebay.com/mesh/ord/details?mode=SH&amp;srn=1199&amp;orderid=19-14858-44436&amp;source=Orders&amp;ru=https%3A%2F%2Fwww.ebay.com%2Fsh%2Ford%2F%3Ffilter%3Dstatus%253AAWAITING_SHIPMENT" TargetMode="External"/><Relationship Id="rId1360" Type="http://schemas.openxmlformats.org/officeDocument/2006/relationships/table" Target="../tables/table82.xml"/><Relationship Id="rId1361" Type="http://schemas.openxmlformats.org/officeDocument/2006/relationships/table" Target="../tables/table83.xml"/><Relationship Id="rId1120" Type="http://schemas.openxmlformats.org/officeDocument/2006/relationships/hyperlink" Target="https://www.ebay.com/mesh/ord/details?mode=SH&amp;srn=2917&amp;orderid=16-15146-22667&amp;source=Orders&amp;ru=https%3A%2F%2Fwww.ebay.com%2Fsh%2Ford" TargetMode="External"/><Relationship Id="rId1362" Type="http://schemas.openxmlformats.org/officeDocument/2006/relationships/table" Target="../tables/table84.xml"/><Relationship Id="rId532" Type="http://schemas.openxmlformats.org/officeDocument/2006/relationships/hyperlink" Target="https://www.ebay.com/mesh/ord/details?mode=SH&amp;srn=2468&amp;orderid=21-14794-07602&amp;source=Orders&amp;ru=https%3A%2F%2Fwww.ebay.com%2Fsh%2Ford%2F%3Ffilter%3Dstatus%253AALL_ORDERS" TargetMode="External"/><Relationship Id="rId774" Type="http://schemas.openxmlformats.org/officeDocument/2006/relationships/hyperlink" Target="https://www.ebay.com/mesh/ord/details?orderid=21-14881-65614" TargetMode="External"/><Relationship Id="rId1121" Type="http://schemas.openxmlformats.org/officeDocument/2006/relationships/hyperlink" Target="https://www.ebay.com/mesh/ord/details?mode=SH&amp;srn=2920&amp;orderid=15-15153-13446&amp;source=Orders&amp;ru=https%3A%2F%2Fwww.ebay.com%2Fsh%2Ford" TargetMode="External"/><Relationship Id="rId1363" Type="http://schemas.openxmlformats.org/officeDocument/2006/relationships/table" Target="../tables/table85.xml"/><Relationship Id="rId531" Type="http://schemas.openxmlformats.org/officeDocument/2006/relationships/hyperlink" Target="https://www.ebay.com/mesh/ord/details?mode=SH&amp;srn=2462&amp;orderid=27-14780-93824&amp;source=Orders&amp;ru=https%3A%2F%2Fwww.ebay.com%2Fsh%2Ford%2F%3Ffilter%3Dstatus%253AAWAITING_SHIPMENT" TargetMode="External"/><Relationship Id="rId773" Type="http://schemas.openxmlformats.org/officeDocument/2006/relationships/hyperlink" Target="https://www.ebay.com/mesh/ord/details?orderid=02-14916-43081" TargetMode="External"/><Relationship Id="rId1122" Type="http://schemas.openxmlformats.org/officeDocument/2006/relationships/hyperlink" Target="https://www.ebay.com/mesh/ord/details?mode=SH&amp;srn=2800&amp;orderid=03-15078-56126&amp;source=Orders&amp;ru=https%3A%2F%2Fwww.ebay.com%2Fsh%2Ford" TargetMode="External"/><Relationship Id="rId1364" Type="http://schemas.openxmlformats.org/officeDocument/2006/relationships/table" Target="../tables/table86.xml"/><Relationship Id="rId530" Type="http://schemas.openxmlformats.org/officeDocument/2006/relationships/hyperlink" Target="https://www.ebay.com/mesh/ord/details?mode=SH&amp;srn=2463&amp;orderid=13-14805-15659&amp;source=Orders&amp;ru=https%3A%2F%2Fwww.ebay.com%2Fsh%2Ford%2F%3Ffilter%3Dstatus%253AAWAITING_SHIPMENT" TargetMode="External"/><Relationship Id="rId772" Type="http://schemas.openxmlformats.org/officeDocument/2006/relationships/hyperlink" Target="https://www.ebay.com/mesh/ord/details?mode=SH&amp;srn=2650&amp;orderid=14-14938-00693&amp;source=Orders&amp;ru=https%3A%2F%2Fwww.ebay.com%2Fsh%2Ford%2F%3Ffilter%3Dstatus%253AAWAITING_SHIPMENT" TargetMode="External"/><Relationship Id="rId1123" Type="http://schemas.openxmlformats.org/officeDocument/2006/relationships/hyperlink" Target="https://www.ebay.com/mesh/ord/details?mode=SH&amp;srn=2934&amp;orderid=10-15173-95042&amp;source=Orders&amp;ru=https%3A%2F%2Fwww.ebay.com%2Fsh%2Ford" TargetMode="External"/><Relationship Id="rId1365" Type="http://schemas.openxmlformats.org/officeDocument/2006/relationships/table" Target="../tables/table87.xml"/><Relationship Id="rId771" Type="http://schemas.openxmlformats.org/officeDocument/2006/relationships/hyperlink" Target="https://order.ebay.com/ord/show?orderId=13-14940-33416" TargetMode="External"/><Relationship Id="rId1124" Type="http://schemas.openxmlformats.org/officeDocument/2006/relationships/hyperlink" Target="https://www.ebay.com/mesh/ord/details?mode=SH&amp;srn=2933&amp;orderid=04-15184-45909&amp;source=Orders&amp;ru=https%3A%2F%2Fwww.ebay.com%2Fsh%2Ford" TargetMode="External"/><Relationship Id="rId1366" Type="http://schemas.openxmlformats.org/officeDocument/2006/relationships/table" Target="../tables/table88.xml"/><Relationship Id="rId327" Type="http://schemas.openxmlformats.org/officeDocument/2006/relationships/hyperlink" Target="https://www.ebay.com/mesh/ord/details?mode=SH&amp;srn=2313&amp;orderid=12-14665-29445&amp;source=Orders&amp;ru=https%3A%2F%2Fwww.ebay.com%2Fsh%2Ford%2F%3Ffilter%3Dstatus%253AAWAITING_SHIPMENT" TargetMode="External"/><Relationship Id="rId569" Type="http://schemas.openxmlformats.org/officeDocument/2006/relationships/hyperlink" Target="https://www.ebay.com/mesh/ord/details?mode=SH&amp;srn=2502&amp;orderid=11-14836-07077&amp;source=Orders&amp;ru=https%3A%2F%2Fwww.ebay.com%2Fsh%2Ford%2F%3Ffilter%3Dstatus%253AAWAITING_SHIPMENT" TargetMode="External"/><Relationship Id="rId326" Type="http://schemas.openxmlformats.org/officeDocument/2006/relationships/hyperlink" Target="https://www.ebay.com/mesh/ord/details?mode=SH&amp;srn=2317&amp;orderid=24-14663-47250&amp;source=Orders&amp;ru=https%3A%2F%2Fwww.ebay.com%2Fsh%2Ford%2F%3Ffilter%3Dstatus%253APAID_SHIPPED" TargetMode="External"/><Relationship Id="rId568" Type="http://schemas.openxmlformats.org/officeDocument/2006/relationships/hyperlink" Target="https://www.ebay.com/mesh/ord/details?mode=SH&amp;srn=2496&amp;orderid=16-14823-43286&amp;source=Orders&amp;ru=https%3A%2F%2Fwww.ebay.com%2Fsh%2Ford%2F%3Ffilter%3Dstatus%253AAWAITING_SHIPMENT" TargetMode="External"/><Relationship Id="rId325" Type="http://schemas.openxmlformats.org/officeDocument/2006/relationships/hyperlink" Target="https://www.ebay.com/mesh/ord/details?mode=SH&amp;srn=1138&amp;orderid=11-14668-25048&amp;source=Orders&amp;ru=https%3A%2F%2Fwww.ebay.com%2Fsh%2Ford%2F%3Ffilter%3Dstatus%253AAWAITING_SHIPMENT" TargetMode="External"/><Relationship Id="rId567" Type="http://schemas.openxmlformats.org/officeDocument/2006/relationships/hyperlink" Target="https://www.ebay.com/mesh/ord/details?mode=SH&amp;srn=2498&amp;orderid=02-14847-98847&amp;source=Orders&amp;ru=https%3A%2F%2Fwww.ebay.com%2Fsh%2Ford%2F%3Ffilter%3Dstatus%253AAWAITING_SHIPMENT" TargetMode="External"/><Relationship Id="rId324" Type="http://schemas.openxmlformats.org/officeDocument/2006/relationships/hyperlink" Target="https://www.ebay.com/mesh/ord/details?mode=SH&amp;srn=2311&amp;orderid=01-14683-06588&amp;source=Orders&amp;ru=https%3A%2F%2Fwww.ebay.com%2Fsh%2Ford%2F%3Ffilter%3Dstatus%253AAWAITING_SHIPMENT" TargetMode="External"/><Relationship Id="rId566" Type="http://schemas.openxmlformats.org/officeDocument/2006/relationships/hyperlink" Target="https://www.ebay.com/mesh/ord/details?mode=SH&amp;srn=2499&amp;orderid=16-14824-67523&amp;source=Orders&amp;ru=https%3A%2F%2Fwww.ebay.com%2Fsh%2Ford%2F%3Ffilter%3Dstatus%253AAWAITING_SHIPMENT" TargetMode="External"/><Relationship Id="rId329" Type="http://schemas.openxmlformats.org/officeDocument/2006/relationships/hyperlink" Target="https://www.ebay.com/mesh/ord/details?mode=SH&amp;srn=2315&amp;orderid=04-14678-15625&amp;source=Orders&amp;ru=https%3A%2F%2Fwww.ebay.com%2Fsh%2Ford%2F%3Ffilter%3Dstatus%253APAID_SHIPPED" TargetMode="External"/><Relationship Id="rId1390" Type="http://schemas.openxmlformats.org/officeDocument/2006/relationships/table" Target="../tables/table112.xml"/><Relationship Id="rId328" Type="http://schemas.openxmlformats.org/officeDocument/2006/relationships/hyperlink" Target="https://www.ebay.com/mesh/ord/details?mode=SH&amp;srn=2316&amp;orderid=03-14680-03802&amp;source=Orders&amp;ru=https%3A%2F%2Fwww.ebay.com%2Fsh%2Ford%2F%3Ffilter%3Dstatus%253APAID_SHIPPED" TargetMode="External"/><Relationship Id="rId1391" Type="http://schemas.openxmlformats.org/officeDocument/2006/relationships/table" Target="../tables/table113.xml"/><Relationship Id="rId561" Type="http://schemas.openxmlformats.org/officeDocument/2006/relationships/hyperlink" Target="https://www.ebay.com/mesh/ord/details?mode=SH&amp;srn=2487&amp;orderid=14-14817-93851&amp;source=Orders&amp;ru=https%3A%2F%2Fwww.ebay.com%2Fsh%2Ford%2F%3Ffilter%3Dstatus%253AAWAITING_SHIPMENT" TargetMode="External"/><Relationship Id="rId1392" Type="http://schemas.openxmlformats.org/officeDocument/2006/relationships/table" Target="../tables/table114.xml"/><Relationship Id="rId560" Type="http://schemas.openxmlformats.org/officeDocument/2006/relationships/hyperlink" Target="https://www.ebay.com/mesh/ord/details?mode=SH&amp;srn=2489&amp;orderid=15-14821-71461&amp;source=Orders&amp;ru=https%3A%2F%2Fwww.ebay.com%2Fsh%2Ford%2F%3Ffilter%3Dstatus%253AAWAITING_SHIPMENT" TargetMode="External"/><Relationship Id="rId1393" Type="http://schemas.openxmlformats.org/officeDocument/2006/relationships/table" Target="../tables/table115.xml"/><Relationship Id="rId1394" Type="http://schemas.openxmlformats.org/officeDocument/2006/relationships/table" Target="../tables/table116.xml"/><Relationship Id="rId1395" Type="http://schemas.openxmlformats.org/officeDocument/2006/relationships/table" Target="../tables/table117.xml"/><Relationship Id="rId323" Type="http://schemas.openxmlformats.org/officeDocument/2006/relationships/hyperlink" Target="https://www.ebay.com/mesh/ord/details?mode=SH&amp;srn=2312&amp;orderid=06-14674-61165&amp;source=Orders&amp;ru=https%3A%2F%2Fwww.ebay.com%2Fsh%2Ford%2F%3Ffilter%3Dstatus%253AAWAITING_SHIPMENT" TargetMode="External"/><Relationship Id="rId565" Type="http://schemas.openxmlformats.org/officeDocument/2006/relationships/hyperlink" Target="https://www.ebay.com/mesh/ord/details?mode=SH&amp;srn=2500&amp;orderid=14-14828-57512&amp;source=Orders&amp;ru=https%3A%2F%2Fwww.ebay.com%2Fsh%2Ford%2F%3Ffilter%3Dstatus%253AAWAITING_SHIPMENT" TargetMode="External"/><Relationship Id="rId1396" Type="http://schemas.openxmlformats.org/officeDocument/2006/relationships/table" Target="../tables/table118.xml"/><Relationship Id="rId322" Type="http://schemas.openxmlformats.org/officeDocument/2006/relationships/hyperlink" Target="https://www.ebay.com/mesh/ord/details?mode=SH&amp;srn=1136&amp;orderid=02-14680-44820&amp;source=Orders&amp;ru=https%3A%2F%2Fwww.ebay.com%2Fsh%2Ford" TargetMode="External"/><Relationship Id="rId564" Type="http://schemas.openxmlformats.org/officeDocument/2006/relationships/hyperlink" Target="https://www.ebay.com/mesh/ord/details?mode=SH&amp;srn=2501&amp;orderid=16-14825-40911&amp;source=Orders&amp;ru=https%3A%2F%2Fwww.ebay.com%2Fsh%2Ford%2F%3Ffilter%3Dstatus%253APAID_SHIPPED" TargetMode="External"/><Relationship Id="rId1397" Type="http://schemas.openxmlformats.org/officeDocument/2006/relationships/table" Target="../tables/table119.xml"/><Relationship Id="rId321" Type="http://schemas.openxmlformats.org/officeDocument/2006/relationships/hyperlink" Target="https://www.ebay.com/mesh/ord/details?mode=SH&amp;srn=1137&amp;orderid=14-14661-16369&amp;source=Orders&amp;ru=https%3A%2F%2Fwww.ebay.com%2Fsh%2Ford" TargetMode="External"/><Relationship Id="rId563" Type="http://schemas.openxmlformats.org/officeDocument/2006/relationships/hyperlink" Target="https://www.ebay.com/mesh/ord/details?mode=SH&amp;srn=2488&amp;orderid=22-14807-51814&amp;source=Orders&amp;ru=https%3A%2F%2Fwww.ebay.com%2Fsh%2Ford%2F%3Ffilter%3Dstatus%253AAWAITING_SHIPMENT" TargetMode="External"/><Relationship Id="rId1398" Type="http://schemas.openxmlformats.org/officeDocument/2006/relationships/table" Target="../tables/table120.xml"/><Relationship Id="rId320" Type="http://schemas.openxmlformats.org/officeDocument/2006/relationships/hyperlink" Target="https://www.ebay.com/mesh/ord/details?mode=SH&amp;srn=2310&amp;orderid=21-14649-73475&amp;source=Orders&amp;ru=https%3A%2F%2Fwww.ebay.com%2Fsh%2Ford%2F%3Ffilter%3Dstatus%253AAWAITING_SHIPMENT" TargetMode="External"/><Relationship Id="rId562" Type="http://schemas.openxmlformats.org/officeDocument/2006/relationships/hyperlink" Target="https://www.ebay.com/mesh/ord/details?mode=SH&amp;srn=2360&amp;orderid=19-14708-86374&amp;source=Orders&amp;ru=https%3A%2F%2Fwww.ebay.com%2Fsh%2Ford%2F%3Ffilter%3Dstatus%253APAID_SHIPPED" TargetMode="External"/><Relationship Id="rId1399" Type="http://schemas.openxmlformats.org/officeDocument/2006/relationships/table" Target="../tables/table121.xml"/><Relationship Id="rId1389" Type="http://schemas.openxmlformats.org/officeDocument/2006/relationships/table" Target="../tables/table111.xml"/><Relationship Id="rId316" Type="http://schemas.openxmlformats.org/officeDocument/2006/relationships/hyperlink" Target="https://www.ebay.com/mesh/ord/details?mode=SH&amp;srn=2307&amp;orderid=04-14673-27894&amp;source=Orders&amp;ru=https%3A%2F%2Fwww.ebay.com%2Fsh%2Ford" TargetMode="External"/><Relationship Id="rId558" Type="http://schemas.openxmlformats.org/officeDocument/2006/relationships/hyperlink" Target="https://www.ebay.com/mesh/ord/details?mode=SH&amp;srn=2492&amp;orderid=10-14832-30109&amp;source=Orders&amp;ru=https%3A%2F%2Fwww.ebay.com%2Fsh%2Ford%2F%3Ffilter%3Dstatus%253AAWAITING_SHIPMENT" TargetMode="External"/><Relationship Id="rId315" Type="http://schemas.openxmlformats.org/officeDocument/2006/relationships/hyperlink" Target="https://www.ebay.com/mesh/ord/details?mode=SH&amp;srn=2300&amp;orderid=02-14673-18170&amp;source=Orders&amp;ru=https%3A%2F%2Fwww.ebay.com%2Fsh%2Ford" TargetMode="External"/><Relationship Id="rId557" Type="http://schemas.openxmlformats.org/officeDocument/2006/relationships/hyperlink" Target="https://www.ebay.com/mesh/ord/details?mode=SH&amp;srn=2493&amp;orderid=22-14812-56968&amp;source=Orders&amp;ru=https%3A%2F%2Fwww.ebay.com%2Fsh%2Ford%2F%3Ffilter%3Dstatus%253AAWAITING_SHIPMENT" TargetMode="External"/><Relationship Id="rId799" Type="http://schemas.openxmlformats.org/officeDocument/2006/relationships/hyperlink" Target="https://www.ebay.com/mesh/ord/details?mode=SH&amp;srn=2676&amp;orderid=26-14941-89317&amp;source=Orders&amp;ru=https%3A%2F%2Fwww.ebay.com%2Fsh%2Ford" TargetMode="External"/><Relationship Id="rId314" Type="http://schemas.openxmlformats.org/officeDocument/2006/relationships/hyperlink" Target="https://www.ebay.com/mesh/ord/details?mode=SH&amp;srn=2302&amp;orderid=22-14642-25721&amp;source=Orders&amp;ru=https%3A%2F%2Fwww.ebay.com%2Fsh%2Ford%2F%3Ffilter%3Dstatus%253APAID_SHIPPED" TargetMode="External"/><Relationship Id="rId556" Type="http://schemas.openxmlformats.org/officeDocument/2006/relationships/hyperlink" Target="https://www.ebay.com/mesh/ord/details?mode=SH&amp;srn=1188&amp;orderid=19-14808-74776&amp;source=Orders&amp;ru=https%3A%2F%2Fwww.ebay.com%2Fsh%2Ford%2F%3Ffilter%3Dstatus%253AAWAITING_SHIPMENT" TargetMode="External"/><Relationship Id="rId798" Type="http://schemas.openxmlformats.org/officeDocument/2006/relationships/hyperlink" Target="https://www.ebay.com/mesh/ord/details?mode=SH&amp;srn=2667&amp;orderid=18-14948-56954&amp;source=Orders&amp;ru=https%3A%2F%2Fwww.ebay.com%2Fsh%2Ford" TargetMode="External"/><Relationship Id="rId313" Type="http://schemas.openxmlformats.org/officeDocument/2006/relationships/hyperlink" Target="https://www.ebay.com/mesh/ord/details?mode=SH&amp;srn=2305&amp;orderid=24-14655-72085&amp;source=Orders&amp;ru=https%3A%2F%2Fwww.ebay.com%2Fsh%2Ford%2F%3Ffilter%3Dstatus%253APAID_SHIPPED" TargetMode="External"/><Relationship Id="rId555" Type="http://schemas.openxmlformats.org/officeDocument/2006/relationships/hyperlink" Target="https://www.ebay.com/mesh/ord/details?mode=SH&amp;srn=2483&amp;orderid=13-14817-19494&amp;source=Orders&amp;ru=https%3A%2F%2Fwww.ebay.com%2Fsh%2Ford%2F%3Ffilter%3Dstatus%253AAWAITING_SHIPMENT" TargetMode="External"/><Relationship Id="rId797" Type="http://schemas.openxmlformats.org/officeDocument/2006/relationships/hyperlink" Target="https://www.ebay.com/mesh/ord/details?mode=SH&amp;srn=1226&amp;orderid=15-14952-68804&amp;source=Orders&amp;ru=https%3A%2F%2Fwww.ebay.com%2Fsh%2Ford%2F%3Ffilter%3Dstatus%253AAWAITING_SHIPMENT" TargetMode="External"/><Relationship Id="rId319" Type="http://schemas.openxmlformats.org/officeDocument/2006/relationships/hyperlink" Target="https://www.ebay.com/mesh/ord/details?mode=SH&amp;srn=2309&amp;orderid=20-14650-99856&amp;source=Orders&amp;ru=https%3A%2F%2Fwww.ebay.com%2Fsh%2Ford%2F%3Ffilter%3Dstatus%253APAID_SHIPPED" TargetMode="External"/><Relationship Id="rId318" Type="http://schemas.openxmlformats.org/officeDocument/2006/relationships/hyperlink" Target="https://www.ebay.com/mesh/ord/details?mode=SH&amp;srn=1135&amp;orderid=20-14648-82032&amp;source=Orders&amp;ru=https%3A%2F%2Fwww.ebay.com%2Fsh%2Ford%2F%3Ffilter%3Dstatus%253AAWAITING_SHIPMENT" TargetMode="External"/><Relationship Id="rId317" Type="http://schemas.openxmlformats.org/officeDocument/2006/relationships/hyperlink" Target="https://www.ebay.com/mesh/ord/details?mode=SH&amp;srn=2308&amp;orderid=04-14673-29820&amp;source=Orders&amp;ru=https%3A%2F%2Fwww.ebay.com%2Fsh%2Ford" TargetMode="External"/><Relationship Id="rId559" Type="http://schemas.openxmlformats.org/officeDocument/2006/relationships/hyperlink" Target="https://www.ebay.com/mesh/ord/details?mode=SH&amp;srn=2491&amp;orderid=10-14830-16458&amp;source=Orders&amp;ru=https%3A%2F%2Fwww.ebay.com%2Fsh%2Ford%2F%3Ffilter%3Dstatus%253AAWAITING_SHIPMENT" TargetMode="External"/><Relationship Id="rId1380" Type="http://schemas.openxmlformats.org/officeDocument/2006/relationships/table" Target="../tables/table102.xml"/><Relationship Id="rId550" Type="http://schemas.openxmlformats.org/officeDocument/2006/relationships/hyperlink" Target="https://www.ebay.com/mesh/ord/details?mode=SH&amp;srn=2480&amp;orderid=05-14826-61903&amp;source=Orders&amp;ru=https%3A%2F%2Fwww.ebay.com%2Fsh%2Ford" TargetMode="External"/><Relationship Id="rId792" Type="http://schemas.openxmlformats.org/officeDocument/2006/relationships/hyperlink" Target="https://www.ebay.com/mesh/ord/details?mode=SH&amp;srn=1224&amp;orderid=19-14943-52725&amp;source=Orders&amp;ru=https%3A%2F%2Fwww.ebay.com%2Fsh%2Ford%2F%3Ffilter%3Dstatus%253AAWAITING_SHIPMENT" TargetMode="External"/><Relationship Id="rId1381" Type="http://schemas.openxmlformats.org/officeDocument/2006/relationships/table" Target="../tables/table103.xml"/><Relationship Id="rId791" Type="http://schemas.openxmlformats.org/officeDocument/2006/relationships/hyperlink" Target="https://www.ebay.com/mesh/ord/details?mode=SH&amp;srn=2661&amp;orderid=19-14942-65883&amp;source=Orders&amp;ru=https%3A%2F%2Fwww.ebay.com%2Fsh%2Ford%2F%3Ffilter%3Dstatus%253AAWAITING_SHIPMENT" TargetMode="External"/><Relationship Id="rId1382" Type="http://schemas.openxmlformats.org/officeDocument/2006/relationships/table" Target="../tables/table104.xml"/><Relationship Id="rId790" Type="http://schemas.openxmlformats.org/officeDocument/2006/relationships/hyperlink" Target="https://www.ebay.com/mesh/ord/details?mode=SH&amp;srn=2662&amp;orderid=23-14935-93358&amp;source=Orders&amp;ru=https%3A%2F%2Fwww.ebay.com%2Fsh%2Ford%2F%3Ffilter%3Dstatus%253AAWAITING_SHIPMENT" TargetMode="External"/><Relationship Id="rId1383" Type="http://schemas.openxmlformats.org/officeDocument/2006/relationships/table" Target="../tables/table105.xml"/><Relationship Id="rId1384" Type="http://schemas.openxmlformats.org/officeDocument/2006/relationships/table" Target="../tables/table106.xml"/><Relationship Id="rId312" Type="http://schemas.openxmlformats.org/officeDocument/2006/relationships/hyperlink" Target="https://order.ebay.com/ord/show?orderId=11-14661-05946" TargetMode="External"/><Relationship Id="rId554" Type="http://schemas.openxmlformats.org/officeDocument/2006/relationships/hyperlink" Target="https://www.ebay.com/mesh/ord/details?mode=SH&amp;srn=2485&amp;orderid=22-14802-54075&amp;source=Orders&amp;ru=https%3A%2F%2Fwww.ebay.com%2Fsh%2Ford%2F%3Ffilter%3Dstatus%253AAWAITING_SHIPMENT" TargetMode="External"/><Relationship Id="rId796" Type="http://schemas.openxmlformats.org/officeDocument/2006/relationships/hyperlink" Target="https://www.ebay.com/mesh/ord/details?mode=SH&amp;srn=1228&amp;orderid=08-14965-37765&amp;source=Orders&amp;ru=https%3A%2F%2Fwww.ebay.com%2Fsh%2Ford%2F%3Ffilter%3Dstatus%253AAWAITING_SHIPMENT" TargetMode="External"/><Relationship Id="rId1385" Type="http://schemas.openxmlformats.org/officeDocument/2006/relationships/table" Target="../tables/table107.xml"/><Relationship Id="rId311" Type="http://schemas.openxmlformats.org/officeDocument/2006/relationships/hyperlink" Target="https://www.ebay.com/mesh/ord/details?mode=SH&amp;srn=2306&amp;orderid=20-14647-39887&amp;source=Orders&amp;ru=https%3A%2F%2Fwww.ebay.com%2Fsh%2Ford%2F%3Ffilter%3Dstatus%253APAID_SHIPPED" TargetMode="External"/><Relationship Id="rId553" Type="http://schemas.openxmlformats.org/officeDocument/2006/relationships/hyperlink" Target="https://www.ebay.com/mesh/ord/details?mode=SH&amp;srn=2490&amp;orderid=24-14821-67280&amp;source=Orders&amp;ru=https%3A%2F%2Fwww.ebay.com%2Fsh%2Ford%2F%3Ffilter%3Dstatus%253AAWAITING_SHIPMENT" TargetMode="External"/><Relationship Id="rId795" Type="http://schemas.openxmlformats.org/officeDocument/2006/relationships/hyperlink" Target="https://www.ebay.com/mesh/ord/details?mode=SH&amp;srn=1227&amp;orderid=26-14934-03829&amp;source=Orders&amp;ru=https%3A%2F%2Fwww.ebay.com%2Fsh%2Ford%2F%3Ffilter%3Dstatus%253AAWAITING_SHIPMENT" TargetMode="External"/><Relationship Id="rId1386" Type="http://schemas.openxmlformats.org/officeDocument/2006/relationships/table" Target="../tables/table108.xml"/><Relationship Id="rId310" Type="http://schemas.openxmlformats.org/officeDocument/2006/relationships/hyperlink" Target="https://www.ebay.com/mesh/ord/details?orderid=05-14615-97206" TargetMode="External"/><Relationship Id="rId552" Type="http://schemas.openxmlformats.org/officeDocument/2006/relationships/hyperlink" Target="https://www.ebay.com/mesh/ord/details?mode=SH&amp;srn=2479&amp;orderid=01-14833-95517&amp;source=Orders&amp;ru=https%3A%2F%2Fwww.ebay.com%2Fsh%2Ford" TargetMode="External"/><Relationship Id="rId794" Type="http://schemas.openxmlformats.org/officeDocument/2006/relationships/hyperlink" Target="https://www.ebay.com/mesh/ord/details?mode=SH&amp;srn=2664&amp;orderid=22-14939-47070&amp;source=Orders&amp;ru=https%3A%2F%2Fwww.ebay.com%2Fsh%2Ford%2F%3Ffilter%3Dstatus%253AAWAITING_SHIPMENT" TargetMode="External"/><Relationship Id="rId1387" Type="http://schemas.openxmlformats.org/officeDocument/2006/relationships/table" Target="../tables/table109.xml"/><Relationship Id="rId551" Type="http://schemas.openxmlformats.org/officeDocument/2006/relationships/hyperlink" Target="https://www.ebay.com/mesh/ord/details?mode=SH&amp;srn=2482&amp;orderid=09-14820-06296&amp;source=Orders&amp;ru=https%3A%2F%2Fwww.ebay.com%2Fsh%2Ford" TargetMode="External"/><Relationship Id="rId793" Type="http://schemas.openxmlformats.org/officeDocument/2006/relationships/hyperlink" Target="https://www.ebay.com/mesh/ord/details?mode=SH&amp;srn=2660&amp;orderid=01-14975-43533&amp;source=Orders&amp;ru=https%3A%2F%2Fwww.ebay.com%2Fsh%2Ford%2F%3Ffilter%3Dstatus%253AAWAITING_SHIPMENT" TargetMode="External"/><Relationship Id="rId1388" Type="http://schemas.openxmlformats.org/officeDocument/2006/relationships/table" Target="../tables/table110.xml"/><Relationship Id="rId297" Type="http://schemas.openxmlformats.org/officeDocument/2006/relationships/hyperlink" Target="https://www.ebay.com/mesh/ord/details?mode=SH&amp;srn=2294&amp;orderid=14-14649-80222&amp;source=Orders&amp;ru=https%3A%2F%2Fwww.ebay.com%2Fsh%2Ford%2F%3Ffilter%3Dstatus%253AAWAITING_SHIPMENT" TargetMode="External"/><Relationship Id="rId296" Type="http://schemas.openxmlformats.org/officeDocument/2006/relationships/hyperlink" Target="https://www.ebay.com/mesh/ord/details?mode=SH&amp;srn=2297&amp;orderid=17-14646-46418&amp;source=Orders&amp;ru=https%3A%2F%2Fwww.ebay.com%2Fsh%2Ford%2F%3Ffilter%3Dstatus%253AAWAITING_SHIPMENT" TargetMode="External"/><Relationship Id="rId295" Type="http://schemas.openxmlformats.org/officeDocument/2006/relationships/hyperlink" Target="https://www.ebay.com/mesh/ord/details?mode=SH&amp;srn=1128&amp;orderid=18-14634-15967&amp;source=Orders&amp;ru=https%3A%2F%2Fwww.ebay.com%2Fsh%2Ford%2F%3Ffilter%3Dstatus%253APAID_SHIPPED" TargetMode="External"/><Relationship Id="rId294" Type="http://schemas.openxmlformats.org/officeDocument/2006/relationships/hyperlink" Target="https://www.ebay.com/mesh/ord/details?mode=SH&amp;srn=2287&amp;orderid=17-14635-12767&amp;source=Orders&amp;ru=https%3A%2F%2Fwww.ebay.com%2Fsh%2Ford%2F%3Ffilter%3Dstatus%253APAID_SHIPPED" TargetMode="External"/><Relationship Id="rId299" Type="http://schemas.openxmlformats.org/officeDocument/2006/relationships/hyperlink" Target="https://www.ebay.com/mesh/ord/details?mode=SH&amp;srn=2293&amp;orderid=08-14657-21342&amp;source=Orders&amp;ru=https%3A%2F%2Fwww.ebay.com%2Fsh%2Ford%2F%3Ffilter%3Dstatus%253APAID_SHIPPED" TargetMode="External"/><Relationship Id="rId298" Type="http://schemas.openxmlformats.org/officeDocument/2006/relationships/hyperlink" Target="https://www.ebay.com/mesh/ord/details?mode=SH&amp;srn=2298&amp;orderid=25-14635-56626&amp;source=Orders&amp;ru=https%3A%2F%2Fwww.ebay.com%2Fsh%2Ford" TargetMode="External"/><Relationship Id="rId271" Type="http://schemas.openxmlformats.org/officeDocument/2006/relationships/hyperlink" Target="https://www.ebay.com/mesh/ord/details?mode=SH&amp;srn=2275&amp;orderid=11-14635-97918&amp;source=Orders&amp;ru=https%3A%2F%2Fwww.ebay.com%2Fsh%2Ford" TargetMode="External"/><Relationship Id="rId270" Type="http://schemas.openxmlformats.org/officeDocument/2006/relationships/hyperlink" Target="https://www.ebay.com/mesh/ord/details?mode=SH&amp;srn=1126&amp;orderid=25-14611-53714&amp;source=Orders&amp;ru=https%3A%2F%2Fwww.ebay.com%2Fsh%2Ford%2F%3Ffilter%3Dstatus%253AAWAITING_SHIPMENT" TargetMode="External"/><Relationship Id="rId269" Type="http://schemas.openxmlformats.org/officeDocument/2006/relationships/hyperlink" Target="https://www.ebay.com/mesh/ord/details?mode=SH&amp;srn=1124&amp;orderid=12-14630-16168&amp;source=Orders&amp;ru=https%3A%2F%2Fwww.ebay.com%2Fsh%2Ford%2F%3Ffilter%3Dstatus%253AAWAITING_SHIPMENT" TargetMode="External"/><Relationship Id="rId264" Type="http://schemas.openxmlformats.org/officeDocument/2006/relationships/hyperlink" Target="https://www.ebay.com/mesh/ord/details?mode=SH&amp;srn=1123&amp;orderid=13-14625-37065&amp;source=Orders&amp;ru=https%3A%2F%2Fwww.ebay.com%2Fsh%2Ford" TargetMode="External"/><Relationship Id="rId263" Type="http://schemas.openxmlformats.org/officeDocument/2006/relationships/hyperlink" Target="https://www.ebay.com/mesh/ord/details?mode=SH&amp;srn=2269&amp;orderid=24-14618-65234&amp;source=Orders&amp;ru=https%3A%2F%2Fwww.ebay.com%2Fsh%2Ford%2F%3Ffilter%3Dstatus%253APAID_SHIPPED" TargetMode="External"/><Relationship Id="rId262" Type="http://schemas.openxmlformats.org/officeDocument/2006/relationships/hyperlink" Target="https://www.ebay.com/mesh/ord/details?mode=SH&amp;srn=2266&amp;orderid=05-14632-43770&amp;source=Orders&amp;ru=https%3A%2F%2Fwww.ebay.com%2Fsh%2Ford" TargetMode="External"/><Relationship Id="rId261" Type="http://schemas.openxmlformats.org/officeDocument/2006/relationships/hyperlink" Target="https://www.ebay.com/mesh/ord/details?mode=SH&amp;srn=2267&amp;orderid=24-14617-80810&amp;source=Orders&amp;ru=https%3A%2F%2Fwww.ebay.com%2Fsh%2Ford%2F%3Ffilter%3Dstatus%253AAWAITING_SHIPMENT" TargetMode="External"/><Relationship Id="rId268" Type="http://schemas.openxmlformats.org/officeDocument/2006/relationships/hyperlink" Target="https://www.ebay.com/mesh/ord/details?mode=SH&amp;srn=2271&amp;orderid=01-14647-20844&amp;source=Orders&amp;ru=https%3A%2F%2Fwww.ebay.com%2Fsh%2Ford%2F%3Ffilter%3Dstatus%253AAWAITING_SHIPMENT" TargetMode="External"/><Relationship Id="rId267" Type="http://schemas.openxmlformats.org/officeDocument/2006/relationships/hyperlink" Target="https://www.ebay.com/mesh/ord/details?mode=SH&amp;srn=2272&amp;orderid=14-14626-40983&amp;source=Orders&amp;ru=https%3A%2F%2Fwww.ebay.com%2Fsh%2Ford%2F%3Ffilter%3Dstatus%253AAWAITING_SHIPMENT" TargetMode="External"/><Relationship Id="rId266" Type="http://schemas.openxmlformats.org/officeDocument/2006/relationships/hyperlink" Target="https://www.ebay.com/mesh/ord/details?orderid=23-14486-25225" TargetMode="External"/><Relationship Id="rId265" Type="http://schemas.openxmlformats.org/officeDocument/2006/relationships/hyperlink" Target="https://www.ebay.com/mesh/ord/details?mode=SH&amp;srn=2270&amp;orderid=17-14619-04479&amp;source=Orders&amp;ru=https%3A%2F%2Fwww.ebay.com%2Fsh%2Ford%2F%3Ffilter%3Dstatus%253APAID_SHIPPED" TargetMode="External"/><Relationship Id="rId260" Type="http://schemas.openxmlformats.org/officeDocument/2006/relationships/hyperlink" Target="https://www.ebay.com/mesh/ord/details?mode=SH&amp;srn=2268&amp;orderid=14-14618-74195&amp;source=Orders&amp;ru=https%3A%2F%2Fwww.ebay.com%2Fsh%2Ford%2F%3Ffilter%3Dstatus%253APAID_SHIPPED" TargetMode="External"/><Relationship Id="rId259" Type="http://schemas.openxmlformats.org/officeDocument/2006/relationships/hyperlink" Target="https://www.ebay.com/mesh/ord/details?mode=SH&amp;srn=2256&amp;orderid=12-14612-39952&amp;source=Orders&amp;ru=https%3A%2F%2Fwww.ebay.com%2Fsh%2Ford%2F%3Ffilter%3Dstatus%253APAID_SHIPPED" TargetMode="External"/><Relationship Id="rId258" Type="http://schemas.openxmlformats.org/officeDocument/2006/relationships/hyperlink" Target="https://www.ebay.com/mesh/ord/details?mode=SH&amp;srn=2261&amp;orderid=12-14619-50844&amp;source=Orders&amp;ru=https%3A%2F%2Fwww.ebay.com%2Fsh%2Ford%2F%3Ffilter%3Dstatus%253APAID_SHIPPED" TargetMode="External"/><Relationship Id="rId253" Type="http://schemas.openxmlformats.org/officeDocument/2006/relationships/hyperlink" Target="https://www.ebay.com/mesh/ord/details?mode=SH&amp;srn=2265&amp;orderid=11-14622-45899&amp;source=Orders&amp;ru=https%3A%2F%2Fwww.ebay.com%2Fsh%2Ford%2F%3Ffilter%3Dstatus%253APAID_SHIPPED" TargetMode="External"/><Relationship Id="rId495" Type="http://schemas.openxmlformats.org/officeDocument/2006/relationships/hyperlink" Target="https://www.ebay.com/mesh/ord/details?mode=SH&amp;srn=2435&amp;orderid=02-14795-29524&amp;source=Orders&amp;ru=https%3A%2F%2Fwww.ebay.com%2Fsh%2Ford" TargetMode="External"/><Relationship Id="rId252" Type="http://schemas.openxmlformats.org/officeDocument/2006/relationships/hyperlink" Target="https://order.ebay.com/ord/show?itemId=406881259449&amp;transactionId=10080181809925" TargetMode="External"/><Relationship Id="rId494" Type="http://schemas.openxmlformats.org/officeDocument/2006/relationships/hyperlink" Target="https://www.ebay.com/mesh/ord/details?mode=SH&amp;srn=1175&amp;orderid=20-14765-47684&amp;source=Orders&amp;ru=https%3A%2F%2Fwww.ebay.com%2Fsh%2Ford" TargetMode="External"/><Relationship Id="rId251" Type="http://schemas.openxmlformats.org/officeDocument/2006/relationships/hyperlink" Target="https://www.ebay.com/mesh/ord/details?mode=SH&amp;srn=2264&amp;orderid=24-14617-23199&amp;source=Orders&amp;ru=https%3A%2F%2Fwww.ebay.com%2Fsh%2Ford%2F%3Ffilter%3Dstatus%253AAWAITING_SHIPMENT" TargetMode="External"/><Relationship Id="rId493" Type="http://schemas.openxmlformats.org/officeDocument/2006/relationships/hyperlink" Target="https://www.ebay.com/mesh/ord/details?mode=SH&amp;srn=2437&amp;orderid=25-14757-96691&amp;source=Orders&amp;ru=https%3A%2F%2Fwww.ebay.com%2Fsh%2Ford%2F%3Ffilter%3Dstatus%253AALL_ORDERS%26partialRefresh%3Dtrue" TargetMode="External"/><Relationship Id="rId250" Type="http://schemas.openxmlformats.org/officeDocument/2006/relationships/hyperlink" Target="https://www.ebay.com/mesh/ord/details?mode=SH&amp;srn=1122&amp;orderid=27-14597-01551&amp;source=Orders&amp;ru=https%3A%2F%2Fwww.ebay.com%2Fsh%2Ford%2F%3Ffilter%3Dstatus%253APAID_SHIPPED" TargetMode="External"/><Relationship Id="rId492" Type="http://schemas.openxmlformats.org/officeDocument/2006/relationships/hyperlink" Target="https://www.ebay.com/mesh/ord/details?mode=SH&amp;srn=2434&amp;orderid=03-14792-97493&amp;source=Orders&amp;ru=https%3A%2F%2Fwww.ebay.com%2Fsh%2Ford" TargetMode="External"/><Relationship Id="rId257" Type="http://schemas.openxmlformats.org/officeDocument/2006/relationships/hyperlink" Target="https://www.ebay.com/mesh/ord/details?mode=SH&amp;srn=2254&amp;orderid=13-14606-77868&amp;source=Orders&amp;ru=https%3A%2F%2Fwww.ebay.com%2Fsh%2Ford%2F%3Ffilter%3Dstatus%253APAID_SHIPPED" TargetMode="External"/><Relationship Id="rId499" Type="http://schemas.openxmlformats.org/officeDocument/2006/relationships/hyperlink" Target="https://www.ebay.com/mesh/ord/details?orderid=20-14640-79042" TargetMode="External"/><Relationship Id="rId256" Type="http://schemas.openxmlformats.org/officeDocument/2006/relationships/hyperlink" Target="https://www.ebay.com/mesh/ord/details?mode=SH&amp;srn=2262&amp;orderid=14-14616-72700&amp;source=Orders&amp;ru=https%3A%2F%2Fwww.ebay.com%2Fsh%2Ford%2F%3Ffilter%3Dstatus%253APAID_SHIPPED" TargetMode="External"/><Relationship Id="rId498" Type="http://schemas.openxmlformats.org/officeDocument/2006/relationships/hyperlink" Target="https://www.ebay.com/mesh/ord/details?mode=SH&amp;srn=2440&amp;orderid=20-14768-66959&amp;source=Orders&amp;ru=https%3A%2F%2Fwww.ebay.com%2Fsh%2Ford%2F%3Ffilter%3Dstatus%253AAWAITING_SHIPMENT" TargetMode="External"/><Relationship Id="rId255" Type="http://schemas.openxmlformats.org/officeDocument/2006/relationships/hyperlink" Target="https://www.ebay.com/mesh/ord/details?mode=SH&amp;srn=2263&amp;orderid=19-14609-14559&amp;source=Orders&amp;ru=https%3A%2F%2Fwww.ebay.com%2Fsh%2Ford%2F%3Ffilter%3Dstatus%253APAID_SHIPPED" TargetMode="External"/><Relationship Id="rId497" Type="http://schemas.openxmlformats.org/officeDocument/2006/relationships/hyperlink" Target="https://www.ebay.com/mesh/ord/details?mode=SH&amp;srn=2439&amp;orderid=17-14773-27991&amp;source=Orders&amp;ru=https%3A%2F%2Fwww.ebay.com%2Fsh%2Ford%2F%3Ffilter%3Dstatus%253AAWAITING_SHIPMENT" TargetMode="External"/><Relationship Id="rId254" Type="http://schemas.openxmlformats.org/officeDocument/2006/relationships/hyperlink" Target="https://www.ebay.com/mesh/ord/details?orderid=14-14571-85551" TargetMode="External"/><Relationship Id="rId496" Type="http://schemas.openxmlformats.org/officeDocument/2006/relationships/hyperlink" Target="https://www.ebay.com/mesh/ord/details?mode=SH&amp;srn=2441&amp;orderid=06-14792-50452&amp;source=Orders&amp;ru=https%3A%2F%2Fwww.ebay.com%2Fsh%2Ford%2F%3Ffilter%3Dstatus%253AAWAITING_SHIPMENT" TargetMode="External"/><Relationship Id="rId293" Type="http://schemas.openxmlformats.org/officeDocument/2006/relationships/hyperlink" Target="https://www.ebay.com/mesh/ord/details?mode=SH&amp;srn=2288&amp;orderid=12-14643-46201&amp;source=Orders&amp;ru=https%3A%2F%2Fwww.ebay.com%2Fsh%2Ford%2F%3Ffilter%3Dstatus%253APAID_SHIPPED" TargetMode="External"/><Relationship Id="rId292" Type="http://schemas.openxmlformats.org/officeDocument/2006/relationships/hyperlink" Target="https://www.ebay.com/mesh/ord/details?mode=SH&amp;srn=2289&amp;orderid=11-14645-62310&amp;source=Orders&amp;ru=https%3A%2F%2Fwww.ebay.com%2Fsh%2Ford%2F%3Ffilter%3Dstatus%253APAID_SHIPPED" TargetMode="External"/><Relationship Id="rId291" Type="http://schemas.openxmlformats.org/officeDocument/2006/relationships/hyperlink" Target="https://order.ebay.com/ord/show?orderId=08-14656-35349" TargetMode="External"/><Relationship Id="rId290" Type="http://schemas.openxmlformats.org/officeDocument/2006/relationships/hyperlink" Target="https://www.ebay.com/mesh/ord/details?mode=SH&amp;srn=1120&amp;orderid=03-14622-25218&amp;source=Orders&amp;ru=https%3A%2F%2Fwww.ebay.com%2Fsh%2Ford" TargetMode="External"/><Relationship Id="rId286" Type="http://schemas.openxmlformats.org/officeDocument/2006/relationships/hyperlink" Target="https://www.ebay.com/mesh/ord/details?mode=SH&amp;srn=2290&amp;orderid=02-14660-59379&amp;source=Orders&amp;ru=https%3A%2F%2Fwww.ebay.com%2Fsh%2Ford" TargetMode="External"/><Relationship Id="rId285" Type="http://schemas.openxmlformats.org/officeDocument/2006/relationships/hyperlink" Target="https://www.ebay.com/mesh/ord/details?mode=SH&amp;srn=2291&amp;orderid=06-14659-71265&amp;source=Orders&amp;ru=https%3A%2F%2Fwww.ebay.com%2Fsh%2Ford" TargetMode="External"/><Relationship Id="rId284" Type="http://schemas.openxmlformats.org/officeDocument/2006/relationships/hyperlink" Target="https://www.ebay.com/mesh/ord/details?mode=SH&amp;srn=2283&amp;orderid=17-14631-98968&amp;source=Orders&amp;ru=https%3A%2F%2Fwww.ebay.com%2Fsh%2Ford%2F%3Ffilter%3Dstatus%253AAWAITING_SHIPMENT" TargetMode="External"/><Relationship Id="rId283" Type="http://schemas.openxmlformats.org/officeDocument/2006/relationships/hyperlink" Target="https://www.ebay.com/mesh/ord/details?mode=SH&amp;srn=1127&amp;orderid=05-14654-24581&amp;source=Orders&amp;ru=https%3A%2F%2Fwww.ebay.com%2Fsh%2Ford%2F%3Ffilter%3Dstatus%253AAWAITING_SHIPMENT" TargetMode="External"/><Relationship Id="rId289" Type="http://schemas.openxmlformats.org/officeDocument/2006/relationships/hyperlink" Target="https://www.ebay.com/mesh/ord/details?mode=SH&amp;srn=2284&amp;orderid=20-14629-17141&amp;source=Orders&amp;ru=https%3A%2F%2Fwww.ebay.com%2Fsh%2Ford" TargetMode="External"/><Relationship Id="rId288" Type="http://schemas.openxmlformats.org/officeDocument/2006/relationships/hyperlink" Target="https://www.ebay.com/mesh/ord/details?mode=SH&amp;srn=2285&amp;orderid=01-14660-12131&amp;source=Orders&amp;ru=https%3A%2F%2Fwww.ebay.com%2Fsh%2Ford" TargetMode="External"/><Relationship Id="rId287" Type="http://schemas.openxmlformats.org/officeDocument/2006/relationships/hyperlink" Target="https://www.ebay.com/mesh/ord/details?mode=SH&amp;srn=2286&amp;orderid=05-14654-13676&amp;source=Orders&amp;ru=https%3A%2F%2Fwww.ebay.com%2Fsh%2Ford" TargetMode="External"/><Relationship Id="rId282" Type="http://schemas.openxmlformats.org/officeDocument/2006/relationships/hyperlink" Target="https://www.ebay.com/mesh/ord/details?mode=SH&amp;srn=1129&amp;orderid=08-14654-47335&amp;source=Orders&amp;ru=https%3A%2F%2Fwww.ebay.com%2Fsh%2Ford%2F%3Ffilter%3Dstatus%253AAWAITING_SHIPMENT" TargetMode="External"/><Relationship Id="rId281" Type="http://schemas.openxmlformats.org/officeDocument/2006/relationships/hyperlink" Target="https://www.ebay.com/mesh/ord/details?mode=SH&amp;srn=2282&amp;orderid=01-14657-35819&amp;source=Orders&amp;ru=https%3A%2F%2Fwww.ebay.com%2Fsh%2Ford" TargetMode="External"/><Relationship Id="rId280" Type="http://schemas.openxmlformats.org/officeDocument/2006/relationships/hyperlink" Target="https://www.ebay.com/mesh/ord/details?mode=SH&amp;srn=2281&amp;orderid=02-14654-34123&amp;source=Orders&amp;ru=https%3A%2F%2Fwww.ebay.com%2Fsh%2Ford%2F%3Ffilter%3Dstatus%253AAWAITING_SHIPMENT" TargetMode="External"/><Relationship Id="rId275" Type="http://schemas.openxmlformats.org/officeDocument/2006/relationships/hyperlink" Target="https://www.ebay.com/mesh/ord/details?mode=SH&amp;srn=1125&amp;orderid=01-14648-38792&amp;source=Orders&amp;ru=https%3A%2F%2Fwww.ebay.com%2Fsh%2Ford%2F%3Ffilter%3Dstatus%253APAID_SHIPPED" TargetMode="External"/><Relationship Id="rId274" Type="http://schemas.openxmlformats.org/officeDocument/2006/relationships/hyperlink" Target="https://www.ebay.com/mesh/ord/details?mode=SH&amp;srn=2273&amp;orderid=09-14636-81964&amp;source=Orders&amp;ru=https%3A%2F%2Fwww.ebay.com%2Fsh%2Ford%2F%3Ffilter%3Dstatus%253APAID_SHIPPED" TargetMode="External"/><Relationship Id="rId273" Type="http://schemas.openxmlformats.org/officeDocument/2006/relationships/hyperlink" Target="https://www.ebay.com/mesh/ord/details?mode=SH&amp;srn=2274&amp;orderid=03-14648-26115&amp;source=Orders&amp;ru=https%3A%2F%2Fwww.ebay.com%2Fsh%2Ford" TargetMode="External"/><Relationship Id="rId272" Type="http://schemas.openxmlformats.org/officeDocument/2006/relationships/hyperlink" Target="https://www.ebay.com/mesh/ord/details?mode=SH&amp;srn=2277&amp;orderid=12-14634-75162&amp;source=Orders&amp;ru=https%3A%2F%2Fwww.ebay.com%2Fsh%2Ford%2F%3Ffilter%3Dstatus%253APAID_SHIPPED" TargetMode="External"/><Relationship Id="rId279" Type="http://schemas.openxmlformats.org/officeDocument/2006/relationships/hyperlink" Target="https://www.ebay.com/mesh/ord/details?mode=SH&amp;srn=2278&amp;orderid=01-14652-99189&amp;source=Orders&amp;ru=https%3A%2F%2Fwww.ebay.com%2Fsh%2Ford%2F%3Ffilter%3Dstatus%253APAID_SHIPPED" TargetMode="External"/><Relationship Id="rId278" Type="http://schemas.openxmlformats.org/officeDocument/2006/relationships/hyperlink" Target="https://www.ebay.com/mesh/ord/details?mode=SH&amp;srn=2279&amp;orderid=05-14646-74905&amp;source=Orders&amp;ru=https%3A%2F%2Fwww.ebay.com%2Fsh%2Ford" TargetMode="External"/><Relationship Id="rId277" Type="http://schemas.openxmlformats.org/officeDocument/2006/relationships/hyperlink" Target="https://www.ebay.com/mesh/ord/details?mode=SH&amp;srn=2280&amp;orderid=27-14613-26162&amp;source=Orders&amp;ru=https%3A%2F%2Fwww.ebay.com%2Fsh%2Ford" TargetMode="External"/><Relationship Id="rId276" Type="http://schemas.openxmlformats.org/officeDocument/2006/relationships/hyperlink" Target="https://www.ebay.com/mesh/ord/details?mode=SH&amp;srn=2276&amp;orderid=07-14642-45748&amp;source=Orders&amp;ru=https%3A%2F%2Fwww.ebay.com%2Fsh%2Ford" TargetMode="External"/><Relationship Id="rId907" Type="http://schemas.openxmlformats.org/officeDocument/2006/relationships/hyperlink" Target="https://www.ebay.com/mesh/ord/details?mode=SH&amp;srn=2749&amp;orderid=12-15018-84532&amp;source=Orders&amp;ru=https%3A%2F%2Fwww.ebay.com%2Fsh%2Ford%2F%3Ffilter%3Dstatus%253AAWAITING_SHIPMENT" TargetMode="External"/><Relationship Id="rId906" Type="http://schemas.openxmlformats.org/officeDocument/2006/relationships/hyperlink" Target="https://www.ebay.com/mesh/ord/details?mode=SH&amp;srn=2744&amp;orderid=10-15018-33817&amp;source=Orders&amp;ru=https%3A%2F%2Fwww.ebay.com%2Fsh%2Ford" TargetMode="External"/><Relationship Id="rId905" Type="http://schemas.openxmlformats.org/officeDocument/2006/relationships/hyperlink" Target="https://www.ebay.com/mesh/ord/details?mode=SH&amp;srn=2747&amp;orderid=22-14999-35477&amp;source=Orders&amp;ru=https%3A%2F%2Fwww.ebay.com%2Fsh%2Ford%2F%3Ffilter%3Dstatus%253APAID_SHIPPED" TargetMode="External"/><Relationship Id="rId904" Type="http://schemas.openxmlformats.org/officeDocument/2006/relationships/hyperlink" Target="https://www.ebay.com/mesh/ord/details?mode=SH&amp;srn=2745&amp;orderid=06-15025-95463&amp;source=Orders&amp;ru=https%3A%2F%2Fwww.ebay.com%2Fsh%2Ford%2F%3Ffilter%3Dstatus%253APAID_SHIPPED" TargetMode="External"/><Relationship Id="rId909" Type="http://schemas.openxmlformats.org/officeDocument/2006/relationships/hyperlink" Target="https://www.ebay.com/mesh/ord/details?mode=SH&amp;srn=2748&amp;orderid=03-15034-49983&amp;source=Orders&amp;ru=https%3A%2F%2Fwww.ebay.com%2Fsh%2Ford%2F%3Ffilter%3Dstatus%253AAWAITING_SHIPMENT" TargetMode="External"/><Relationship Id="rId908" Type="http://schemas.openxmlformats.org/officeDocument/2006/relationships/hyperlink" Target="https://www.ebay.com/mesh/ord/details?mode=SH&amp;srn=2746&amp;orderid=05-15029-43618&amp;source=Orders&amp;ru=https%3A%2F%2Fwww.ebay.com%2Fsh%2Ford%2F%3Ffilter%3Dstatus%253AAWAITING_SHIPMENT" TargetMode="External"/><Relationship Id="rId903" Type="http://schemas.openxmlformats.org/officeDocument/2006/relationships/hyperlink" Target="https://www.ebay.com/mesh/ord/details?mode=SH&amp;srn=2739&amp;orderid=09-15017-73269&amp;source=Orders&amp;ru=https%3A%2F%2Fwww.ebay.com%2Fsh%2Ford%2F%3Ffilter%3Dstatus%253AAWAITING_SHIPMENT" TargetMode="External"/><Relationship Id="rId902" Type="http://schemas.openxmlformats.org/officeDocument/2006/relationships/hyperlink" Target="https://www.ebay.com/mesh/ord/details?mode=SH&amp;srn=2740&amp;orderid=17-15004-09143&amp;source=Orders&amp;ru=https%3A%2F%2Fwww.ebay.com%2Fsh%2Ford%2F%3Ffilter%3Dstatus%253AAWAITING_SHIPMENT" TargetMode="External"/><Relationship Id="rId901" Type="http://schemas.openxmlformats.org/officeDocument/2006/relationships/hyperlink" Target="https://www.ebay.com/mesh/ord/details?mode=SH&amp;srn=2738&amp;orderid=01-15032-35343&amp;source=Orders&amp;ru=https%3A%2F%2Fwww.ebay.com%2Fsh%2Ford" TargetMode="External"/><Relationship Id="rId900" Type="http://schemas.openxmlformats.org/officeDocument/2006/relationships/hyperlink" Target="https://www.ebay.com/mesh/ord/details?mode=SH&amp;srn=2743&amp;orderid=01-15035-94159&amp;source=Orders&amp;ru=https%3A%2F%2Fwww.ebay.com%2Fsh%2Ford%2F%3Ffilter%3Dstatus%253AAWAITING_SHIPMENT" TargetMode="External"/><Relationship Id="rId929" Type="http://schemas.openxmlformats.org/officeDocument/2006/relationships/hyperlink" Target="https://www.ebay.com/mesh/ord/details?mode=SH&amp;srn=2765&amp;orderid=02-15058-05494&amp;source=Orders&amp;ru=https%3A%2F%2Fwww.ebay.com%2Fsh%2Ford" TargetMode="External"/><Relationship Id="rId928" Type="http://schemas.openxmlformats.org/officeDocument/2006/relationships/hyperlink" Target="https://www.ebay.com/mesh/ord/details?mode=SH&amp;srn=2764&amp;orderid=10-15042-81820&amp;source=Orders&amp;ru=https%3A%2F%2Fwww.ebay.com%2Fsh%2Ford" TargetMode="External"/><Relationship Id="rId927" Type="http://schemas.openxmlformats.org/officeDocument/2006/relationships/hyperlink" Target="https://www.ebay.com/mesh/ord/details?mode=SH&amp;srn=2759&amp;orderid=02-15050-08189&amp;source=Orders&amp;ru=https%3A%2F%2Fwww.ebay.com%2Fsh%2Ford%2F%3Ffilter%3Dstatus%253AAWAITING_SHIPMENT" TargetMode="External"/><Relationship Id="rId926" Type="http://schemas.openxmlformats.org/officeDocument/2006/relationships/hyperlink" Target="https://www.ebay.com/mesh/ord/details?mode=SH&amp;srn=2760&amp;orderid=14-15028-52936&amp;source=Orders&amp;ru=https%3A%2F%2Fwww.ebay.com%2Fsh%2Ford%2F%3Ffilter%3Dstatus%253AAWAITING_SHIPMENT" TargetMode="External"/><Relationship Id="rId921" Type="http://schemas.openxmlformats.org/officeDocument/2006/relationships/hyperlink" Target="https://www.ebay.com/mesh/ord/details?mode=SH&amp;srn=1251&amp;orderid=20-15025-62142&amp;source=Orders&amp;ru=https%3A%2F%2Fwww.ebay.com%2Fsh%2Ford%2F%3Ffilter%3Dstatus%253APAID_SHIPPED" TargetMode="External"/><Relationship Id="rId920" Type="http://schemas.openxmlformats.org/officeDocument/2006/relationships/hyperlink" Target="https://www.ebay.com/mesh/ord/details?mode=SH&amp;srn=1249&amp;orderid=08-15031-62763&amp;source=Orders&amp;ru=https%3A%2F%2Fwww.ebay.com%2Fsh%2Ford" TargetMode="External"/><Relationship Id="rId925" Type="http://schemas.openxmlformats.org/officeDocument/2006/relationships/hyperlink" Target="https://www.ebay.com/mesh/ord/details?mode=SH&amp;srn=2761&amp;orderid=14-15031-54341&amp;source=Orders&amp;ru=https%3A%2F%2Fwww.ebay.com%2Fsh%2Ford%2F%3Ffilter%3Dstatus%253AAWAITING_SHIPMENT" TargetMode="External"/><Relationship Id="rId924" Type="http://schemas.openxmlformats.org/officeDocument/2006/relationships/hyperlink" Target="https://www.ebay.com/mesh/ord/details?mode=SH&amp;srn=2762&amp;orderid=24-15030-64946&amp;source=Orders&amp;ru=https%3A%2F%2Fwww.ebay.com%2Fsh%2Ford%2F%3Ffilter%3Dstatus%253AAWAITING_SHIPMENT" TargetMode="External"/><Relationship Id="rId923" Type="http://schemas.openxmlformats.org/officeDocument/2006/relationships/hyperlink" Target="https://www.ebay.com/mesh/ord/details?mode=SH&amp;srn=2758&amp;orderid=22-15011-98336&amp;source=Orders&amp;ru=https%3A%2F%2Fwww.ebay.com%2Fsh%2Ford%2F%3Ffilter%3Dstatus%253APAID_SHIPPED" TargetMode="External"/><Relationship Id="rId922" Type="http://schemas.openxmlformats.org/officeDocument/2006/relationships/hyperlink" Target="https://www.ebay.com/mesh/ord/details?mode=SH&amp;srn=1250&amp;orderid=05-15046-77939&amp;source=Orders&amp;ru=https%3A%2F%2Fwww.ebay.com%2Fsh%2Ford%2F%3Ffilter%3Dstatus%253APAID_SHIPPED" TargetMode="External"/><Relationship Id="rId918" Type="http://schemas.openxmlformats.org/officeDocument/2006/relationships/hyperlink" Target="https://www.ebay.com/mesh/ord/details?mode=SH&amp;srn=2756&amp;orderid=21-15008-62199&amp;source=Orders&amp;ru=https%3A%2F%2Fwww.ebay.com%2Fsh%2Ford%2F%3Ffilter%3Dstatus%253APAID_SHIPPED" TargetMode="External"/><Relationship Id="rId917" Type="http://schemas.openxmlformats.org/officeDocument/2006/relationships/hyperlink" Target="https://www.ebay.com/mesh/ord/details?mode=SH&amp;srn=2757&amp;orderid=18-15014-60341&amp;source=Orders&amp;ru=https%3A%2F%2Fwww.ebay.com%2Fsh%2Ford%2F%3Ffilter%3Dstatus%253APAID_SHIPPED" TargetMode="External"/><Relationship Id="rId916" Type="http://schemas.openxmlformats.org/officeDocument/2006/relationships/hyperlink" Target="https://www.ebay.com/mesh/ord/details?mode=SH&amp;srn=2754&amp;orderid=20-15009-25024&amp;source=Orders&amp;ru=https%3A%2F%2Fwww.ebay.com%2Fsh%2Ford%2F%3Ffilter%3Dstatus%253AAWAITING_SHIPMENT" TargetMode="External"/><Relationship Id="rId915" Type="http://schemas.openxmlformats.org/officeDocument/2006/relationships/hyperlink" Target="https://www.ebay.com/mesh/ord/details?mode=SH&amp;srn=2751&amp;orderid=11-15024-27164&amp;source=Orders&amp;ru=https%3A%2F%2Fwww.ebay.com%2Fsh%2Ford" TargetMode="External"/><Relationship Id="rId919" Type="http://schemas.openxmlformats.org/officeDocument/2006/relationships/hyperlink" Target="https://www.ebay.com/mesh/ord/details?mode=SH&amp;srn=2755&amp;orderid=12-15024-02718&amp;source=Orders&amp;ru=https%3A%2F%2Fwww.ebay.com%2Fsh%2Ford" TargetMode="External"/><Relationship Id="rId910" Type="http://schemas.openxmlformats.org/officeDocument/2006/relationships/hyperlink" Target="https://www.ebay.com/mesh/ord/details?mode=SH&amp;srn=1247&amp;orderid=16-15011-84533&amp;source=Orders&amp;ru=https%3A%2F%2Fwww.ebay.com%2Fsh%2Ford%2F%3Ffilter%3Dstatus%253AAWAITING_SHIPMENT" TargetMode="External"/><Relationship Id="rId914" Type="http://schemas.openxmlformats.org/officeDocument/2006/relationships/hyperlink" Target="https://www.ebay.com/mesh/ord/details?mode=SH&amp;srn=2753&amp;orderid=01-15044-59885&amp;source=Orders&amp;ru=https%3A%2F%2Fwww.ebay.com%2Fsh%2Ford%2F%3Ffilter%3Dstatus%253AAWAITING_SHIPMENT" TargetMode="External"/><Relationship Id="rId913" Type="http://schemas.openxmlformats.org/officeDocument/2006/relationships/hyperlink" Target="https://www.ebay.com/mesh/ord/details?mode=SH&amp;srn=2750&amp;orderid=19-15007-88260&amp;source=Orders&amp;ru=https%3A%2F%2Fwww.ebay.com%2Fsh%2Ford%2F%3Ffilter%3Dstatus%253APAID_SHIPPED" TargetMode="External"/><Relationship Id="rId912" Type="http://schemas.openxmlformats.org/officeDocument/2006/relationships/hyperlink" Target="https://www.ebay.com/mesh/ord/details?mode=SH&amp;srn=2752&amp;orderid=24-15016-61461&amp;source=Orders&amp;ru=https%3A%2F%2Fwww.ebay.com%2Fsh%2Ford%2F%3Ffilter%3Dstatus%253APAID_SHIPPED" TargetMode="External"/><Relationship Id="rId911" Type="http://schemas.openxmlformats.org/officeDocument/2006/relationships/hyperlink" Target="https://www.ebay.com/mesh/ord/details?mode=SH&amp;srn=1248&amp;orderid=23-15003-61578&amp;source=Orders&amp;ru=https%3A%2F%2Fwww.ebay.com%2Fsh%2Ford" TargetMode="External"/><Relationship Id="rId629" Type="http://schemas.openxmlformats.org/officeDocument/2006/relationships/hyperlink" Target="https://www.ebay.com/mesh/ord/details?mode=SH&amp;srn=1197&amp;orderid=22-14846-58621&amp;source=Orders&amp;ru=https%3A%2F%2Fwww.ebay.com%2Fsh%2Ford%2F%3Ffilter%3Dstatus%253AAWAITING_SHIPMENT" TargetMode="External"/><Relationship Id="rId624" Type="http://schemas.openxmlformats.org/officeDocument/2006/relationships/hyperlink" Target="https://www.ebay.com/mesh/ord/details?mode=SH&amp;srn=2540&amp;orderid=16-14855-78489&amp;source=Orders&amp;ru=https%3A%2F%2Fwww.ebay.com%2Fsh%2Ford" TargetMode="External"/><Relationship Id="rId866" Type="http://schemas.openxmlformats.org/officeDocument/2006/relationships/hyperlink" Target="https://www.ebay.com/mesh/ord/details?mode=SH&amp;srn=2720&amp;orderid=16-14990-19936&amp;source=Orders&amp;ru=https%3A%2F%2Fwww.ebay.com%2Fsh%2Ford%2F%3Ffilter%3Dstatus%253AAWAITING_SHIPMENT" TargetMode="External"/><Relationship Id="rId623" Type="http://schemas.openxmlformats.org/officeDocument/2006/relationships/hyperlink" Target="https://www.ebay.com/mesh/ord/details?orderid=21-14794-07602" TargetMode="External"/><Relationship Id="rId865" Type="http://schemas.openxmlformats.org/officeDocument/2006/relationships/hyperlink" Target="https://www.ebay.com/mesh/ord/details?mode=SH&amp;srn=2713&amp;orderid=16-14985-86060&amp;source=Orders&amp;ru=https%3A%2F%2Fwww.ebay.com%2Fsh%2Ford%2F%3Ffilter%3Dstatus%253AAWAITING_SHIPMENT" TargetMode="External"/><Relationship Id="rId622" Type="http://schemas.openxmlformats.org/officeDocument/2006/relationships/hyperlink" Target="https://www.ebay.com/mesh/ord/details?mode=SH&amp;srn=2535&amp;orderid=03-14874-60602&amp;source=Orders&amp;ru=https%3A%2F%2Fwww.ebay.com%2Fsh%2Ford%2F%3Ffilter%3Dstatus%253AAWAITING_SHIPMENT" TargetMode="External"/><Relationship Id="rId864" Type="http://schemas.openxmlformats.org/officeDocument/2006/relationships/hyperlink" Target="https://www.ebay.com/mesh/ord/details?mode=SH&amp;srn=2711&amp;orderid=19-14980-60118&amp;source=Orders&amp;ru=https%3A%2F%2Fwww.ebay.com%2Fsh%2Ford%2F%3Ffilter%3Dstatus%253AAWAITING_SHIPMENT" TargetMode="External"/><Relationship Id="rId621" Type="http://schemas.openxmlformats.org/officeDocument/2006/relationships/hyperlink" Target="https://www.ebay.com/mesh/ord/details?mode=SH&amp;srn=2536&amp;orderid=19-14847-79372&amp;source=Orders&amp;ru=https%3A%2F%2Fwww.ebay.com%2Fsh%2Ford%2F%3Ffilter%3Dstatus%253AAWAITING_SHIPMENT" TargetMode="External"/><Relationship Id="rId863" Type="http://schemas.openxmlformats.org/officeDocument/2006/relationships/hyperlink" Target="https://www.ebay.com/mesh/ord/details?orderid=05-14944-49266" TargetMode="External"/><Relationship Id="rId628" Type="http://schemas.openxmlformats.org/officeDocument/2006/relationships/hyperlink" Target="https://www.ebay.com/mesh/ord/details?mode=SH&amp;srn=2543&amp;orderid=04-14877-97697&amp;source=Orders&amp;ru=https%3A%2F%2Fwww.ebay.com%2Fsh%2Ford%2F%3Ffilter%3Dstatus%253AAWAITING_SHIPMENT" TargetMode="External"/><Relationship Id="rId627" Type="http://schemas.openxmlformats.org/officeDocument/2006/relationships/hyperlink" Target="https://www.ebay.com/mesh/ord/details?mode=SH&amp;srn=1198&amp;orderid=14-14860-22133&amp;source=Orders&amp;ru=https%3A%2F%2Fwww.ebay.com%2Fsh%2Ford%2F%3Ffilter%3Dstatus%253AAWAITING_SHIPMENT" TargetMode="External"/><Relationship Id="rId869" Type="http://schemas.openxmlformats.org/officeDocument/2006/relationships/hyperlink" Target="https://www.ebay.com/mesh/ord/details?mode=SH&amp;srn=2718&amp;orderid=16-14989-39543&amp;source=Orders&amp;ru=https%3A%2F%2Fwww.ebay.com%2Fsh%2Ford" TargetMode="External"/><Relationship Id="rId626" Type="http://schemas.openxmlformats.org/officeDocument/2006/relationships/hyperlink" Target="https://www.ebay.com/mesh/ord/details?mode=SH&amp;srn=2491&amp;orderid=10-14830-16458&amp;source=Orders&amp;ru=https%3A%2F%2Fwww.ebay.com%2Fsh%2Ford%2F%3Ffilter%3Dstatus%253AAWAITING_SHIPMENT" TargetMode="External"/><Relationship Id="rId868" Type="http://schemas.openxmlformats.org/officeDocument/2006/relationships/hyperlink" Target="https://www.ebay.com/mesh/ord/details?mode=SH&amp;srn=1241&amp;orderid=09-14998-84822&amp;source=Orders&amp;ru=https%3A%2F%2Fwww.ebay.com%2Fsh%2Ford" TargetMode="External"/><Relationship Id="rId625" Type="http://schemas.openxmlformats.org/officeDocument/2006/relationships/hyperlink" Target="https://www.ebay.com/mesh/ord/details?mode=SH&amp;srn=2539&amp;orderid=24-14856-03826&amp;source=Orders&amp;ru=https%3A%2F%2Fwww.ebay.com%2Fsh%2Ford" TargetMode="External"/><Relationship Id="rId867" Type="http://schemas.openxmlformats.org/officeDocument/2006/relationships/hyperlink" Target="https://www.ebay.com/mesh/ord/details?mode=SH&amp;srn=2715&amp;orderid=11-14995-21832&amp;source=Orders&amp;ru=https%3A%2F%2Fwww.ebay.com%2Fsh%2Ford%2F%3Ffilter%3Dstatus%253AAWAITING_SHIPMENT" TargetMode="External"/><Relationship Id="rId620" Type="http://schemas.openxmlformats.org/officeDocument/2006/relationships/hyperlink" Target="https://www.ebay.com/mesh/ord/details?mode=SH&amp;srn=2537&amp;orderid=06-14870-10165&amp;source=Orders&amp;ru=https%3A%2F%2Fwww.ebay.com%2Fsh%2Ford%2F%3Ffilter%3Dstatus%253AAWAITING_SHIPMENT" TargetMode="External"/><Relationship Id="rId862" Type="http://schemas.openxmlformats.org/officeDocument/2006/relationships/hyperlink" Target="https://www.ebay.com/mesh/ord/details?mode=SH&amp;srn=2712&amp;orderid=26-14968-34162&amp;source=Orders&amp;ru=https%3A%2F%2Fwww.ebay.com%2Fsh%2Ford%2F%3Ffilter%3Dstatus%253AAWAITING_SHIPMENT" TargetMode="External"/><Relationship Id="rId861" Type="http://schemas.openxmlformats.org/officeDocument/2006/relationships/hyperlink" Target="https://www.ebay.com/mesh/ord/details?mode=SH&amp;srn=1240&amp;orderid=22-14974-22791&amp;source=Orders&amp;ru=https%3A%2F%2Fwww.ebay.com%2Fsh%2Ford%2F%3Ffilter%3Dstatus%253AAWAITING_SHIPMENT" TargetMode="External"/><Relationship Id="rId860" Type="http://schemas.openxmlformats.org/officeDocument/2006/relationships/hyperlink" Target="https://www.ebay.com/mesh/ord/details?mode=SH&amp;srn=2709&amp;orderid=04-15004-32972&amp;source=Orders&amp;ru=https%3A%2F%2Fwww.ebay.com%2Fsh%2Ford" TargetMode="External"/><Relationship Id="rId619" Type="http://schemas.openxmlformats.org/officeDocument/2006/relationships/hyperlink" Target="https://www.ebay.com/mesh/ord/details?mode=SH&amp;srn=1195&amp;orderid=22-14843-48447&amp;source=Orders&amp;ru=https%3A%2F%2Fwww.ebay.com%2Fsh%2Ford" TargetMode="External"/><Relationship Id="rId618" Type="http://schemas.openxmlformats.org/officeDocument/2006/relationships/hyperlink" Target="https://www.ebay.com/mesh/ord/details?mode=SH&amp;srn=2466&amp;orderid=10-14810-04648&amp;source=Orders&amp;ru=https%3A%2F%2Fwww.ebay.com%2Fsh%2Ford%2F%3Ffilter%3Dstatus%253AAWAITING_SHIPMENT" TargetMode="External"/><Relationship Id="rId613" Type="http://schemas.openxmlformats.org/officeDocument/2006/relationships/hyperlink" Target="https://www.ebay.com/mesh/ord/details?mode=SH&amp;srn=2523&amp;orderid=07-14861-05416&amp;source=Orders&amp;ru=https%3A%2F%2Fwww.ebay.com%2Fsh%2Ford%2F%3Ffilter%3Dstatus%253AAWAITING_SHIPMENT" TargetMode="External"/><Relationship Id="rId855" Type="http://schemas.openxmlformats.org/officeDocument/2006/relationships/hyperlink" Target="https://www.ebay.com/mesh/ord/details?orderid=21-14913-53488" TargetMode="External"/><Relationship Id="rId612" Type="http://schemas.openxmlformats.org/officeDocument/2006/relationships/hyperlink" Target="https://www.ebay.com/mesh/ord/details?mode=SH&amp;srn=2527&amp;orderid=16-14848-68300&amp;source=Orders&amp;ru=https%3A%2F%2Fwww.ebay.com%2Fsh%2Ford%2F%3Ffilter%3Dstatus%253AAWAITING_SHIPMENT" TargetMode="External"/><Relationship Id="rId854" Type="http://schemas.openxmlformats.org/officeDocument/2006/relationships/hyperlink" Target="https://www.ebay.com/mesh/ord/details?mode=SH&amp;srn=2701&amp;orderid=21-14968-32887&amp;source=Orders&amp;ru=https%3A%2F%2Fwww.ebay.com%2Fsh%2Ford%2F%3Ffilter%3Dstatus%253AAWAITING_SHIPMENT" TargetMode="External"/><Relationship Id="rId611" Type="http://schemas.openxmlformats.org/officeDocument/2006/relationships/hyperlink" Target="https://www.ebay.com/mesh/ord/details?mode=SH&amp;srn=1191&amp;orderid=26-14824-47769&amp;source=Orders&amp;ru=https%3A%2F%2Fwww.ebay.com%2Fsh%2Ford%2F%3Ffilter%3Dstatus%253AAWAITING_SHIPMENT" TargetMode="External"/><Relationship Id="rId853" Type="http://schemas.openxmlformats.org/officeDocument/2006/relationships/hyperlink" Target="https://www.ebay.com/mesh/ord/details?mode=SH&amp;srn=2702&amp;orderid=06-14995-29556&amp;source=Orders&amp;ru=https%3A%2F%2Fwww.ebay.com%2Fsh%2Ford%2F%3Ffilter%3Dstatus%253AAWAITING_SHIPMENT" TargetMode="External"/><Relationship Id="rId610" Type="http://schemas.openxmlformats.org/officeDocument/2006/relationships/hyperlink" Target="https://www.ebay.com/mesh/ord/details?mode=SH&amp;srn=2531&amp;orderid=01-14878-40414&amp;source=Orders&amp;ru=https%3A%2F%2Fwww.ebay.com%2Fsh%2Ford%2F%3Ffilter%3Dstatus%253AAWAITING_SHIPMENT" TargetMode="External"/><Relationship Id="rId852" Type="http://schemas.openxmlformats.org/officeDocument/2006/relationships/hyperlink" Target="https://www.ebay.com/mesh/ord/details?mode=SH&amp;srn=2708&amp;orderid=04-15003-19135&amp;source=Orders&amp;ru=https%3A%2F%2Fwww.ebay.com%2Fsh%2Ford" TargetMode="External"/><Relationship Id="rId617" Type="http://schemas.openxmlformats.org/officeDocument/2006/relationships/hyperlink" Target="https://www.ebay.com/mesh/ord/details?mode=SH&amp;srn=2533&amp;orderid=20-14845-01465&amp;source=Orders&amp;ru=https%3A%2F%2Fwww.ebay.com%2Fsh%2Ford%2F%3Ffilter%3Dstatus%253AAWAITING_SHIPMENT" TargetMode="External"/><Relationship Id="rId859" Type="http://schemas.openxmlformats.org/officeDocument/2006/relationships/hyperlink" Target="https://www.ebay.com/mesh/ord/details?mode=SH&amp;srn=2710&amp;orderid=24-14986-05908&amp;source=Orders&amp;ru=https%3A%2F%2Fwww.ebay.com%2Fsh%2Ford" TargetMode="External"/><Relationship Id="rId616" Type="http://schemas.openxmlformats.org/officeDocument/2006/relationships/hyperlink" Target="https://www.ebay.com/mesh/ord/details?mode=SH&amp;srn=2518&amp;orderid=12-14847-49812&amp;source=Orders&amp;ru=https%3A%2F%2Fwww.ebay.com%2Fsh%2Ford" TargetMode="External"/><Relationship Id="rId858" Type="http://schemas.openxmlformats.org/officeDocument/2006/relationships/hyperlink" Target="https://www.ebay.com/mesh/ord/details?mode=SH&amp;srn=2699&amp;orderid=24-14977-78952&amp;source=Orders&amp;ru=https%3A%2F%2Fwww.ebay.com%2Fsh%2Ford%2F%3Ffilter%3Dstatus%253APAID_SHIPPED" TargetMode="External"/><Relationship Id="rId615" Type="http://schemas.openxmlformats.org/officeDocument/2006/relationships/hyperlink" Target="https://www.ebay.com/mesh/ord/details?mode=SH&amp;srn=2521&amp;orderid=06-14861-19406&amp;source=Orders&amp;ru=https%3A%2F%2Fwww.ebay.com%2Fsh%2Ford" TargetMode="External"/><Relationship Id="rId857" Type="http://schemas.openxmlformats.org/officeDocument/2006/relationships/hyperlink" Target="https://www.ebay.com/mesh/ord/details?mode=SH&amp;srn=2705&amp;orderid=20-14971-73997&amp;source=Orders&amp;ru=https%3A%2F%2Fwww.ebay.com%2Fsh%2Ford%2F%3Ffilter%3Dstatus%253APAID_SHIPPED" TargetMode="External"/><Relationship Id="rId614" Type="http://schemas.openxmlformats.org/officeDocument/2006/relationships/hyperlink" Target="https://www.ebay.com/mesh/ord/details?mode=SH&amp;srn=2520&amp;orderid=04-14862-92269&amp;source=Orders&amp;ru=https%3A%2F%2Fwww.ebay.com%2Fsh%2Ford%2F%3Ffilter%3Dstatus%253AAWAITING_SHIPMENT" TargetMode="External"/><Relationship Id="rId856" Type="http://schemas.openxmlformats.org/officeDocument/2006/relationships/hyperlink" Target="https://www.ebay.com/mesh/ord/details?mode=SH&amp;srn=2704&amp;orderid=25-14962-01077&amp;source=Orders&amp;ru=https%3A%2F%2Fwww.ebay.com%2Fsh%2Ford" TargetMode="External"/><Relationship Id="rId851" Type="http://schemas.openxmlformats.org/officeDocument/2006/relationships/hyperlink" Target="https://www.ebay.com/mesh/ord/details?mode=SH&amp;srn=2707&amp;orderid=14-14984-16749&amp;source=Orders&amp;ru=https%3A%2F%2Fwww.ebay.com%2Fsh%2Ford" TargetMode="External"/><Relationship Id="rId850" Type="http://schemas.openxmlformats.org/officeDocument/2006/relationships/hyperlink" Target="https://www.ebay.com/mesh/ord/details?mode=SH&amp;srn=2700&amp;orderid=14-14980-68099&amp;source=Orders&amp;ru=https%3A%2F%2Fwww.ebay.com%2Fsh%2Ford" TargetMode="External"/><Relationship Id="rId409" Type="http://schemas.openxmlformats.org/officeDocument/2006/relationships/hyperlink" Target="https://www.ebay.com/mesh/ord/details?mode=SH&amp;srn=2382&amp;orderid=10-14742-69002&amp;source=Orders&amp;ru=https%3A%2F%2Fwww.ebay.com%2Fsh%2Ford" TargetMode="External"/><Relationship Id="rId404" Type="http://schemas.openxmlformats.org/officeDocument/2006/relationships/hyperlink" Target="https://order.ebay.com/ord/show?orderId=06-14689-46758" TargetMode="External"/><Relationship Id="rId646" Type="http://schemas.openxmlformats.org/officeDocument/2006/relationships/hyperlink" Target="https://www.ebay.com/mesh/ord/details?mode=SH&amp;srn=2549&amp;orderid=02-14885-42110&amp;source=Orders&amp;ru=https%3A%2F%2Fwww.ebay.com%2Fsh%2Ford" TargetMode="External"/><Relationship Id="rId888" Type="http://schemas.openxmlformats.org/officeDocument/2006/relationships/hyperlink" Target="https://www.ebay.com/mesh/ord/details?mode=SH&amp;srn=2727&amp;orderid=22-14987-58536&amp;source=Orders&amp;ru=https%3A%2F%2Fwww.ebay.com%2Fsh%2Ford%2F%3Ffilter%3Dstatus%253AAWAITING_SHIPMENT" TargetMode="External"/><Relationship Id="rId403" Type="http://schemas.openxmlformats.org/officeDocument/2006/relationships/hyperlink" Target="https://www.ebay.com/mesh/ord/details?mode=SH&amp;srn=2369&amp;orderid=16-14720-32513&amp;source=Orders&amp;ru=https%3A%2F%2Fwww.ebay.com%2Fsh%2Ford%2F%3Ffilter%3Dstatus%253AAWAITING_SHIPMENT" TargetMode="External"/><Relationship Id="rId645" Type="http://schemas.openxmlformats.org/officeDocument/2006/relationships/hyperlink" Target="https://www.ebay.com/mesh/ord/details?mode=SH&amp;srn=2554&amp;orderid=13-14870-69757&amp;source=Orders&amp;ru=https%3A%2F%2Fwww.ebay.com%2Fsh%2Ford%2F%3Ffilter%3Dstatus%253AAWAITING_SHIPMENT" TargetMode="External"/><Relationship Id="rId887" Type="http://schemas.openxmlformats.org/officeDocument/2006/relationships/hyperlink" Target="https://www.ebay.com/mesh/ord/details?mode=SH&amp;srn=2736&amp;orderid=03-15025-96310&amp;source=Orders&amp;ru=https%3A%2F%2Fwww.ebay.com%2Fsh%2Ford%2F%3Ffilter%3Dstatus%253AAWAITING_SHIPMENT" TargetMode="External"/><Relationship Id="rId402" Type="http://schemas.openxmlformats.org/officeDocument/2006/relationships/hyperlink" Target="https://www.ebay.com/mesh/ord/details?orderid=10-14656-45054" TargetMode="External"/><Relationship Id="rId644" Type="http://schemas.openxmlformats.org/officeDocument/2006/relationships/hyperlink" Target="https://www.ebay.com/mesh/ord/details?mode=SH&amp;srn=2552&amp;orderid=07-14879-01918&amp;source=Orders&amp;ru=https%3A%2F%2Fwww.ebay.com%2Fsh%2Ford%2F%3Ffilter%3Dstatus%253AAWAITING_SHIPMENT" TargetMode="External"/><Relationship Id="rId886" Type="http://schemas.openxmlformats.org/officeDocument/2006/relationships/hyperlink" Target="https://www.ebay.com/mesh/ord/details?mode=SH&amp;srn=2722&amp;orderid=06-15009-42269&amp;source=Orders&amp;ru=https%3A%2F%2Fwww.ebay.com%2Fsh%2Ford%2F%3Ffilter%3Dstatus%253AAWAITING_SHIPMENT" TargetMode="External"/><Relationship Id="rId401" Type="http://schemas.openxmlformats.org/officeDocument/2006/relationships/hyperlink" Target="https://www.ebay.com/mesh/ord/details?mode=SH&amp;srn=1152&amp;orderid=18-14718-55136&amp;source=Orders&amp;ru=https%3A%2F%2Fwww.ebay.com%2Fsh%2Ford%2F%3Ffilter%3Dstatus%253APAID_SHIPPED" TargetMode="External"/><Relationship Id="rId643" Type="http://schemas.openxmlformats.org/officeDocument/2006/relationships/hyperlink" Target="https://www.ebay.com/mesh/ord/details?mode=SH&amp;srn=1199&amp;orderid=19-14858-44436&amp;source=Orders&amp;ru=https%3A%2F%2Fwww.ebay.com%2Fsh%2Ford%2F%3Ffilter%3Dstatus%253AAWAITING_SHIPMENT" TargetMode="External"/><Relationship Id="rId885" Type="http://schemas.openxmlformats.org/officeDocument/2006/relationships/hyperlink" Target="https://www.ebay.com/mesh/ord/details?mode=SH&amp;srn=2732&amp;orderid=19-14996-98189&amp;source=Orders&amp;ru=https%3A%2F%2Fwww.ebay.com%2Fsh%2Ford%2F%3Ffilter%3Dstatus%253AAWAITING_SHIPMENT" TargetMode="External"/><Relationship Id="rId408" Type="http://schemas.openxmlformats.org/officeDocument/2006/relationships/hyperlink" Target="https://www.ebay.com/mesh/ord/details?mode=SH&amp;srn=2373&amp;orderid=01-14748-04308&amp;source=Orders&amp;ru=https%3A%2F%2Fwww.ebay.com%2Fsh%2Ford%2F%3Ffilter%3Dstatus%253APAID_SHIPPED" TargetMode="External"/><Relationship Id="rId407" Type="http://schemas.openxmlformats.org/officeDocument/2006/relationships/hyperlink" Target="https://www.ebay.com/mesh/ord/details?mode=SH&amp;srn=2371&amp;orderid=23-14710-23618&amp;source=Orders&amp;ru=https%3A%2F%2Fwww.ebay.com%2Fsh%2Ford%2F%3Ffilter%3Dstatus%253APAID_SHIPPED" TargetMode="External"/><Relationship Id="rId649" Type="http://schemas.openxmlformats.org/officeDocument/2006/relationships/hyperlink" Target="https://www.ebay.com/mesh/ord/details?mode=SH&amp;srn=2559&amp;orderid=23-14855-23142&amp;source=Orders&amp;ru=https%3A%2F%2Fwww.ebay.com%2Fsh%2Ford%2F%3Ffilter%3Dstatus%253AAWAITING_SHIPMENT" TargetMode="External"/><Relationship Id="rId406" Type="http://schemas.openxmlformats.org/officeDocument/2006/relationships/hyperlink" Target="https://www.ebay.com/mesh/ord/details?mode=SH&amp;srn=2370&amp;orderid=12-14727-86466&amp;source=Orders&amp;ru=https%3A%2F%2Fwww.ebay.com%2Fsh%2Ford%2F%3Ffilter%3Dstatus%253AALL_ORDERS" TargetMode="External"/><Relationship Id="rId648" Type="http://schemas.openxmlformats.org/officeDocument/2006/relationships/hyperlink" Target="https://www.ebay.com/mesh/ord/details?mode=SH&amp;srn=2553&amp;orderid=26-14846-77524&amp;source=Orders&amp;ru=https%3A%2F%2Fwww.ebay.com%2Fsh%2Ford%2F%3Ffilter%3Dstatus%253AAWAITING_SHIPMENT" TargetMode="External"/><Relationship Id="rId405" Type="http://schemas.openxmlformats.org/officeDocument/2006/relationships/hyperlink" Target="https://www.ebay.com/mesh/ord/details?mode=SH&amp;srn=2368&amp;orderid=26-14702-80369&amp;source=Orders&amp;ru=https%3A%2F%2Fwww.ebay.com%2Fsh%2Ford%2F%3Ffilter%3Dstatus%253AALL_ORDERS" TargetMode="External"/><Relationship Id="rId647" Type="http://schemas.openxmlformats.org/officeDocument/2006/relationships/hyperlink" Target="https://www.ebay.com/mesh/ord/details?mode=SH&amp;srn=2555&amp;orderid=22-14856-12974&amp;source=Orders&amp;ru=https%3A%2F%2Fwww.ebay.com%2Fsh%2Ford" TargetMode="External"/><Relationship Id="rId889" Type="http://schemas.openxmlformats.org/officeDocument/2006/relationships/hyperlink" Target="https://www.ebay.com/mesh/ord/details?mode=SH&amp;srn=2735&amp;orderid=01-15030-91284&amp;source=Orders&amp;ru=https%3A%2F%2Fwww.ebay.com%2Fsh%2Ford%2F%3Ffilter%3Dstatus%253AAWAITING_SHIPMENT" TargetMode="External"/><Relationship Id="rId880" Type="http://schemas.openxmlformats.org/officeDocument/2006/relationships/hyperlink" Target="https://www.ebay.com/mesh/ord/details?mode=SH&amp;srn=2723&amp;orderid=27-14973-21490&amp;source=Orders&amp;ru=https%3A%2F%2Fwww.ebay.com%2Fsh%2Ford%2F%3Ffilter%3Dstatus%253APAID_SHIPPED" TargetMode="External"/><Relationship Id="rId400" Type="http://schemas.openxmlformats.org/officeDocument/2006/relationships/hyperlink" Target="https://www.ebay.com/mesh/ord/details?mode=SH&amp;srn=1149&amp;orderid=26-14703-40391&amp;source=Orders&amp;ru=https%3A%2F%2Fwww.ebay.com%2Fsh%2Ford%2F%3Ffilter%3Dstatus%253AAWAITING_SHIPMENT" TargetMode="External"/><Relationship Id="rId642" Type="http://schemas.openxmlformats.org/officeDocument/2006/relationships/hyperlink" Target="https://www.ebay.com/mesh/ord/details?mode=SH&amp;srn=2551&amp;orderid=14-14866-13045&amp;source=Orders&amp;ru=https%3A%2F%2Fwww.ebay.com%2Fsh%2Ford%2F%3Ffilter%3Dstatus%253AAWAITING_SHIPMENT" TargetMode="External"/><Relationship Id="rId884" Type="http://schemas.openxmlformats.org/officeDocument/2006/relationships/hyperlink" Target="https://www.ebay.com/mesh/ord/details?mode=SH&amp;srn=2726&amp;orderid=26-14980-16718&amp;source=Orders&amp;ru=https%3A%2F%2Fwww.ebay.com%2Fsh%2Ford" TargetMode="External"/><Relationship Id="rId641" Type="http://schemas.openxmlformats.org/officeDocument/2006/relationships/hyperlink" Target="https://www.ebay.com/mesh/ord/details?mode=SH&amp;srn=2549&amp;orderid=02-14885-42110&amp;source=Orders&amp;ru=https%3A%2F%2Fwww.ebay.com%2Fsh%2Ford" TargetMode="External"/><Relationship Id="rId883" Type="http://schemas.openxmlformats.org/officeDocument/2006/relationships/hyperlink" Target="https://www.ebay.com/mesh/ord/details?mode=SH&amp;srn=2729&amp;orderid=19-14994-29455&amp;source=Orders&amp;ru=https%3A%2F%2Fwww.ebay.com%2Fsh%2Ford" TargetMode="External"/><Relationship Id="rId640" Type="http://schemas.openxmlformats.org/officeDocument/2006/relationships/hyperlink" Target="https://www.ebay.com/mesh/ord/details?mode=SH&amp;srn=2548&amp;orderid=01-14888-11497&amp;source=Orders&amp;ru=https%3A%2F%2Fwww.ebay.com%2Fsh%2Ford%2F%3Ffilter%3Dstatus%253AAWAITING_SHIPMENT" TargetMode="External"/><Relationship Id="rId882" Type="http://schemas.openxmlformats.org/officeDocument/2006/relationships/hyperlink" Target="https://www.ebay.com/mesh/ord/details?mode=SH&amp;srn=2721&amp;orderid=10-15001-69810&amp;source=Orders&amp;ru=https%3A%2F%2Fwww.ebay.com%2Fsh%2Ford%2F%3Ffilter%3Dstatus%253AAWAITING_SHIPMENT" TargetMode="External"/><Relationship Id="rId881" Type="http://schemas.openxmlformats.org/officeDocument/2006/relationships/hyperlink" Target="https://www.ebay.com/mesh/ord/details?mode=SH&amp;srn=2728&amp;orderid=21-14989-73546&amp;source=Orders&amp;ru=https%3A%2F%2Fwww.ebay.com%2Fsh%2Ford%2F%3Ffilter%3Dstatus%253AAWAITING_SHIPMENT" TargetMode="External"/><Relationship Id="rId635" Type="http://schemas.openxmlformats.org/officeDocument/2006/relationships/hyperlink" Target="https://www.ebay.com/mesh/ord/details?mode=SH&amp;srn=2547&amp;orderid=01-14887-84334&amp;source=Orders&amp;ru=https%3A%2F%2Fwww.ebay.com%2Fsh%2Ford%2F%3Ffilter%3Dstatus%253APAID_SHIPPED" TargetMode="External"/><Relationship Id="rId877" Type="http://schemas.openxmlformats.org/officeDocument/2006/relationships/hyperlink" Target="https://www.ebay.com/mesh/ord/details?mode=SH&amp;srn=2725&amp;orderid=18-14990-47191&amp;source=Orders&amp;ru=https%3A%2F%2Fwww.ebay.com%2Fsh%2Ford%2F%3Ffilter%3Dstatus%253APAID_SHIPPED" TargetMode="External"/><Relationship Id="rId634" Type="http://schemas.openxmlformats.org/officeDocument/2006/relationships/hyperlink" Target="https://www.ebay.com/mesh/ord/details?mode=SH&amp;srn=2542&amp;orderid=05-14876-64228&amp;source=Orders&amp;ru=https%3A%2F%2Fwww.ebay.com%2Fsh%2Ford%2F%3Ffilter%3Dstatus%253AAWAITING_SHIPMENT" TargetMode="External"/><Relationship Id="rId876" Type="http://schemas.openxmlformats.org/officeDocument/2006/relationships/hyperlink" Target="https://www.ebay.com/mesh/ord/details?mode=SH&amp;srn=2730&amp;orderid=13-15005-94248&amp;source=Orders&amp;ru=https%3A%2F%2Fwww.ebay.com%2Fsh%2Ford%2F%3Ffilter%3Dstatus%253APAID_SHIPPED" TargetMode="External"/><Relationship Id="rId633" Type="http://schemas.openxmlformats.org/officeDocument/2006/relationships/hyperlink" Target="https://www.ebay.com/mesh/ord/details?mode=SH&amp;srn=2538&amp;orderid=17-14852-60529&amp;source=Orders&amp;ru=https%3A%2F%2Fwww.ebay.com%2Fsh%2Ford" TargetMode="External"/><Relationship Id="rId875" Type="http://schemas.openxmlformats.org/officeDocument/2006/relationships/hyperlink" Target="https://www.ebay.com/mesh/ord/details?mode=SH&amp;srn=2731&amp;orderid=22-14990-80609&amp;source=Orders&amp;ru=https%3A%2F%2Fwww.ebay.com%2Fsh%2Ford%2F%3Ffilter%3Dstatus%253APAID_SHIPPED" TargetMode="External"/><Relationship Id="rId632" Type="http://schemas.openxmlformats.org/officeDocument/2006/relationships/hyperlink" Target="https://www.ebay.com/mesh/ord/details?mode=SH&amp;srn=2544&amp;orderid=07-14872-83551&amp;source=Orders&amp;ru=https%3A%2F%2Fwww.ebay.com%2Fsh%2Ford%2F%3Ffilter%3Dstatus%253AAWAITING_SHIPMENT" TargetMode="External"/><Relationship Id="rId874" Type="http://schemas.openxmlformats.org/officeDocument/2006/relationships/hyperlink" Target="https://www.ebay.com/vod/FetchOrderDetails?orderId=25-14943-42942" TargetMode="External"/><Relationship Id="rId639" Type="http://schemas.openxmlformats.org/officeDocument/2006/relationships/hyperlink" Target="https://www.ebay.com/mesh/ord/details?orderid=20-14700-22057" TargetMode="External"/><Relationship Id="rId638" Type="http://schemas.openxmlformats.org/officeDocument/2006/relationships/hyperlink" Target="https://www.ebay.com/mesh/ord/details?mode=SH&amp;srn=2545&amp;orderid=05-14877-18081&amp;source=Orders&amp;ru=https%3A%2F%2Fwww.ebay.com%2Fsh%2Ford%2F%3Ffilter%3Dstatus%253AAWAITING_SHIPMENT" TargetMode="External"/><Relationship Id="rId637" Type="http://schemas.openxmlformats.org/officeDocument/2006/relationships/hyperlink" Target="https://www.ebay.com/mesh/ord/details?mode=SH&amp;srn=2546&amp;orderid=23-14847-43340&amp;source=Orders&amp;ru=https%3A%2F%2Fwww.ebay.com%2Fsh%2Ford%2F%3Ffilter%3Dstatus%253AAWAITING_SHIPMENT" TargetMode="External"/><Relationship Id="rId879" Type="http://schemas.openxmlformats.org/officeDocument/2006/relationships/hyperlink" Target="https://www.ebay.com/mesh/ord/details?mode=SH&amp;srn=1242&amp;orderid=18-14986-99135&amp;source=Orders&amp;ru=https%3A%2F%2Fwww.ebay.com%2Fsh%2Ford%2F%3Ffilter%3Dstatus%253APAID_SHIPPED" TargetMode="External"/><Relationship Id="rId636" Type="http://schemas.openxmlformats.org/officeDocument/2006/relationships/hyperlink" Target="https://www.ebay.com/mesh/ord/details?mode=SH&amp;srn=2550&amp;orderid=20-14854-70197&amp;source=Orders&amp;ru=https%3A%2F%2Fwww.ebay.com%2Fsh%2Ford%2F%3Ffilter%3Dstatus%253APAID_SHIPPED" TargetMode="External"/><Relationship Id="rId878" Type="http://schemas.openxmlformats.org/officeDocument/2006/relationships/hyperlink" Target="https://www.ebay.com/mesh/ord/details?mode=SH&amp;srn=2724&amp;orderid=15-14994-24828&amp;source=Orders&amp;ru=https%3A%2F%2Fwww.ebay.com%2Fsh%2Ford%2F%3Ffilter%3Dstatus%253APAID_SHIPPED" TargetMode="External"/><Relationship Id="rId631" Type="http://schemas.openxmlformats.org/officeDocument/2006/relationships/hyperlink" Target="https://www.ebay.com/mesh/ord/details?mode=SH&amp;srn=2541&amp;orderid=10-14866-68241&amp;source=Orders&amp;ru=https%3A%2F%2Fwww.ebay.com%2Fsh%2Ford%2F%3Ffilter%3Dstatus%253AAWAITING_SHIPMENT" TargetMode="External"/><Relationship Id="rId873" Type="http://schemas.openxmlformats.org/officeDocument/2006/relationships/hyperlink" Target="https://www.ebay.com/mesh/ord/details?mode=SH&amp;srn=2720&amp;orderid=16-14990-19936&amp;source=Orders&amp;ru=https%3A%2F%2Fwww.ebay.com%2Fsh%2Ford" TargetMode="External"/><Relationship Id="rId630" Type="http://schemas.openxmlformats.org/officeDocument/2006/relationships/hyperlink" Target="https://www.ebay.com/mesh/ord/details?mode=SH&amp;srn=1196&amp;orderid=01-14880-67544&amp;source=Orders&amp;ru=https%3A%2F%2Fwww.ebay.com%2Fsh%2Ford%2F%3Ffilter%3Dstatus%253AAWAITING_SHIPMENT" TargetMode="External"/><Relationship Id="rId872" Type="http://schemas.openxmlformats.org/officeDocument/2006/relationships/hyperlink" Target="https://www.ebay.com/mesh/ord/details?mode=SH&amp;srn=2717&amp;orderid=01-15015-41954&amp;source=Orders&amp;ru=https%3A%2F%2Fwww.ebay.com%2Fsh%2Ford%2F%3Ffilter%3Dstatus%253AAWAITING_SHIPMENT" TargetMode="External"/><Relationship Id="rId871" Type="http://schemas.openxmlformats.org/officeDocument/2006/relationships/hyperlink" Target="https://www.ebay.com/mesh/ord/details?mode=SH&amp;srn=2714&amp;orderid=07-15002-62882&amp;source=Orders&amp;ru=https%3A%2F%2Fwww.ebay.com%2Fsh%2Ford%2F%3Ffilter%3Dstatus%253AAWAITING_SHIPMENT" TargetMode="External"/><Relationship Id="rId870" Type="http://schemas.openxmlformats.org/officeDocument/2006/relationships/hyperlink" Target="https://www.ebay.com/mesh/ord/details?mode=SH&amp;srn=2716&amp;orderid=18-14983-23211&amp;source=Orders&amp;ru=https%3A%2F%2Fwww.ebay.com%2Fsh%2Ford%2F%3Ffilter%3Dstatus%253AAWAITING_SHIPMENT" TargetMode="External"/><Relationship Id="rId1411" Type="http://schemas.openxmlformats.org/officeDocument/2006/relationships/table" Target="../tables/table133.xml"/><Relationship Id="rId1412" Type="http://schemas.openxmlformats.org/officeDocument/2006/relationships/table" Target="../tables/table134.xml"/><Relationship Id="rId1413" Type="http://schemas.openxmlformats.org/officeDocument/2006/relationships/table" Target="../tables/table135.xml"/><Relationship Id="rId1414" Type="http://schemas.openxmlformats.org/officeDocument/2006/relationships/table" Target="../tables/table136.xml"/><Relationship Id="rId1415" Type="http://schemas.openxmlformats.org/officeDocument/2006/relationships/table" Target="../tables/table137.xml"/><Relationship Id="rId1416" Type="http://schemas.openxmlformats.org/officeDocument/2006/relationships/table" Target="../tables/table138.xml"/><Relationship Id="rId1417" Type="http://schemas.openxmlformats.org/officeDocument/2006/relationships/table" Target="../tables/table139.xml"/><Relationship Id="rId1418" Type="http://schemas.openxmlformats.org/officeDocument/2006/relationships/table" Target="../tables/table140.xml"/><Relationship Id="rId1419" Type="http://schemas.openxmlformats.org/officeDocument/2006/relationships/table" Target="../tables/table141.xml"/><Relationship Id="rId829" Type="http://schemas.openxmlformats.org/officeDocument/2006/relationships/hyperlink" Target="https://www.ebay.com/mesh/ord/details?mode=SH&amp;srn=2640&amp;orderid=18-14918-60709&amp;source=Orders&amp;ru=https%3A%2F%2Fwww.ebay.com%2Fsh%2Ford%2F%3Ffilter%3Dstatus%253AAWAITING_SHIPMENT" TargetMode="External"/><Relationship Id="rId828" Type="http://schemas.openxmlformats.org/officeDocument/2006/relationships/hyperlink" Target="https://www.ebay.com/mesh/ord/details?mode=SH&amp;srn=2601&amp;orderid=12-14899-54077&amp;source=Orders&amp;ru=https%3A%2F%2Fwww.ebay.com%2Fsh%2Ford%2F%3Ffilter%3Dstatus%253AAWAITING_SHIPMENT" TargetMode="External"/><Relationship Id="rId827" Type="http://schemas.openxmlformats.org/officeDocument/2006/relationships/hyperlink" Target="https://www.ebay.com/mesh/ord/details?mode=SH&amp;srn=2686&amp;orderid=21-14960-20467&amp;source=Orders&amp;ru=https%3A%2F%2Fwww.ebay.com%2Fsh%2Ford" TargetMode="External"/><Relationship Id="rId822" Type="http://schemas.openxmlformats.org/officeDocument/2006/relationships/hyperlink" Target="https://www.ebay.com/mesh/ord/details?mode=SH&amp;srn=2689&amp;orderid=11-14980-92992&amp;source=Orders&amp;ru=https%3A%2F%2Fwww.ebay.com%2Fsh%2Ford%2F%3Ffilter%3Dstatus%253AAWAITING_SHIPMENT" TargetMode="External"/><Relationship Id="rId821" Type="http://schemas.openxmlformats.org/officeDocument/2006/relationships/hyperlink" Target="https://www.ebay.com/mesh/ord/details?mode=SH&amp;srn=2567&amp;orderid=27-14852-57027&amp;source=Orders&amp;ru=https%3A%2F%2Fwww.ebay.com%2Fsh%2Ford%2F%3Ffilter%3Dstatus%253AAWAITING_SHIPMENT" TargetMode="External"/><Relationship Id="rId820" Type="http://schemas.openxmlformats.org/officeDocument/2006/relationships/hyperlink" Target="https://www.ebay.com/mesh/ord/details?mode=SH&amp;srn=2679&amp;orderid=26-14942-66027&amp;source=Orders&amp;ru=https%3A%2F%2Fwww.ebay.com%2Fsh%2Ford%2F%3Ffilter%3Dstatus%253AAWAITING_SHIPMENT" TargetMode="External"/><Relationship Id="rId826" Type="http://schemas.openxmlformats.org/officeDocument/2006/relationships/hyperlink" Target="https://www.ebay.com/mesh/ord/details?mode=SH&amp;srn=2639&amp;orderid=11-14928-92326&amp;source=Orders&amp;ru=https%3A%2F%2Fwww.ebay.com%2Fsh%2Ford" TargetMode="External"/><Relationship Id="rId825" Type="http://schemas.openxmlformats.org/officeDocument/2006/relationships/hyperlink" Target="https://www.ebay.com/mesh/ord/details?mode=SH&amp;srn=2682&amp;orderid=12-14970-20433&amp;source=Orders&amp;ru=https%3A%2F%2Fwww.ebay.com%2Fsh%2Ford" TargetMode="External"/><Relationship Id="rId824" Type="http://schemas.openxmlformats.org/officeDocument/2006/relationships/hyperlink" Target="https://www.ebay.com/mesh/ord/details?mode=SH&amp;srn=2680&amp;orderid=14-14965-65137&amp;source=Orders&amp;ru=https%3A%2F%2Fwww.ebay.com%2Fsh%2Ford" TargetMode="External"/><Relationship Id="rId823" Type="http://schemas.openxmlformats.org/officeDocument/2006/relationships/hyperlink" Target="https://www.ebay.com/mesh/ord/details?mode=SH&amp;srn=2678&amp;orderid=02-14985-26998&amp;source=Orders&amp;ru=https%3A%2F%2Fwww.ebay.com%2Fsh%2Ford" TargetMode="External"/><Relationship Id="rId1410" Type="http://schemas.openxmlformats.org/officeDocument/2006/relationships/table" Target="../tables/table132.xml"/><Relationship Id="rId1400" Type="http://schemas.openxmlformats.org/officeDocument/2006/relationships/table" Target="../tables/table122.xml"/><Relationship Id="rId1401" Type="http://schemas.openxmlformats.org/officeDocument/2006/relationships/table" Target="../tables/table123.xml"/><Relationship Id="rId1402" Type="http://schemas.openxmlformats.org/officeDocument/2006/relationships/table" Target="../tables/table124.xml"/><Relationship Id="rId1403" Type="http://schemas.openxmlformats.org/officeDocument/2006/relationships/table" Target="../tables/table125.xml"/><Relationship Id="rId1404" Type="http://schemas.openxmlformats.org/officeDocument/2006/relationships/table" Target="../tables/table126.xml"/><Relationship Id="rId1405" Type="http://schemas.openxmlformats.org/officeDocument/2006/relationships/table" Target="../tables/table127.xml"/><Relationship Id="rId1406" Type="http://schemas.openxmlformats.org/officeDocument/2006/relationships/table" Target="../tables/table128.xml"/><Relationship Id="rId1407" Type="http://schemas.openxmlformats.org/officeDocument/2006/relationships/table" Target="../tables/table129.xml"/><Relationship Id="rId819" Type="http://schemas.openxmlformats.org/officeDocument/2006/relationships/hyperlink" Target="https://www.ebay.com/mesh/ord/details?mode=SH&amp;srn=2684&amp;orderid=09-14977-69533&amp;source=Orders&amp;ru=https%3A%2F%2Fwww.ebay.com%2Fsh%2Ford%2F%3Ffilter%3Dstatus%253AAWAITING_SHIPMENT" TargetMode="External"/><Relationship Id="rId1408" Type="http://schemas.openxmlformats.org/officeDocument/2006/relationships/table" Target="../tables/table130.xml"/><Relationship Id="rId818" Type="http://schemas.openxmlformats.org/officeDocument/2006/relationships/hyperlink" Target="https://www.ebay.com/mesh/ord/details?mode=SH&amp;srn=1232&amp;orderid=11-14972-07597&amp;source=Orders&amp;ru=https%3A%2F%2Fwww.ebay.com%2Fsh%2Ford%2F%3Ffilter%3Dstatus%253AAWAITING_SHIPMENT" TargetMode="External"/><Relationship Id="rId1409" Type="http://schemas.openxmlformats.org/officeDocument/2006/relationships/table" Target="../tables/table131.xml"/><Relationship Id="rId817" Type="http://schemas.openxmlformats.org/officeDocument/2006/relationships/hyperlink" Target="https://www.ebay.com/mesh/ord/details?mode=SH&amp;srn=1233&amp;orderid=05-14983-61007&amp;source=Orders&amp;ru=https%3A%2F%2Fwww.ebay.com%2Fsh%2Ford%2F%3Ffilter%3Dstatus%253AAWAITING_SHIPMENT" TargetMode="External"/><Relationship Id="rId816" Type="http://schemas.openxmlformats.org/officeDocument/2006/relationships/hyperlink" Target="https://www.ebay.com/mesh/ord/details?mode=SH&amp;srn=1234&amp;orderid=15-14965-71485&amp;source=Orders&amp;ru=https%3A%2F%2Fwww.ebay.com%2Fsh%2Ford%2F%3Ffilter%3Dstatus%253AAWAITING_SHIPMENT" TargetMode="External"/><Relationship Id="rId811" Type="http://schemas.openxmlformats.org/officeDocument/2006/relationships/hyperlink" Target="https://www.ebay.com/mesh/ord/details?mode=SH&amp;srn=2672&amp;orderid=10-14965-94971&amp;source=Orders&amp;ru=https%3A%2F%2Fwww.ebay.com%2Fsh%2Ford%2F%3Ffilter%3Dstatus%253AAWAITING_SHIPMENT" TargetMode="External"/><Relationship Id="rId810" Type="http://schemas.openxmlformats.org/officeDocument/2006/relationships/hyperlink" Target="https://www.ebay.com/mesh/ord/details?mode=SH&amp;srn=2675&amp;orderid=13-14964-38859&amp;source=Orders&amp;ru=https%3A%2F%2Fwww.ebay.com%2Fsh%2Ford" TargetMode="External"/><Relationship Id="rId815" Type="http://schemas.openxmlformats.org/officeDocument/2006/relationships/hyperlink" Target="https://www.ebay.com/mesh/ord/details?mode=SH&amp;srn=2674&amp;orderid=06-14976-52013&amp;source=Orders&amp;ru=https%3A%2F%2Fwww.ebay.com%2Fsh%2Ford%2F%3Ffilter%3Dstatus%253AAWAITING_SHIPMENT" TargetMode="External"/><Relationship Id="rId814" Type="http://schemas.openxmlformats.org/officeDocument/2006/relationships/hyperlink" Target="https://www.ebay.com/mesh/ord/details?mode=SH&amp;srn=1231&amp;orderid=25-14943-42942&amp;source=Orders&amp;ru=https%3A%2F%2Fwww.ebay.com%2Fsh%2Ford%2F%3Ffilter%3Dstatus%253AAWAITING_SHIPMENT" TargetMode="External"/><Relationship Id="rId813" Type="http://schemas.openxmlformats.org/officeDocument/2006/relationships/hyperlink" Target="https://www.ebay.com/mesh/ord/details?mode=SH&amp;srn=2592&amp;orderid=16-14886-92222&amp;source=Orders&amp;ru=https%3A%2F%2Fwww.ebay.com%2Fsh%2Ford%2F%3Ffilter%3Dstatus%253AAWAITING_SHIPMENT%26search%3Dordernumber%253A16-14886-92222%26partialRefresh%3Dtrue" TargetMode="External"/><Relationship Id="rId812" Type="http://schemas.openxmlformats.org/officeDocument/2006/relationships/hyperlink" Target="https://www.ebay.com/mesh/ord/details?orderid=22-14846-58621" TargetMode="External"/><Relationship Id="rId609" Type="http://schemas.openxmlformats.org/officeDocument/2006/relationships/hyperlink" Target="https://www.ebay.com/mesh/ord/details?mode=SH&amp;srn=1194&amp;orderid=12-14858-87903&amp;source=Orders&amp;ru=https%3A%2F%2Fwww.ebay.com%2Fsh%2Ford%2F%3Ffilter%3Dstatus%253AAWAITING_SHIPMENT" TargetMode="External"/><Relationship Id="rId608" Type="http://schemas.openxmlformats.org/officeDocument/2006/relationships/hyperlink" Target="https://order.ebay.com/ord/show?orderId=23-14825-94554" TargetMode="External"/><Relationship Id="rId607" Type="http://schemas.openxmlformats.org/officeDocument/2006/relationships/hyperlink" Target="https://www.ebay.com/mesh/ord/details?orderid=26-14722-32131" TargetMode="External"/><Relationship Id="rId849" Type="http://schemas.openxmlformats.org/officeDocument/2006/relationships/hyperlink" Target="https://www.ebay.com/mesh/ord/details?mode=SH&amp;srn=1239&amp;orderid=18-14973-79806&amp;source=Orders&amp;ru=https%3A%2F%2Fwww.ebay.com%2Fsh%2Ford%2F%3Ffilter%3Dstatus%253AAWAITING_SHIPMENT" TargetMode="External"/><Relationship Id="rId602" Type="http://schemas.openxmlformats.org/officeDocument/2006/relationships/hyperlink" Target="https://www.ebay.com/mesh/ord/details?mode=SH&amp;srn=2515&amp;orderid=22-14830-21333&amp;source=Orders&amp;ru=https%3A%2F%2Fwww.ebay.com%2Fsh%2Ford" TargetMode="External"/><Relationship Id="rId844" Type="http://schemas.openxmlformats.org/officeDocument/2006/relationships/hyperlink" Target="https://www.ebay.com/mesh/ord/details?mode=SH&amp;srn=1236&amp;orderid=26-14955-98618&amp;source=Orders&amp;ru=https%3A%2F%2Fwww.ebay.com%2Fsh%2Ford%2F%3Ffilter%3Dstatus%253APAID_SHIPPED" TargetMode="External"/><Relationship Id="rId601" Type="http://schemas.openxmlformats.org/officeDocument/2006/relationships/hyperlink" Target="https://www.ebay.com/mesh/ord/details?mode=SH&amp;srn=2516&amp;orderid=07-14855-67571&amp;source=Orders&amp;ru=https%3A%2F%2Fwww.ebay.com%2Fsh%2Ford" TargetMode="External"/><Relationship Id="rId843" Type="http://schemas.openxmlformats.org/officeDocument/2006/relationships/hyperlink" Target="https://www.ebay.com/mesh/ord/details?mode=SH&amp;srn=1237&amp;orderid=14-14977-95575&amp;source=Orders&amp;ru=https%3A%2F%2Fwww.ebay.com%2Fsh%2Ford%2F%3Ffilter%3Dstatus%253AAWAITING_SHIPMENT" TargetMode="External"/><Relationship Id="rId600" Type="http://schemas.openxmlformats.org/officeDocument/2006/relationships/hyperlink" Target="https://www.ebay.com/mesh/ord/details?mode=SH&amp;srn=2517&amp;orderid=23-14828-62727&amp;source=Orders&amp;ru=https%3A%2F%2Fwww.ebay.com%2Fsh%2Ford" TargetMode="External"/><Relationship Id="rId842" Type="http://schemas.openxmlformats.org/officeDocument/2006/relationships/hyperlink" Target="https://www.ebay.com/mesh/ord/details?mode=SH&amp;srn=2691&amp;orderid=15-14974-28393&amp;source=Orders&amp;ru=https%3A%2F%2Fwww.ebay.com%2Fsh%2Ford%2F%3Ffilter%3Dstatus%253APAID_SHIPPED" TargetMode="External"/><Relationship Id="rId841" Type="http://schemas.openxmlformats.org/officeDocument/2006/relationships/hyperlink" Target="https://www.ebay.com/mesh/ord/details?mode=SH&amp;srn=2692&amp;orderid=11-14982-45457&amp;source=Orders&amp;ru=https%3A%2F%2Fwww.ebay.com%2Fsh%2Ford%2F%3Ffilter%3Dstatus%253APAID_SHIPPED" TargetMode="External"/><Relationship Id="rId606" Type="http://schemas.openxmlformats.org/officeDocument/2006/relationships/hyperlink" Target="https://www.ebay.com/mesh/ord/details?mode=SH&amp;srn=1193&amp;orderid=15-14850-75074&amp;source=Orders&amp;ru=https%3A%2F%2Fwww.ebay.com%2Fsh%2Ford" TargetMode="External"/><Relationship Id="rId848" Type="http://schemas.openxmlformats.org/officeDocument/2006/relationships/hyperlink" Target="https://www.ebay.com/mesh/ord/details?mode=SH&amp;srn=2693&amp;orderid=26-14958-47457&amp;source=Orders&amp;ru=https%3A%2F%2Fwww.ebay.com%2Fsh%2Ford%2F%3Ffilter%3Dstatus%253AAWAITING_SHIPMENT" TargetMode="External"/><Relationship Id="rId605" Type="http://schemas.openxmlformats.org/officeDocument/2006/relationships/hyperlink" Target="https://www.ebay.com/mesh/ord/details?mode=SH&amp;srn=2513&amp;orderid=04-14858-89204&amp;source=Orders&amp;ru=https%3A%2F%2Fwww.ebay.com%2Fsh%2Ford" TargetMode="External"/><Relationship Id="rId847" Type="http://schemas.openxmlformats.org/officeDocument/2006/relationships/hyperlink" Target="https://www.ebay.com/mesh/ord/details?mode=SH&amp;srn=2703&amp;orderid=20-14970-52300&amp;source=Orders&amp;ru=https%3A%2F%2Fwww.ebay.com%2Fsh%2Ford" TargetMode="External"/><Relationship Id="rId604" Type="http://schemas.openxmlformats.org/officeDocument/2006/relationships/hyperlink" Target="https://www.ebay.com/mesh/ord/details?mode=SH&amp;srn=2514&amp;orderid=09-14850-32294&amp;source=Orders&amp;ru=https%3A%2F%2Fwww.ebay.com%2Fsh%2Ford" TargetMode="External"/><Relationship Id="rId846" Type="http://schemas.openxmlformats.org/officeDocument/2006/relationships/hyperlink" Target="https://www.ebay.com/mesh/ord/details?mode=SH&amp;srn=1238&amp;orderid=21-14967-81922&amp;source=Orders&amp;ru=https%3A%2F%2Fwww.ebay.com%2Fsh%2Ford%2F%3Ffilter%3Dstatus%253AAWAITING_SHIPMENT" TargetMode="External"/><Relationship Id="rId603" Type="http://schemas.openxmlformats.org/officeDocument/2006/relationships/hyperlink" Target="https://www.ebay.com/mesh/ord/details?mode=SH&amp;srn=2534&amp;orderid=18-14848-92738&amp;source=Orders&amp;ru=https%3A%2F%2Fwww.ebay.com%2Fsh%2Ford%2F%3Ffilter%3Dstatus%253APAID_SHIPPED" TargetMode="External"/><Relationship Id="rId845" Type="http://schemas.openxmlformats.org/officeDocument/2006/relationships/hyperlink" Target="https://www.ebay.com/mesh/ord/details?orderid=01-14936-93409" TargetMode="External"/><Relationship Id="rId840" Type="http://schemas.openxmlformats.org/officeDocument/2006/relationships/hyperlink" Target="https://www.ebay.com/mesh/ord/details?mode=SH&amp;srn=2697&amp;orderid=21-14967-03398&amp;source=Orders&amp;ru=https%3A%2F%2Fwww.ebay.com%2Fsh%2Ford" TargetMode="External"/><Relationship Id="rId839" Type="http://schemas.openxmlformats.org/officeDocument/2006/relationships/hyperlink" Target="https://www.ebay.com/mesh/ord/details?mode=SH&amp;srn=2697&amp;orderid=21-14967-03398&amp;source=Orders&amp;ru=https%3A%2F%2Fwww.ebay.com%2Fsh%2Ford" TargetMode="External"/><Relationship Id="rId838" Type="http://schemas.openxmlformats.org/officeDocument/2006/relationships/hyperlink" Target="https://www.ebay.com/mesh/ord/details?mode=SH&amp;srn=2697&amp;orderid=21-14967-03398&amp;source=Orders&amp;ru=https%3A%2F%2Fwww.ebay.com%2Fsh%2Ford%2F%3Ffilter%3Dstatus%253AAWAITING_SHIPMENT" TargetMode="External"/><Relationship Id="rId833" Type="http://schemas.openxmlformats.org/officeDocument/2006/relationships/hyperlink" Target="https://www.ebay.com/mesh/ord/details?mode=SH&amp;srn=2685&amp;orderid=14-14971-50629&amp;source=Orders&amp;ru=https%3A%2F%2Fwww.ebay.com%2Fsh%2Ford" TargetMode="External"/><Relationship Id="rId832" Type="http://schemas.openxmlformats.org/officeDocument/2006/relationships/hyperlink" Target="https://www.ebay.com/mesh/ord/details?mode=SH&amp;srn=2688&amp;orderid=22-14961-78017&amp;source=Orders&amp;ru=https%3A%2F%2Fwww.ebay.com%2Fsh%2Ford%2F%3Ffilter%3Dstatus%253AAWAITING_SHIPMENT" TargetMode="External"/><Relationship Id="rId831" Type="http://schemas.openxmlformats.org/officeDocument/2006/relationships/hyperlink" Target="https://order.ebay.com/ord/show?orderId=16-14965-02707" TargetMode="External"/><Relationship Id="rId830" Type="http://schemas.openxmlformats.org/officeDocument/2006/relationships/hyperlink" Target="https://www.ebay.com/mesh/ord/details?mode=SH&amp;srn=2683&amp;orderid=14-14968-83123&amp;source=Orders&amp;ru=https%3A%2F%2Fwww.ebay.com%2Fsh%2Ford%2F%3Ffilter%3Dstatus%253AAWAITING_SHIPMENT" TargetMode="External"/><Relationship Id="rId837" Type="http://schemas.openxmlformats.org/officeDocument/2006/relationships/hyperlink" Target="https://www.ebay.com/mesh/ord/details?mode=SH&amp;srn=2698&amp;orderid=05-14996-49668&amp;source=Orders&amp;ru=https%3A%2F%2Fwww.ebay.com%2Fsh%2Ford%2F%3Ffilter%3Dstatus%253AAWAITING_SHIPMENT" TargetMode="External"/><Relationship Id="rId836" Type="http://schemas.openxmlformats.org/officeDocument/2006/relationships/hyperlink" Target="https://www.ebay.com/mesh/ord/details?mode=SH&amp;srn=2681&amp;orderid=17-14961-29239&amp;source=Orders&amp;ru=https%3A%2F%2Fwww.ebay.com%2Fsh%2Ford" TargetMode="External"/><Relationship Id="rId835" Type="http://schemas.openxmlformats.org/officeDocument/2006/relationships/hyperlink" Target="https://order.ebay.com/ord/show?orderId=18-14968-90585" TargetMode="External"/><Relationship Id="rId834" Type="http://schemas.openxmlformats.org/officeDocument/2006/relationships/hyperlink" Target="https://order.ebay.com/ord/show?orderId=04-14992-95893" TargetMode="External"/><Relationship Id="rId1059" Type="http://schemas.openxmlformats.org/officeDocument/2006/relationships/hyperlink" Target="https://www.ebay.com/mesh/ord/details?mode=SH&amp;srn=2877&amp;orderid=10-15133-11544&amp;source=Orders&amp;ru=https%3A%2F%2Fwww.ebay.com%2Fsh%2Ford%2F%3Ffilter%3Dstatus%253AAWAITING_SHIPMENT" TargetMode="External"/><Relationship Id="rId228" Type="http://schemas.openxmlformats.org/officeDocument/2006/relationships/hyperlink" Target="https://www.ebay.com/mesh/ord/details?mode=SH&amp;srn=2246&amp;orderid=23-14584-57784&amp;source=Orders&amp;ru=https%3A%2F%2Fwww.ebay.com%2Fsh%2Ford%2F%3Ffilter%3Dstatus%253APAID_SHIPPED" TargetMode="External"/><Relationship Id="rId227" Type="http://schemas.openxmlformats.org/officeDocument/2006/relationships/hyperlink" Target="https://www.ebay.com/mesh/ord/details?mode=SH&amp;srn=1116&amp;orderid=20-14586-95776&amp;source=Orders&amp;ru=https%3A%2F%2Fwww.ebay.com%2Fsh%2Ford%2F%3Ffilter%3Dstatus%253AAWAITING_SHIPMENT" TargetMode="External"/><Relationship Id="rId469" Type="http://schemas.openxmlformats.org/officeDocument/2006/relationships/hyperlink" Target="https://www.ebay.com/mesh/ord/details?mode=SH&amp;srn=2415&amp;orderid=23-14742-60102&amp;source=Orders&amp;ru=https%3A%2F%2Fwww.ebay.com%2Fsh%2Ford%2F%3Ffilter%3Dstatus%253AALL_ORDERS" TargetMode="External"/><Relationship Id="rId226" Type="http://schemas.openxmlformats.org/officeDocument/2006/relationships/hyperlink" Target="https://www.ebay.com/mesh/ord/details?mode=SH&amp;srn=1115&amp;orderid=06-14608-24174&amp;source=Orders&amp;ru=https%3A%2F%2Fwww.ebay.com%2Fsh%2Ford%2F%3Ffilter%3Dstatus%253APAID_SHIPPED" TargetMode="External"/><Relationship Id="rId468" Type="http://schemas.openxmlformats.org/officeDocument/2006/relationships/hyperlink" Target="https://www.ebay.com/mesh/ord/details?mode=SH&amp;srn=2419&amp;orderid=21-14749-18798&amp;source=Orders&amp;ru=https%3A%2F%2Fwww.ebay.com%2Fsh%2Ford%2F%3Ffilter%3Dstatus%253AALL_ORDERS" TargetMode="External"/><Relationship Id="rId225" Type="http://schemas.openxmlformats.org/officeDocument/2006/relationships/hyperlink" Target="https://www.ebay.com/mesh/ord/details?mode=SH&amp;srn=2240&amp;orderid=08-14600-79854&amp;source=Orders&amp;ru=https%3A%2F%2Fwww.ebay.com%2Fsh%2Ford%2F%3Ffilter%3Dstatus%253APAID_SHIPPED" TargetMode="External"/><Relationship Id="rId467" Type="http://schemas.openxmlformats.org/officeDocument/2006/relationships/hyperlink" Target="https://www.ebay.com/mesh/ord/details?mode=SH&amp;srn=2423&amp;orderid=12-14770-67578&amp;source=Orders&amp;ru=https%3A%2F%2Fwww.ebay.com%2Fsh%2Ford%2F%3Ffilter%3Dstatus%253AALL_ORDERS" TargetMode="External"/><Relationship Id="rId1290" Type="http://schemas.openxmlformats.org/officeDocument/2006/relationships/table" Target="../tables/table12.xml"/><Relationship Id="rId1291" Type="http://schemas.openxmlformats.org/officeDocument/2006/relationships/table" Target="../tables/table13.xml"/><Relationship Id="rId229" Type="http://schemas.openxmlformats.org/officeDocument/2006/relationships/hyperlink" Target="https://www.ebay.com/mesh/ord/details?mode=SH&amp;srn=1117&amp;orderid=07-14608-92034&amp;source=Orders&amp;ru=https%3A%2F%2Fwww.ebay.com%2Fsh%2Ford" TargetMode="External"/><Relationship Id="rId1050" Type="http://schemas.openxmlformats.org/officeDocument/2006/relationships/hyperlink" Target="https://www.ebay.com/mesh/ord/details?mode=SH&amp;srn=2866&amp;orderid=01-15141-01199&amp;source=Orders&amp;ru=https%3A%2F%2Fwww.ebay.com%2Fsh%2Ford%2F%3Ffilter%3Dstatus%253AAWAITING_SHIPMENT" TargetMode="External"/><Relationship Id="rId1292" Type="http://schemas.openxmlformats.org/officeDocument/2006/relationships/table" Target="../tables/table14.xml"/><Relationship Id="rId220" Type="http://schemas.openxmlformats.org/officeDocument/2006/relationships/hyperlink" Target="https://www.ebay.com/mesh/ord/details?mode=SH&amp;srn=2238&amp;orderid=15-14589-02083&amp;source=Orders&amp;ru=https%3A%2F%2Fwww.ebay.com%2Fsh%2Ford%2F%3Ffilter%3Dstatus%253APAID_SHIPPED" TargetMode="External"/><Relationship Id="rId462" Type="http://schemas.openxmlformats.org/officeDocument/2006/relationships/hyperlink" Target="https://www.ebay.com/mesh/ord/details?mode=SH&amp;srn=1169&amp;orderid=25-14740-04290&amp;source=Orders&amp;ru=https%3A%2F%2Fwww.ebay.com%2Fsh%2Ford%2F%3Ffilter%3Dstatus%253AAWAITING_SHIPMENT" TargetMode="External"/><Relationship Id="rId1051" Type="http://schemas.openxmlformats.org/officeDocument/2006/relationships/hyperlink" Target="https://www.ebay.com/mesh/ord/details?mode=SH&amp;srn=2867&amp;orderid=05-15133-41583&amp;source=Orders&amp;ru=https%3A%2F%2Fwww.ebay.com%2Fsh%2Ford%2F%3Ffilter%3Dstatus%253AAWAITING_SHIPMENT" TargetMode="External"/><Relationship Id="rId1293" Type="http://schemas.openxmlformats.org/officeDocument/2006/relationships/table" Target="../tables/table15.xml"/><Relationship Id="rId461" Type="http://schemas.openxmlformats.org/officeDocument/2006/relationships/hyperlink" Target="https://www.ebay.com/mesh/ord/details?mode=SH&amp;srn=2414&amp;orderid=26-14736-68985&amp;source=Orders&amp;ru=https%3A%2F%2Fwww.ebay.com%2Fsh%2Ford%2F%3Ffilter%3Dstatus%253APAID_SHIPPED" TargetMode="External"/><Relationship Id="rId1052" Type="http://schemas.openxmlformats.org/officeDocument/2006/relationships/hyperlink" Target="https://www.ebay.com/mesh/ord/details?mode=SH&amp;srn=2869&amp;orderid=21-15103-54586&amp;source=Orders&amp;ru=https%3A%2F%2Fwww.ebay.com%2Fsh%2Ford%2F%3Ffilter%3Dstatus%253AAWAITING_SHIPMENT" TargetMode="External"/><Relationship Id="rId1294" Type="http://schemas.openxmlformats.org/officeDocument/2006/relationships/table" Target="../tables/table16.xml"/><Relationship Id="rId460" Type="http://schemas.openxmlformats.org/officeDocument/2006/relationships/hyperlink" Target="https://www.ebay.com/mesh/ord/details?orderid=06-14704-54308" TargetMode="External"/><Relationship Id="rId1053" Type="http://schemas.openxmlformats.org/officeDocument/2006/relationships/hyperlink" Target="https://www.ebay.com/mesh/ord/details?mode=SH&amp;srn=1268&amp;orderid=18-15105-23766&amp;source=Orders&amp;ru=https%3A%2F%2Fwww.ebay.com%2Fsh%2Ford%2F%3Ffilter%3Dstatus%253AAWAITING_SHIPMENT" TargetMode="External"/><Relationship Id="rId1295" Type="http://schemas.openxmlformats.org/officeDocument/2006/relationships/table" Target="../tables/table17.xml"/><Relationship Id="rId1054" Type="http://schemas.openxmlformats.org/officeDocument/2006/relationships/hyperlink" Target="https://www.ebay.com/mesh/ord/details?mode=SH&amp;srn=2868&amp;orderid=23-15100-15987&amp;source=Orders&amp;ru=https%3A%2F%2Fwww.ebay.com%2Fsh%2Ford%2F%3Ffilter%3Dstatus%253AAWAITING_SHIPMENT" TargetMode="External"/><Relationship Id="rId1296" Type="http://schemas.openxmlformats.org/officeDocument/2006/relationships/table" Target="../tables/table18.xml"/><Relationship Id="rId224" Type="http://schemas.openxmlformats.org/officeDocument/2006/relationships/hyperlink" Target="https://www.ebay.com/mesh/ord/details?mode=SH&amp;srn=2241&amp;orderid=06-14605-33382&amp;source=Orders&amp;ru=https%3A%2F%2Fwww.ebay.com%2Fsh%2Ford%2F%3Ffilter%3Dstatus%253APAID_SHIPPED" TargetMode="External"/><Relationship Id="rId466" Type="http://schemas.openxmlformats.org/officeDocument/2006/relationships/hyperlink" Target="https://www.ebay.com/mesh/ord/details?mode=SH&amp;srn=2422&amp;orderid=02-14784-23572&amp;source=Orders&amp;ru=https%3A%2F%2Fwww.ebay.com%2Fsh%2Ford%2F%3Ffilter%3Dstatus%253AALL_ORDERS" TargetMode="External"/><Relationship Id="rId1055" Type="http://schemas.openxmlformats.org/officeDocument/2006/relationships/hyperlink" Target="https://www.ebay.com/mesh/ord/details?mode=SH&amp;srn=2864&amp;orderid=03-15133-06435&amp;source=Orders&amp;ru=https%3A%2F%2Fwww.ebay.com%2Fsh%2Ford%2F%3Ffilter%3Dstatus%253AAWAITING_SHIPMENT" TargetMode="External"/><Relationship Id="rId1297" Type="http://schemas.openxmlformats.org/officeDocument/2006/relationships/table" Target="../tables/table19.xml"/><Relationship Id="rId223" Type="http://schemas.openxmlformats.org/officeDocument/2006/relationships/hyperlink" Target="https://www.ebay.com/mesh/ord/details?mode=SH&amp;srn=2242&amp;orderid=09-14603-01696&amp;source=Orders&amp;ru=https%3A%2F%2Fwww.ebay.com%2Fsh%2Ford%2F%3Ffilter%3Dstatus%253APAID_SHIPPED" TargetMode="External"/><Relationship Id="rId465" Type="http://schemas.openxmlformats.org/officeDocument/2006/relationships/hyperlink" Target="https://www.ebay.com/mesh/ord/details?mode=SH&amp;srn=2421&amp;orderid=21-14751-89008&amp;source=Orders&amp;ru=https%3A%2F%2Fwww.ebay.com%2Fsh%2Ford" TargetMode="External"/><Relationship Id="rId1056" Type="http://schemas.openxmlformats.org/officeDocument/2006/relationships/hyperlink" Target="https://www.ebay.com/mesh/ord/details?mode=SH&amp;srn=2870&amp;orderid=20-15106-30812&amp;source=Orders&amp;ru=https%3A%2F%2Fwww.ebay.com%2Fsh%2Ford" TargetMode="External"/><Relationship Id="rId1298" Type="http://schemas.openxmlformats.org/officeDocument/2006/relationships/table" Target="../tables/table20.xml"/><Relationship Id="rId222" Type="http://schemas.openxmlformats.org/officeDocument/2006/relationships/hyperlink" Target="https://www.ebay.com/mesh/ord/details?mode=SH&amp;srn=1114&amp;orderid=02-14609-21256&amp;source=Orders&amp;ru=https%3A%2F%2Fwww.ebay.com%2Fsh%2Ford%2F%3Ffilter%3Dstatus%253APAID_SHIPPED" TargetMode="External"/><Relationship Id="rId464" Type="http://schemas.openxmlformats.org/officeDocument/2006/relationships/hyperlink" Target="https://www.ebay.com/mesh/ord/details?mode=SH&amp;srn=1170&amp;orderid=08-14773-49979&amp;source=Orders&amp;ru=https%3A%2F%2Fwww.ebay.com%2Fsh%2Ford" TargetMode="External"/><Relationship Id="rId1057" Type="http://schemas.openxmlformats.org/officeDocument/2006/relationships/hyperlink" Target="https://www.ebay.com/mesh/ord/details?mode=SH&amp;srn=2879&amp;orderid=17-15122-70611&amp;source=Orders&amp;ru=https%3A%2F%2Fwww.ebay.com%2Fsh%2Ford" TargetMode="External"/><Relationship Id="rId1299" Type="http://schemas.openxmlformats.org/officeDocument/2006/relationships/table" Target="../tables/table21.xml"/><Relationship Id="rId221" Type="http://schemas.openxmlformats.org/officeDocument/2006/relationships/hyperlink" Target="https://www.ebay.com/mesh/ord/details?mode=SH&amp;srn=2237&amp;orderid=06-14601-77896&amp;source=Orders&amp;ru=https%3A%2F%2Fwww.ebay.com%2Fsh%2Ford%2F%3Ffilter%3Dstatus%253APAID_SHIPPED" TargetMode="External"/><Relationship Id="rId463" Type="http://schemas.openxmlformats.org/officeDocument/2006/relationships/hyperlink" Target="https://www.ebay.com/mesh/ord/details?mode=SH&amp;srn=1168&amp;orderid=27-14735-75119&amp;source=Orders&amp;ru=https%3A%2F%2Fwww.ebay.com%2Fsh%2Ford%2F%3Ffilter%3Dstatus%253AAWAITING_SHIPMENT" TargetMode="External"/><Relationship Id="rId1058" Type="http://schemas.openxmlformats.org/officeDocument/2006/relationships/hyperlink" Target="https://www.ebay.com/mesh/ord/details?mode=SH&amp;srn=2884&amp;orderid=14-15132-79855&amp;source=Orders&amp;ru=https%3A%2F%2Fwww.ebay.com%2Fsh%2Ford" TargetMode="External"/><Relationship Id="rId1048" Type="http://schemas.openxmlformats.org/officeDocument/2006/relationships/hyperlink" Target="https://www.ebay.com/mesh/ord/details?mode=SH&amp;srn=2860&amp;orderid=07-15124-90136&amp;source=Orders&amp;ru=https%3A%2F%2Fwww.ebay.com%2Fsh%2Ford%2F%3Ffilter%3Dstatus%253AAWAITING_SHIPMENT" TargetMode="External"/><Relationship Id="rId1049" Type="http://schemas.openxmlformats.org/officeDocument/2006/relationships/hyperlink" Target="https://www.ebay.com/mesh/ord/details?mode=SH&amp;srn=2865&amp;orderid=26-15091-74305&amp;source=Orders&amp;ru=https%3A%2F%2Fwww.ebay.com%2Fsh%2Ford" TargetMode="External"/><Relationship Id="rId217" Type="http://schemas.openxmlformats.org/officeDocument/2006/relationships/hyperlink" Target="https://order.ebay.com/ord/show?orderId=12-14590-74233" TargetMode="External"/><Relationship Id="rId459" Type="http://schemas.openxmlformats.org/officeDocument/2006/relationships/hyperlink" Target="https://www.ebay.com/mesh/ord/details?mode=SH&amp;srn=2408&amp;orderid=03-14770-70423&amp;source=Orders&amp;ru=https%3A%2F%2Fwww.ebay.com%2Fsh%2Ford%2F%3Ffilter%3Dstatus%253AALL_ORDERS" TargetMode="External"/><Relationship Id="rId216" Type="http://schemas.openxmlformats.org/officeDocument/2006/relationships/hyperlink" Target="https://www.ebay.com/mesh/ord/details?mode=SH&amp;srn=2235&amp;orderid=15-14586-18137&amp;source=Orders&amp;ru=https%3A%2F%2Fwww.ebay.com%2Fsh%2Ford" TargetMode="External"/><Relationship Id="rId458" Type="http://schemas.openxmlformats.org/officeDocument/2006/relationships/hyperlink" Target="https://www.ebay.com/mesh/ord/details?mode=SH&amp;srn=2410&amp;orderid=27-14731-89047&amp;source=Orders&amp;ru=https%3A%2F%2Fwww.ebay.com%2Fsh%2Ford" TargetMode="External"/><Relationship Id="rId215" Type="http://schemas.openxmlformats.org/officeDocument/2006/relationships/hyperlink" Target="https://www.ebay.com/mesh/ord/details?mode=SH&amp;srn=2236&amp;orderid=25-14571-55754&amp;source=Orders&amp;ru=https%3A%2F%2Fwww.ebay.com%2Fsh%2Ford" TargetMode="External"/><Relationship Id="rId457" Type="http://schemas.openxmlformats.org/officeDocument/2006/relationships/hyperlink" Target="https://www.ebay.com/mesh/ord/details?mode=SH&amp;srn=2411&amp;orderid=27-14733-72761&amp;source=Orders&amp;ru=https%3A%2F%2Fwww.ebay.com%2Fsh%2Ford" TargetMode="External"/><Relationship Id="rId699" Type="http://schemas.openxmlformats.org/officeDocument/2006/relationships/hyperlink" Target="https://www.ebay.com/mesh/ord/details?mode=SH&amp;srn=2593&amp;orderid=06-14905-22801&amp;source=Orders&amp;ru=https%3A%2F%2Fwww.ebay.com%2Fsh%2Ford%2F%3Ffilter%3Dstatus%253AAWAITING_SHIPMENT" TargetMode="External"/><Relationship Id="rId214" Type="http://schemas.openxmlformats.org/officeDocument/2006/relationships/hyperlink" Target="https://www.ebay.com/mesh/ord/details?mode=SH&amp;srn=1112&amp;orderid=26-14569-38120&amp;source=Orders&amp;ru=https%3A%2F%2Fwww.ebay.com%2Fsh%2Ford" TargetMode="External"/><Relationship Id="rId456" Type="http://schemas.openxmlformats.org/officeDocument/2006/relationships/hyperlink" Target="https://www.ebay.com/mesh/ord/details?mode=SH&amp;srn=2409&amp;orderid=10-14759-02189&amp;source=Orders&amp;ru=https%3A%2F%2Fwww.ebay.com%2Fsh%2Ford%2F%3Ffilter%3Dstatus%253AAWAITING_SHIPMENT" TargetMode="External"/><Relationship Id="rId698" Type="http://schemas.openxmlformats.org/officeDocument/2006/relationships/hyperlink" Target="https://www.ebay.com/mesh/ord/details?mode=SH&amp;srn=1203&amp;orderid=10-14897-15392&amp;source=Orders&amp;ru=https%3A%2F%2Fwww.ebay.com%2Fsh%2Ford%2F%3Ffilter%3Dstatus%253APAID_SHIPPED" TargetMode="External"/><Relationship Id="rId219" Type="http://schemas.openxmlformats.org/officeDocument/2006/relationships/hyperlink" Target="https://www.ebay.com/mesh/ord/details?mode=SH&amp;srn=2239&amp;orderid=15-14589-58988&amp;source=Orders&amp;ru=https%3A%2F%2Fwww.ebay.com%2Fsh%2Ford%2F%3Ffilter%3Dstatus%253APAID_SHIPPED" TargetMode="External"/><Relationship Id="rId1280" Type="http://schemas.openxmlformats.org/officeDocument/2006/relationships/table" Target="../tables/table2.xml"/><Relationship Id="rId218" Type="http://schemas.openxmlformats.org/officeDocument/2006/relationships/hyperlink" Target="https://www.ebay.com/mesh/ord/details?orderid=21-14497-56629" TargetMode="External"/><Relationship Id="rId1281" Type="http://schemas.openxmlformats.org/officeDocument/2006/relationships/table" Target="../tables/table3.xml"/><Relationship Id="rId451" Type="http://schemas.openxmlformats.org/officeDocument/2006/relationships/hyperlink" Target="https://www.ebay.com/mesh/ord/details?mode=SH&amp;srn=2406&amp;orderid=17-14746-65781&amp;source=Orders&amp;ru=https%3A%2F%2Fwww.ebay.com%2Fsh%2Ford%2F%3Ffilter%3Dstatus%253APAID_SHIPPED" TargetMode="External"/><Relationship Id="rId693" Type="http://schemas.openxmlformats.org/officeDocument/2006/relationships/hyperlink" Target="https://www.ebay.com/mesh/ord/details?mode=SH&amp;srn=2590&amp;orderid=07-14902-39276&amp;source=Orders&amp;ru=https%3A%2F%2Fwww.ebay.com%2Fsh%2Ford%2F%3Ffilter%3Dstatus%253AAWAITING_SHIPMENT" TargetMode="External"/><Relationship Id="rId1040" Type="http://schemas.openxmlformats.org/officeDocument/2006/relationships/hyperlink" Target="https://www.ebay.com/mesh/ord/details?mode=SH&amp;srn=2854&amp;orderid=05-15124-55625&amp;source=Orders&amp;ru=https%3A%2F%2Fwww.ebay.com%2Fsh%2Ford%2F%3Ffilter%3Dstatus%253AAWAITING_SHIPMENT" TargetMode="External"/><Relationship Id="rId1282" Type="http://schemas.openxmlformats.org/officeDocument/2006/relationships/table" Target="../tables/table4.xml"/><Relationship Id="rId450" Type="http://schemas.openxmlformats.org/officeDocument/2006/relationships/hyperlink" Target="https://www.ebay.com/mesh/ord/details?mode=SH&amp;srn=2396&amp;orderid=27-14726-80077&amp;source=Orders&amp;ru=https%3A%2F%2Fwww.ebay.com%2Fsh%2Ford" TargetMode="External"/><Relationship Id="rId692" Type="http://schemas.openxmlformats.org/officeDocument/2006/relationships/hyperlink" Target="https://www.ebay.com/mesh/ord/details?mode=SH&amp;srn=2591&amp;orderid=03-14909-24046&amp;source=Orders&amp;ru=https%3A%2F%2Fwww.ebay.com%2Fsh%2Ford%2F%3Ffilter%3Dstatus%253AAWAITING_SHIPMENT" TargetMode="External"/><Relationship Id="rId1041" Type="http://schemas.openxmlformats.org/officeDocument/2006/relationships/hyperlink" Target="https://www.ebay.com/mesh/ord/details?mode=SH&amp;srn=2863&amp;orderid=15-15110-41203&amp;source=Orders&amp;ru=https%3A%2F%2Fwww.ebay.com%2Fsh%2Ford%2F%3Ffilter%3Dstatus%253AAWAITING_SHIPMENT" TargetMode="External"/><Relationship Id="rId1283" Type="http://schemas.openxmlformats.org/officeDocument/2006/relationships/table" Target="../tables/table5.xml"/><Relationship Id="rId691" Type="http://schemas.openxmlformats.org/officeDocument/2006/relationships/hyperlink" Target="https://www.ebay.com/mesh/ord/details?mode=SH&amp;srn=2588&amp;orderid=05-14905-47620&amp;source=Orders&amp;ru=https%3A%2F%2Fwww.ebay.com%2Fsh%2Ford%2F%3Ffilter%3Dstatus%253AAWAITING_SHIPMENT" TargetMode="External"/><Relationship Id="rId1042" Type="http://schemas.openxmlformats.org/officeDocument/2006/relationships/hyperlink" Target="https://www.ebay.com/mesh/ord/details?mode=SH&amp;srn=2857&amp;orderid=20-15098-26010&amp;source=Orders&amp;ru=https%3A%2F%2Fwww.ebay.com%2Fsh%2Ford%2F%3Ffilter%3Dstatus%253AAWAITING_SHIPMENT" TargetMode="External"/><Relationship Id="rId1284" Type="http://schemas.openxmlformats.org/officeDocument/2006/relationships/table" Target="../tables/table6.xml"/><Relationship Id="rId690" Type="http://schemas.openxmlformats.org/officeDocument/2006/relationships/hyperlink" Target="https://www.ebay.com/mesh/ord/details?orderid=01-14833-95517" TargetMode="External"/><Relationship Id="rId1043" Type="http://schemas.openxmlformats.org/officeDocument/2006/relationships/hyperlink" Target="https://www.ebay.com/mesh/ord/details?mode=SH&amp;srn=2859&amp;orderid=10-15117-49391&amp;source=Orders&amp;ru=https%3A%2F%2Fwww.ebay.com%2Fsh%2Ford%2F%3Ffilter%3Dstatus%253APAID_SHIPPED" TargetMode="External"/><Relationship Id="rId1285" Type="http://schemas.openxmlformats.org/officeDocument/2006/relationships/table" Target="../tables/table7.xml"/><Relationship Id="rId213" Type="http://schemas.openxmlformats.org/officeDocument/2006/relationships/hyperlink" Target="https://www.ebay.com/mesh/ord/details?mode=SH&amp;srn=1113&amp;orderid=12-14590-91349&amp;source=Orders&amp;ru=https%3A%2F%2Fwww.ebay.com%2Fsh%2Ford%2F%3Ffilter%3Dstatus%253AAWAITING_SHIPMENT" TargetMode="External"/><Relationship Id="rId455" Type="http://schemas.openxmlformats.org/officeDocument/2006/relationships/hyperlink" Target="https://www.ebay.com/mesh/ord/details?orderid=27-14687-51912" TargetMode="External"/><Relationship Id="rId697" Type="http://schemas.openxmlformats.org/officeDocument/2006/relationships/hyperlink" Target="https://www.ebay.com/mesh/ord/details?mode=SH&amp;srn=1205&amp;orderid=13-14892-53870&amp;source=Orders&amp;ru=https%3A%2F%2Fwww.ebay.com%2Fsh%2Ford%2F%3Ffilter%3Dstatus%253APAID_SHIPPED" TargetMode="External"/><Relationship Id="rId1044" Type="http://schemas.openxmlformats.org/officeDocument/2006/relationships/hyperlink" Target="https://www.ebay.com/mesh/ord/details?mode=SH&amp;srn=2856&amp;orderid=09-15117-88119&amp;source=Orders&amp;ru=https%3A%2F%2Fwww.ebay.com%2Fsh%2Ford%2F%3Ffilter%3Dstatus%253APAID_SHIPPED" TargetMode="External"/><Relationship Id="rId1286" Type="http://schemas.openxmlformats.org/officeDocument/2006/relationships/table" Target="../tables/table8.xml"/><Relationship Id="rId212" Type="http://schemas.openxmlformats.org/officeDocument/2006/relationships/hyperlink" Target="https://www.ebay.com/mesh/ord/details?orderid=25-14538-88594" TargetMode="External"/><Relationship Id="rId454" Type="http://schemas.openxmlformats.org/officeDocument/2006/relationships/hyperlink" Target="https://www.ebay.com/mesh/ord/details?mode=SH&amp;srn=2412&amp;orderid=25-14737-24095&amp;source=Orders&amp;ru=https%3A%2F%2Fwww.ebay.com%2Fsh%2Ford" TargetMode="External"/><Relationship Id="rId696" Type="http://schemas.openxmlformats.org/officeDocument/2006/relationships/hyperlink" Target="https://www.ebay.com/mesh/ord/details?mode=SH&amp;srn=2578&amp;orderid=14-14881-34924&amp;source=Orders&amp;ru=https%3A%2F%2Fwww.ebay.com%2Fsh%2Ford" TargetMode="External"/><Relationship Id="rId1045" Type="http://schemas.openxmlformats.org/officeDocument/2006/relationships/hyperlink" Target="https://www.ebay.com/mesh/ord/details?mode=SH&amp;srn=2862&amp;orderid=04-15130-58902&amp;source=Orders&amp;ru=https%3A%2F%2Fwww.ebay.com%2Fsh%2Ford%2F%3Ffilter%3Dstatus%253APAID_SHIPPED" TargetMode="External"/><Relationship Id="rId1287" Type="http://schemas.openxmlformats.org/officeDocument/2006/relationships/table" Target="../tables/table9.xml"/><Relationship Id="rId211" Type="http://schemas.openxmlformats.org/officeDocument/2006/relationships/hyperlink" Target="https://www.ebay.com/mesh/ord/details?mode=SH&amp;srn=1111&amp;orderid=06-14598-19589&amp;source=Orders&amp;ru=https%3A%2F%2Fwww.ebay.com%2Fsh%2Ford%2F%3Ffilter%3Dstatus%253APAID_SHIPPED" TargetMode="External"/><Relationship Id="rId453" Type="http://schemas.openxmlformats.org/officeDocument/2006/relationships/hyperlink" Target="https://www.ebay.com/mesh/ord/details?mode=SH&amp;srn=2392&amp;orderid=05-14761-54878&amp;source=Orders&amp;ru=https%3A%2F%2Fwww.ebay.com%2Fsh%2Ford" TargetMode="External"/><Relationship Id="rId695" Type="http://schemas.openxmlformats.org/officeDocument/2006/relationships/hyperlink" Target="https://www.ebay.com/mesh/ord/details?mode=SH&amp;srn=2594&amp;orderid=06-14907-28980&amp;source=Orders&amp;ru=https%3A%2F%2Fwww.ebay.com%2Fsh%2Ford" TargetMode="External"/><Relationship Id="rId1046" Type="http://schemas.openxmlformats.org/officeDocument/2006/relationships/hyperlink" Target="https://www.ebay.com/mesh/ord/details?mode=SH&amp;srn=2861&amp;orderid=08-15122-84135&amp;source=Orders&amp;ru=https%3A%2F%2Fwww.ebay.com%2Fsh%2Ford" TargetMode="External"/><Relationship Id="rId1288" Type="http://schemas.openxmlformats.org/officeDocument/2006/relationships/table" Target="../tables/table10.xml"/><Relationship Id="rId210" Type="http://schemas.openxmlformats.org/officeDocument/2006/relationships/hyperlink" Target="https://www.ebay.com/mesh/ord/details?mode=SH&amp;srn=2230&amp;orderid=26-14562-78903&amp;source=Orders&amp;ru=https%3A%2F%2Fwww.ebay.com%2Fsh%2Ford%2F%3Ffilter%3Dstatus%253APAID_SHIPPED" TargetMode="External"/><Relationship Id="rId452" Type="http://schemas.openxmlformats.org/officeDocument/2006/relationships/hyperlink" Target="https://www.ebay.com/mesh/ord/details?mode=SH&amp;srn=2404&amp;orderid=05-14766-76997&amp;source=Orders&amp;ru=https%3A%2F%2Fwww.ebay.com%2Fsh%2Ford%2F%3Ffilter%3Dstatus%253APAID_SHIPPED" TargetMode="External"/><Relationship Id="rId694" Type="http://schemas.openxmlformats.org/officeDocument/2006/relationships/hyperlink" Target="https://www.ebay.com/mesh/ord/details?mode=SH&amp;srn=1204&amp;orderid=25-14871-68001&amp;source=Orders&amp;ru=https%3A%2F%2Fwww.ebay.com%2Fsh%2Ford" TargetMode="External"/><Relationship Id="rId1047" Type="http://schemas.openxmlformats.org/officeDocument/2006/relationships/hyperlink" Target="https://www.ebay.com/mesh/ord/details?mode=SH&amp;srn=2858&amp;orderid=02-15131-67386&amp;source=Orders&amp;ru=https%3A%2F%2Fwww.ebay.com%2Fsh%2Ford%2F%3Ffilter%3Dstatus%253AAWAITING_SHIPMENT" TargetMode="External"/><Relationship Id="rId1289" Type="http://schemas.openxmlformats.org/officeDocument/2006/relationships/table" Target="../tables/table11.xml"/><Relationship Id="rId491" Type="http://schemas.openxmlformats.org/officeDocument/2006/relationships/hyperlink" Target="https://www.ebay.com/mesh/ord/details?mode=SH&amp;srn=2436&amp;orderid=20-14765-73850&amp;source=Orders&amp;ru=https%3A%2F%2Fwww.ebay.com%2Fsh%2Ford" TargetMode="External"/><Relationship Id="rId490" Type="http://schemas.openxmlformats.org/officeDocument/2006/relationships/hyperlink" Target="https://www.ebay.com/mesh/ord/details?mode=SH&amp;srn=1176&amp;orderid=24-14774-21342&amp;source=Orders&amp;ru=https%3A%2F%2Fwww.ebay.com%2Fsh%2Ford%2F%3Ffilter%3Dstatus%253AAWAITING_SHIPMENT" TargetMode="External"/><Relationship Id="rId249" Type="http://schemas.openxmlformats.org/officeDocument/2006/relationships/hyperlink" Target="https://www.ebay.com/mesh/ord/details?mode=SH&amp;srn=1121&amp;orderid=24-14607-38517&amp;source=Orders&amp;ru=https%3A%2F%2Fwww.ebay.com%2Fsh%2Ford" TargetMode="External"/><Relationship Id="rId248" Type="http://schemas.openxmlformats.org/officeDocument/2006/relationships/hyperlink" Target="https://www.ebay.com/mesh/ord/details?mode=SH&amp;srn=2259&amp;orderid=21-14602-79575&amp;source=Orders&amp;ru=https%3A%2F%2Fwww.ebay.com%2Fsh%2Ford" TargetMode="External"/><Relationship Id="rId247" Type="http://schemas.openxmlformats.org/officeDocument/2006/relationships/hyperlink" Target="https://www.ebay.com/mesh/ord/details?mode=SH&amp;srn=2260&amp;orderid=26-14596-77740&amp;source=Orders&amp;ru=https%3A%2F%2Fwww.ebay.com%2Fsh%2Ford" TargetMode="External"/><Relationship Id="rId489" Type="http://schemas.openxmlformats.org/officeDocument/2006/relationships/hyperlink" Target="https://www.ebay.com/mesh/ord/details?mode=SH&amp;srn=2337&amp;orderid=06-14698-91610&amp;source=Orders&amp;ru=https%3A%2F%2Fwww.ebay.com%2Fsh%2Ford%2F%3Ffilter%3Dstatus%253AALL_ORDERS%26search%3Dordernumber%253A06-14698-91610%26partialRefresh%3Dtrue" TargetMode="External"/><Relationship Id="rId1070" Type="http://schemas.openxmlformats.org/officeDocument/2006/relationships/hyperlink" Target="https://www.ebay.com/mesh/ord/details?mode=SH&amp;srn=2880&amp;orderid=23-15112-62780&amp;source=Orders&amp;ru=https%3A%2F%2Fwww.ebay.com%2Fsh%2Ford%2F%3Ffilter%3Dstatus%253APAID_SHIPPED" TargetMode="External"/><Relationship Id="rId1071" Type="http://schemas.openxmlformats.org/officeDocument/2006/relationships/hyperlink" Target="https://www.ebay.com/mesh/ord/details?mode=SH&amp;srn=2878&amp;orderid=08-15138-21688&amp;source=Orders&amp;ru=https%3A%2F%2Fwww.ebay.com%2Fsh%2Ford%2F%3Ffilter%3Dstatus%253APAID_SHIPPED" TargetMode="External"/><Relationship Id="rId1072" Type="http://schemas.openxmlformats.org/officeDocument/2006/relationships/hyperlink" Target="https://www.ebay.com/mesh/ord/details?mode=SH&amp;srn=2875&amp;orderid=18-15113-76589&amp;source=Orders&amp;ru=https%3A%2F%2Fwww.ebay.com%2Fsh%2Ford%2F%3Ffilter%3Dstatus%253APAID_SHIPPED" TargetMode="External"/><Relationship Id="rId242" Type="http://schemas.openxmlformats.org/officeDocument/2006/relationships/hyperlink" Target="https://www.ebay.com/mesh/ord/details?mode=SH&amp;srn=2253&amp;orderid=22-14591-58687&amp;source=Orders&amp;ru=https%3A%2F%2Fwww.ebay.com%2Fsh%2Ford" TargetMode="External"/><Relationship Id="rId484" Type="http://schemas.openxmlformats.org/officeDocument/2006/relationships/hyperlink" Target="https://www.ebay.com/mesh/ord/details?mode=SH&amp;srn=2417&amp;orderid=04-14775-83589&amp;source=Orders&amp;ru=https%3A%2F%2Fwww.ebay.com%2Fsh%2Ford%2F%3Ffilter%3Dstatus%253AALL_ORDERS" TargetMode="External"/><Relationship Id="rId1073" Type="http://schemas.openxmlformats.org/officeDocument/2006/relationships/hyperlink" Target="https://www.ebay.com/mesh/ord/details?mode=SH&amp;srn=2873&amp;orderid=16-15114-95210&amp;source=Orders&amp;ru=https%3A%2F%2Fwww.ebay.com%2Fsh%2Ford%2F%3Ffilter%3Dstatus%253APAID_SHIPPED%26search%3Dordernumber%253A16-15114-95210%26partialRefresh%3Dtrue" TargetMode="External"/><Relationship Id="rId241" Type="http://schemas.openxmlformats.org/officeDocument/2006/relationships/hyperlink" Target="https://www.ebay.com/mesh/ord/details?mode=SH&amp;srn=2250&amp;orderid=22-14589-81084&amp;source=Orders&amp;ru=https%3A%2F%2Fwww.ebay.com%2Fsh%2Ford" TargetMode="External"/><Relationship Id="rId483" Type="http://schemas.openxmlformats.org/officeDocument/2006/relationships/hyperlink" Target="https://www.ebay.com/mesh/ord/details?mode=SH&amp;srn=2426&amp;orderid=04-14787-01743&amp;source=Orders&amp;ru=https%3A%2F%2Fwww.ebay.com%2Fsh%2Ford%2F%3Ffilter%3Dstatus%253AAWAITING_SHIPMENT" TargetMode="External"/><Relationship Id="rId1074" Type="http://schemas.openxmlformats.org/officeDocument/2006/relationships/hyperlink" Target="https://www.ebay.com/mesh/ord/details?mode=SH&amp;srn=2886&amp;orderid=06-15148-10217&amp;source=Orders&amp;ru=https%3A%2F%2Fwww.ebay.com%2Fsh%2Ford%2F%3Ffilter%3Dstatus%253APAID_SHIPPED" TargetMode="External"/><Relationship Id="rId240" Type="http://schemas.openxmlformats.org/officeDocument/2006/relationships/hyperlink" Target="https://www.ebay.com/mesh/ord/details?mode=SH&amp;srn=2252&amp;orderid=14-14603-77183&amp;source=Orders&amp;ru=https%3A%2F%2Fwww.ebay.com%2Fsh%2Ford" TargetMode="External"/><Relationship Id="rId482" Type="http://schemas.openxmlformats.org/officeDocument/2006/relationships/hyperlink" Target="https://www.ebay.com/mesh/ord/details?mode=SH&amp;srn=1174&amp;orderid=12-14776-58986&amp;source=Orders&amp;ru=https%3A%2F%2Fwww.ebay.com%2Fsh%2Ford%2F%3Ffilter%3Dstatus%253AAWAITING_SHIPMENT" TargetMode="External"/><Relationship Id="rId1075" Type="http://schemas.openxmlformats.org/officeDocument/2006/relationships/hyperlink" Target="https://www.ebay.com/mesh/ord/details?mode=SH&amp;srn=1249&amp;orderid=08-15031-62763&amp;source=Orders&amp;ru=https%3A%2F%2Fwww.ebay.com%2Fsh%2Ford" TargetMode="External"/><Relationship Id="rId481" Type="http://schemas.openxmlformats.org/officeDocument/2006/relationships/hyperlink" Target="https://www.ebay.com/mesh/ord/details?mode=SH&amp;srn=2430&amp;orderid=25-14755-05173&amp;source=Orders&amp;ru=https%3A%2F%2Fwww.ebay.com%2Fsh%2Ford%2F%3Ffilter%3Dstatus%253APAID_SHIPPED" TargetMode="External"/><Relationship Id="rId1076" Type="http://schemas.openxmlformats.org/officeDocument/2006/relationships/hyperlink" Target="https://www.ebay.com/mesh/ord/details?mode=SH&amp;srn=1270&amp;orderid=18-15126-90817&amp;source=Orders&amp;ru=https%3A%2F%2Fwww.ebay.com%2Fsh%2Ford%2F%3Ffilter%3Dstatus%253AAWAITING_SHIPMENT" TargetMode="External"/><Relationship Id="rId246" Type="http://schemas.openxmlformats.org/officeDocument/2006/relationships/hyperlink" Target="https://www.ebay.com/mesh/ord/details?mode=SH&amp;srn=2257&amp;orderid=01-14630-55389&amp;source=Orders&amp;ru=https%3A%2F%2Fwww.ebay.com%2Fsh%2Ford" TargetMode="External"/><Relationship Id="rId488" Type="http://schemas.openxmlformats.org/officeDocument/2006/relationships/hyperlink" Target="https://www.ebay.com/mesh/ord/details?mode=SH&amp;srn=2432&amp;orderid=02-14794-28811&amp;source=Orders&amp;ru=https%3A%2F%2Fwww.ebay.com%2Fsh%2Ford%2F%3Ffilter%3Dstatus%253AAWAITING_SHIPMENT" TargetMode="External"/><Relationship Id="rId1077" Type="http://schemas.openxmlformats.org/officeDocument/2006/relationships/hyperlink" Target="https://www.ebay.com/mesh/ord/details?mode=SH&amp;srn=2893&amp;orderid=18-15128-18500&amp;source=Orders&amp;ru=https%3A%2F%2Fwww.ebay.com%2Fsh%2Ford%2F%3Ffilter%3Dstatus%253AAWAITING_SHIPMENT" TargetMode="External"/><Relationship Id="rId245" Type="http://schemas.openxmlformats.org/officeDocument/2006/relationships/hyperlink" Target="https://www.ebay.com/mesh/ord/details?mode=SH&amp;srn=2255&amp;orderid=07-14619-90684&amp;source=Orders&amp;ru=https%3A%2F%2Fwww.ebay.com%2Fsh%2Ford%2F%3Ffilter%3Dstatus%253AAWAITING_SHIPMENT" TargetMode="External"/><Relationship Id="rId487" Type="http://schemas.openxmlformats.org/officeDocument/2006/relationships/hyperlink" Target="https://www.ebay.com/mesh/ord/details?mode=SH&amp;srn=2433&amp;orderid=14-14774-19211&amp;source=Orders&amp;ru=https%3A%2F%2Fwww.ebay.com%2Fsh%2Ford%2F%3Ffilter%3Dstatus%253AAWAITING_SHIPMENT" TargetMode="External"/><Relationship Id="rId1078" Type="http://schemas.openxmlformats.org/officeDocument/2006/relationships/hyperlink" Target="https://www.ebay.com/mesh/ord/details?mode=SH&amp;srn=2892&amp;orderid=27-15111-85701&amp;source=Orders&amp;ru=https%3A%2F%2Fwww.ebay.com%2Fsh%2Ford%2F%3Ffilter%3Dstatus%253AAWAITING_SHIPMENT" TargetMode="External"/><Relationship Id="rId244" Type="http://schemas.openxmlformats.org/officeDocument/2006/relationships/hyperlink" Target="https://www.ebay.com/mesh/ord/details?mode=SH&amp;srn=2258&amp;orderid=06-14623-11130&amp;source=Orders&amp;ru=https%3A%2F%2Fwww.ebay.com%2Fsh%2Ford%2F%3Ffilter%3Dstatus%253AAWAITING_SHIPMENT" TargetMode="External"/><Relationship Id="rId486" Type="http://schemas.openxmlformats.org/officeDocument/2006/relationships/hyperlink" Target="https://www.ebay.com/mesh/ord/details?mode=SH&amp;srn=2438&amp;orderid=19-14767-89687&amp;source=Orders&amp;ru=https%3A%2F%2Fwww.ebay.com%2Fsh%2Ford%2F%3Ffilter%3Dstatus%253AAWAITING_SHIPMENT" TargetMode="External"/><Relationship Id="rId1079" Type="http://schemas.openxmlformats.org/officeDocument/2006/relationships/hyperlink" Target="https://www.ebay.com/mesh/ord/details?mode=SH&amp;srn=2890&amp;orderid=22-15120-47933&amp;source=Orders&amp;ru=https%3A%2F%2Fwww.ebay.com%2Fsh%2Ford%2F%3Ffilter%3Dstatus%253AAWAITING_SHIPMENT" TargetMode="External"/><Relationship Id="rId243" Type="http://schemas.openxmlformats.org/officeDocument/2006/relationships/hyperlink" Target="https://www.ebay.com/mesh/ord/details?mode=SH&amp;srn=1120&amp;orderid=03-14622-25218&amp;source=Orders&amp;ru=https%3A%2F%2Fwww.ebay.com%2Fsh%2Ford" TargetMode="External"/><Relationship Id="rId485" Type="http://schemas.openxmlformats.org/officeDocument/2006/relationships/hyperlink" Target="https://www.ebay.com/mesh/ord/details?mode=SH&amp;srn=2431&amp;orderid=13-14774-95052&amp;source=Orders&amp;ru=https%3A%2F%2Fwww.ebay.com%2Fsh%2Ford%2F%3Ffilter%3Dstatus%253AAWAITING_SHIPMENT" TargetMode="External"/><Relationship Id="rId480" Type="http://schemas.openxmlformats.org/officeDocument/2006/relationships/hyperlink" Target="https://www.ebay.com/mesh/ord/details?mode=SH&amp;srn=1173&amp;orderid=07-14783-61209&amp;source=Orders&amp;ru=https%3A%2F%2Fwww.ebay.com%2Fsh%2Ford%2F%3Ffilter%3Dstatus%253APAID_SHIPPED" TargetMode="External"/><Relationship Id="rId239" Type="http://schemas.openxmlformats.org/officeDocument/2006/relationships/hyperlink" Target="https://www.ebay.com/mesh/ord/details?mode=SH&amp;srn=1118&amp;orderid=19-14593-18920&amp;source=Orders&amp;ru=https%3A%2F%2Fwww.ebay.com%2Fsh%2Ford" TargetMode="External"/><Relationship Id="rId238" Type="http://schemas.openxmlformats.org/officeDocument/2006/relationships/hyperlink" Target="https://www.ebay.com/mesh/ord/details?mode=SH&amp;srn=1119&amp;orderid=17-14597-99383&amp;source=Orders&amp;ru=https%3A%2F%2Fwww.ebay.com%2Fsh%2Ford%2F%3Ffilter%3Dstatus%253AAWAITING_SHIPMENT" TargetMode="External"/><Relationship Id="rId237" Type="http://schemas.openxmlformats.org/officeDocument/2006/relationships/hyperlink" Target="https://www.ebay.com/mesh/ord/details?mode=SH&amp;srn=2249&amp;orderid=05-14615-97206&amp;source=Orders&amp;ru=https%3A%2F%2Fwww.ebay.com%2Fsh%2Ford%2F%3Ffilter%3Dstatus%253AAWAITING_SHIPMENT" TargetMode="External"/><Relationship Id="rId479" Type="http://schemas.openxmlformats.org/officeDocument/2006/relationships/hyperlink" Target="https://www.ebay.com/mesh/ord/details?mode=SH&amp;srn=2425&amp;orderid=09-14777-11406&amp;source=Orders&amp;ru=https%3A%2F%2Fwww.ebay.com%2Fsh%2Ford%2F%3Ffilter%3Dstatus%253APAID_SHIPPED" TargetMode="External"/><Relationship Id="rId236" Type="http://schemas.openxmlformats.org/officeDocument/2006/relationships/hyperlink" Target="https://www.ebay.com/mesh/ord/details?mode=SH&amp;srn=2251&amp;orderid=13-14604-62023&amp;source=Orders&amp;ru=https%3A%2F%2Fwww.ebay.com%2Fsh%2Ford%2F%3Ffilter%3Dstatus%253APAID_SHIPPED" TargetMode="External"/><Relationship Id="rId478" Type="http://schemas.openxmlformats.org/officeDocument/2006/relationships/hyperlink" Target="https://www.ebay.com/mesh/ord/details?mode=SH&amp;srn=2427&amp;orderid=25-14752-66518&amp;source=Orders&amp;ru=https%3A%2F%2Fwww.ebay.com%2Fsh%2Ford%2F%3Ffilter%3Dstatus%253APAID_SHIPPED" TargetMode="External"/><Relationship Id="rId1060" Type="http://schemas.openxmlformats.org/officeDocument/2006/relationships/hyperlink" Target="https://www.ebay.com/mesh/ord/details?mode=SH&amp;srn=2871&amp;orderid=08-15128-80020&amp;source=Orders&amp;ru=https%3A%2F%2Fwww.ebay.com%2Fsh%2Ford%2F%3Ffilter%3Dstatus%253AAWAITING_SHIPMENT" TargetMode="External"/><Relationship Id="rId1061" Type="http://schemas.openxmlformats.org/officeDocument/2006/relationships/hyperlink" Target="https://www.ebay.com/mesh/ord/details?mode=SH&amp;srn=2876&amp;orderid=10-15129-28211&amp;source=Orders&amp;ru=https%3A%2F%2Fwww.ebay.com%2Fsh%2Ford%2F%3Ffilter%3Dstatus%253AAWAITING_SHIPMENT" TargetMode="External"/><Relationship Id="rId231" Type="http://schemas.openxmlformats.org/officeDocument/2006/relationships/hyperlink" Target="https://www.ebay.com/mesh/ord/details?mode=SH&amp;srn=2247&amp;orderid=18-14592-24629&amp;source=Orders&amp;ru=https%3A%2F%2Fwww.ebay.com%2Fsh%2Ford" TargetMode="External"/><Relationship Id="rId473" Type="http://schemas.openxmlformats.org/officeDocument/2006/relationships/hyperlink" Target="https://www.ebay.com/mesh/ord/details?mode=SH&amp;srn=1171&amp;orderid=22-14754-55183&amp;source=Orders&amp;ru=https%3A%2F%2Fwww.ebay.com%2Fsh%2Ford" TargetMode="External"/><Relationship Id="rId1062" Type="http://schemas.openxmlformats.org/officeDocument/2006/relationships/hyperlink" Target="https://www.ebay.com/mesh/ord/details?mode=SH&amp;srn=2881&amp;orderid=21-15117-53872&amp;source=Orders&amp;ru=https%3A%2F%2Fwww.ebay.com%2Fsh%2Ford%2F%3Ffilter%3Dstatus%253AAWAITING_SHIPMENT" TargetMode="External"/><Relationship Id="rId230" Type="http://schemas.openxmlformats.org/officeDocument/2006/relationships/hyperlink" Target="https://www.ebay.com/mesh/ord/details?mode=SH&amp;srn=2248&amp;orderid=17-14594-60258&amp;source=Orders&amp;ru=https%3A%2F%2Fwww.ebay.com%2Fsh%2Ford" TargetMode="External"/><Relationship Id="rId472" Type="http://schemas.openxmlformats.org/officeDocument/2006/relationships/hyperlink" Target="https://www.ebay.com/mesh/ord/details?mode=SH&amp;srn=2416&amp;orderid=23-14743-66911&amp;source=Orders&amp;ru=https%3A%2F%2Fwww.ebay.com%2Fsh%2Ford" TargetMode="External"/><Relationship Id="rId1063" Type="http://schemas.openxmlformats.org/officeDocument/2006/relationships/hyperlink" Target="https://www.ebay.com/mesh/ord/details?mode=SH&amp;srn=2874&amp;orderid=23-15104-47584&amp;source=Orders&amp;ru=https%3A%2F%2Fwww.ebay.com%2Fsh%2Ford%2F%3Ffilter%3Dstatus%253AAWAITING_SHIPMENT" TargetMode="External"/><Relationship Id="rId471" Type="http://schemas.openxmlformats.org/officeDocument/2006/relationships/hyperlink" Target="https://www.ebay.com/mesh/ord/details?mode=SH&amp;srn=2429&amp;orderid=11-14777-69800&amp;source=Orders&amp;ru=https%3A%2F%2Fwww.ebay.com%2Fsh%2Ford%2F%3Ffilter%3Dstatus%253AAWAITING_SHIPMENT" TargetMode="External"/><Relationship Id="rId1064" Type="http://schemas.openxmlformats.org/officeDocument/2006/relationships/hyperlink" Target="https://www.ebay.com/mesh/ord/details?mode=SH&amp;srn=2872&amp;orderid=07-15131-30411&amp;source=Orders&amp;ru=https%3A%2F%2Fwww.ebay.com%2Fsh%2Ford%2F%3Ffilter%3Dstatus%253AAWAITING_SHIPMENT" TargetMode="External"/><Relationship Id="rId470" Type="http://schemas.openxmlformats.org/officeDocument/2006/relationships/hyperlink" Target="https://www.ebay.com/mesh/ord/details?mode=SH&amp;srn=2424&amp;orderid=23-14752-89895&amp;source=Orders&amp;ru=https%3A%2F%2Fwww.ebay.com%2Fsh%2Ford" TargetMode="External"/><Relationship Id="rId1065" Type="http://schemas.openxmlformats.org/officeDocument/2006/relationships/hyperlink" Target="https://www.ebay.com/mesh/ord/details?mode=SH&amp;srn=2883&amp;orderid=05-15149-75058&amp;source=Orders&amp;ru=https%3A%2F%2Fwww.ebay.com%2Fsh%2Ford%2F%3Ffilter%3Dstatus%253AAWAITING_SHIPMENT" TargetMode="External"/><Relationship Id="rId235" Type="http://schemas.openxmlformats.org/officeDocument/2006/relationships/hyperlink" Target="https://www.ebay.com/mesh/ord/details?orderid=20-14514-48811" TargetMode="External"/><Relationship Id="rId477" Type="http://schemas.openxmlformats.org/officeDocument/2006/relationships/hyperlink" Target="https://www.ebay.com/mesh/ord/details?mode=SH&amp;srn=2428&amp;orderid=07-14783-61208&amp;source=Orders&amp;ru=https%3A%2F%2Fwww.ebay.com%2Fsh%2Ford%2F%3Ffilter%3Dstatus%253APAID_SHIPPED" TargetMode="External"/><Relationship Id="rId1066" Type="http://schemas.openxmlformats.org/officeDocument/2006/relationships/hyperlink" Target="https://www.ebay.com/mesh/ord/details?mode=SH&amp;srn=2888&amp;orderid=22-15119-83065&amp;source=Orders&amp;ru=https%3A%2F%2Fwww.ebay.com%2Fsh%2Ford%2F%3Ffilter%3Dstatus%253AAWAITING_SHIPMENT" TargetMode="External"/><Relationship Id="rId234" Type="http://schemas.openxmlformats.org/officeDocument/2006/relationships/hyperlink" Target="https://www.ebay.com/mesh/ord/details?mode=SH&amp;srn=2243&amp;orderid=05-14611-52622&amp;source=Orders&amp;ru=https%3A%2F%2Fwww.ebay.com%2Fsh%2Ford%2F%3Ffilter%3Dstatus%253APAID_SHIPPED" TargetMode="External"/><Relationship Id="rId476" Type="http://schemas.openxmlformats.org/officeDocument/2006/relationships/hyperlink" Target="https://www.ebay.com/mesh/ord/details?mode=SH&amp;srn=2418&amp;orderid=02-14780-43796&amp;source=Orders&amp;ru=https%3A%2F%2Fwww.ebay.com%2Fsh%2Ford%2F%3Ffilter%3Dstatus%253AAWAITING_SHIPMENT" TargetMode="External"/><Relationship Id="rId1067" Type="http://schemas.openxmlformats.org/officeDocument/2006/relationships/hyperlink" Target="https://www.ebay.com/mesh/ord/details?mode=SH&amp;srn=2885&amp;orderid=26-15110-82834&amp;source=Orders&amp;ru=https%3A%2F%2Fwww.ebay.com%2Fsh%2Ford%2F%3Ffilter%3Dstatus%253AAWAITING_SHIPMENT" TargetMode="External"/><Relationship Id="rId233" Type="http://schemas.openxmlformats.org/officeDocument/2006/relationships/hyperlink" Target="https://www.ebay.com/mesh/ord/details?mode=SH&amp;srn=2244&amp;orderid=11-14601-86379&amp;source=Orders&amp;ru=https%3A%2F%2Fwww.ebay.com%2Fsh%2Ford%2F%3Ffilter%3Dstatus%253APAID_SHIPPED" TargetMode="External"/><Relationship Id="rId475" Type="http://schemas.openxmlformats.org/officeDocument/2006/relationships/hyperlink" Target="https://www.ebay.com/mesh/ord/details?mode=SH&amp;srn=2413&amp;orderid=16-14752-83733&amp;source=Orders&amp;ru=https%3A%2F%2Fwww.ebay.com%2Fsh%2Ford%2F%3Ffilter%3Dstatus%253AALL_ORDERS%26search%3Dordernumber%253A16-14752-83733%26partialRefresh%3Dtrue" TargetMode="External"/><Relationship Id="rId1068" Type="http://schemas.openxmlformats.org/officeDocument/2006/relationships/hyperlink" Target="https://www.ebay.com/mesh/ord/details?mode=SH&amp;srn=1269&amp;orderid=08-15132-51373&amp;source=Orders&amp;ru=https%3A%2F%2Fwww.ebay.com%2Fsh%2Ford%2F%3Ffilter%3Dstatus%253AAWAITING_SHIPMENT%26search%3Dordernumber%253A08-15132-51373" TargetMode="External"/><Relationship Id="rId232" Type="http://schemas.openxmlformats.org/officeDocument/2006/relationships/hyperlink" Target="https://www.ebay.com/mesh/ord/details?mode=SH&amp;srn=2245&amp;orderid=12-14600-79197&amp;source=Orders&amp;ru=https%3A%2F%2Fwww.ebay.com%2Fsh%2Ford" TargetMode="External"/><Relationship Id="rId474" Type="http://schemas.openxmlformats.org/officeDocument/2006/relationships/hyperlink" Target="https://www.ebay.com/mesh/ord/details?mode=SH&amp;srn=2420&amp;orderid=06-14774-42810&amp;source=Orders&amp;ru=https%3A%2F%2Fwww.ebay.com%2Fsh%2Ford" TargetMode="External"/><Relationship Id="rId1069" Type="http://schemas.openxmlformats.org/officeDocument/2006/relationships/hyperlink" Target="https://www.ebay.com/mesh/ord/details?mode=SH&amp;srn=2882&amp;orderid=18-15124-69560&amp;source=Orders&amp;ru=https%3A%2F%2Fwww.ebay.com%2Fsh%2Ford%2F%3Ffilter%3Dstatus%253APAID_SHIPPED" TargetMode="External"/><Relationship Id="rId1015" Type="http://schemas.openxmlformats.org/officeDocument/2006/relationships/hyperlink" Target="https://www.ebay.com/mesh/ord/details?mode=SH&amp;srn=1261&amp;orderid=09-15090-35762&amp;source=Orders&amp;ru=https%3A%2F%2Fwww.ebay.com%2Fsh%2Ford%2F%3Ffilter%3Dstatus%253APAID_SHIPPED" TargetMode="External"/><Relationship Id="rId1016" Type="http://schemas.openxmlformats.org/officeDocument/2006/relationships/hyperlink" Target="https://www.ebay.com/mesh/ord/details?mode=SH&amp;srn=2838&amp;orderid=27-15062-67096&amp;source=Orders&amp;ru=https%3A%2F%2Fwww.ebay.com%2Fsh%2Ford%2F%3Ffilter%3Dstatus%253AAWAITING_SHIPMENT" TargetMode="External"/><Relationship Id="rId1017" Type="http://schemas.openxmlformats.org/officeDocument/2006/relationships/hyperlink" Target="https://www.ebay.com/mesh/ord/details?mode=SH&amp;srn=2839&amp;orderid=17-15080-76158&amp;source=Orders&amp;ru=https%3A%2F%2Fwww.ebay.com%2Fsh%2Ford" TargetMode="External"/><Relationship Id="rId1018" Type="http://schemas.openxmlformats.org/officeDocument/2006/relationships/hyperlink" Target="https://www.ebay.com/mesh/ord/details?mode=SH&amp;srn=2840&amp;orderid=24-15083-70330&amp;source=Orders&amp;ru=https%3A%2F%2Fwww.ebay.com%2Fsh%2Ford%2F%3Ffilter%3Dstatus%253APAID_SHIPPED" TargetMode="External"/><Relationship Id="rId1019" Type="http://schemas.openxmlformats.org/officeDocument/2006/relationships/hyperlink" Target="https://www.ebay.com/mesh/ord/details?mode=SH&amp;srn=2844&amp;orderid=10-15100-45056&amp;source=Orders&amp;ru=https%3A%2F%2Fwww.ebay.com%2Fsh%2Ford" TargetMode="External"/><Relationship Id="rId426" Type="http://schemas.openxmlformats.org/officeDocument/2006/relationships/hyperlink" Target="https://www.ebay.com/mesh/ord/details?mode=SH&amp;srn=1161&amp;orderid=17-14734-96000&amp;source=Orders&amp;ru=https%3A%2F%2Fwww.ebay.com%2Fsh%2Ford%2F%3Ffilter%3Dstatus%253AAWAITING_SHIPMENT" TargetMode="External"/><Relationship Id="rId668" Type="http://schemas.openxmlformats.org/officeDocument/2006/relationships/hyperlink" Target="https://www.ebay.com/mesh/ord/details?mode=SH&amp;srn=2575&amp;orderid=19-14870-39030&amp;source=Orders&amp;ru=https%3A%2F%2Fwww.ebay.com%2Fsh%2Ford%2F%3Ffilter%3Dstatus%253AAWAITING_SHIPMENT" TargetMode="External"/><Relationship Id="rId425" Type="http://schemas.openxmlformats.org/officeDocument/2006/relationships/hyperlink" Target="https://www.ebay.com/mesh/ord/details?mode=SH&amp;srn=2384&amp;orderid=24-14737-73334&amp;source=Orders&amp;ru=https%3A%2F%2Fwww.ebay.com%2Fsh%2Ford%2F%3Ffilter%3Dstatus%253AAWAITING_SHIPMENT" TargetMode="External"/><Relationship Id="rId667" Type="http://schemas.openxmlformats.org/officeDocument/2006/relationships/hyperlink" Target="https://www.ebay.com/mesh/ord/details?mode=SH&amp;srn=2577&amp;orderid=12-14883-05419&amp;source=Orders&amp;ru=https%3A%2F%2Fwww.ebay.com%2Fsh%2Ford%2F%3Ffilter%3Dstatus%253AAWAITING_SHIPMENT" TargetMode="External"/><Relationship Id="rId424" Type="http://schemas.openxmlformats.org/officeDocument/2006/relationships/hyperlink" Target="https://www.ebay.com/mesh/ord/details?mode=SH&amp;srn=2380&amp;orderid=10-14739-40160&amp;source=Orders&amp;ru=https%3A%2F%2Fwww.ebay.com%2Fsh%2Ford%2F%3Ffilter%3Dstatus%253APAID_SHIPPED" TargetMode="External"/><Relationship Id="rId666" Type="http://schemas.openxmlformats.org/officeDocument/2006/relationships/hyperlink" Target="https://www.ebay.com/mesh/ord/details?mode=SH&amp;srn=2580&amp;orderid=27-14862-46720&amp;source=Orders&amp;ru=https%3A%2F%2Fwww.ebay.com%2Fsh%2Ford%2F%3Ffilter%3Dstatus%253AAWAITING_SHIPMENT" TargetMode="External"/><Relationship Id="rId423" Type="http://schemas.openxmlformats.org/officeDocument/2006/relationships/hyperlink" Target="https://www.ebay.com/mesh/ord/details?mode=SH&amp;srn=2381&amp;orderid=04-14749-66327&amp;source=Orders&amp;ru=https%3A%2F%2Fwww.ebay.com%2Fsh%2Ford%2F%3Ffilter%3Dstatus%253APAID_SHIPPED" TargetMode="External"/><Relationship Id="rId665" Type="http://schemas.openxmlformats.org/officeDocument/2006/relationships/hyperlink" Target="https://www.ebay.com/mesh/ord/details?mode=SH&amp;srn=2571&amp;orderid=07-14888-71916&amp;source=Orders&amp;ru=https%3A%2F%2Fwww.ebay.com%2Fsh%2Ford%2F%3Ffilter%3Dstatus%253AAWAITING_SHIPMENT" TargetMode="External"/><Relationship Id="rId429" Type="http://schemas.openxmlformats.org/officeDocument/2006/relationships/hyperlink" Target="https://www.ebay.com/mesh/ord/details?mode=SH&amp;srn=2385&amp;orderid=14-14740-94811&amp;source=Orders&amp;ru=https%3A%2F%2Fwww.ebay.com%2Fsh%2Ford%2F%3Ffilter%3Dstatus%253APAID_SHIPPED" TargetMode="External"/><Relationship Id="rId428" Type="http://schemas.openxmlformats.org/officeDocument/2006/relationships/hyperlink" Target="https://www.ebay.com/mesh/ord/details?mode=SH&amp;srn=1162&amp;orderid=26-14722-32131&amp;source=Orders&amp;ru=https%3A%2F%2Fwww.ebay.com%2Fsh%2Ford%2F%3Ffilter%3Dstatus%253AAWAITING_SHIPMENT" TargetMode="External"/><Relationship Id="rId427" Type="http://schemas.openxmlformats.org/officeDocument/2006/relationships/hyperlink" Target="https://www.ebay.com/mesh/ord/details?mode=SH&amp;srn=2383&amp;orderid=09-14745-50491&amp;source=Orders&amp;ru=https%3A%2F%2Fwww.ebay.com%2Fsh%2Ford%2F%3Ffilter%3Dstatus%253APAID_SHIPPED" TargetMode="External"/><Relationship Id="rId669" Type="http://schemas.openxmlformats.org/officeDocument/2006/relationships/hyperlink" Target="https://www.ebay.com/mesh/ord/details?mode=SH&amp;srn=2581&amp;orderid=09-14893-12889&amp;source=Orders&amp;ru=https%3A%2F%2Fwww.ebay.com%2Fsh%2Ford%2F%3Ffilter%3Dstatus%253AAWAITING_SHIPMENT" TargetMode="External"/><Relationship Id="rId660" Type="http://schemas.openxmlformats.org/officeDocument/2006/relationships/hyperlink" Target="https://www.ebay.com/mesh/ord/details?mode=SH&amp;srn=2563&amp;orderid=23-14858-85895&amp;source=Orders&amp;ru=https%3A%2F%2Fwww.ebay.com%2Fsh%2Ford%2F%3Ffilter%3Dstatus%253AAWAITING_SHIPMENT" TargetMode="External"/><Relationship Id="rId1010" Type="http://schemas.openxmlformats.org/officeDocument/2006/relationships/hyperlink" Target="https://www.ebay.com/mesh/ord/details?mode=SH&amp;srn=1263&amp;orderid=05-15099-00014&amp;source=Orders&amp;ru=https%3A%2F%2Fwww.ebay.com%2Fsh%2Ford" TargetMode="External"/><Relationship Id="rId422" Type="http://schemas.openxmlformats.org/officeDocument/2006/relationships/hyperlink" Target="https://order.ebay.com/ord/show?orderId=16-14728-25516" TargetMode="External"/><Relationship Id="rId664" Type="http://schemas.openxmlformats.org/officeDocument/2006/relationships/hyperlink" Target="https://www.ebay.com/mesh/ord/details?mode=SH&amp;srn=2573&amp;orderid=24-14875-82735&amp;source=Orders&amp;ru=https%3A%2F%2Fwww.ebay.com%2Fsh%2Ford" TargetMode="External"/><Relationship Id="rId1011" Type="http://schemas.openxmlformats.org/officeDocument/2006/relationships/hyperlink" Target="https://www.ebay.com/mesh/ord/details?mode=SH&amp;srn=2835&amp;orderid=18-15075-14314&amp;source=Orders&amp;ru=https%3A%2F%2Fwww.ebay.com%2Fsh%2Ford" TargetMode="External"/><Relationship Id="rId421" Type="http://schemas.openxmlformats.org/officeDocument/2006/relationships/hyperlink" Target="https://www.ebay.com/mesh/ord/details?mode=SH&amp;srn=2376&amp;orderid=01-14751-63211&amp;source=Orders&amp;ru=https%3A%2F%2Fwww.ebay.com%2Fsh%2Ford%2F%3Ffilter%3Dstatus%253APAID_SHIPPED" TargetMode="External"/><Relationship Id="rId663" Type="http://schemas.openxmlformats.org/officeDocument/2006/relationships/hyperlink" Target="https://www.ebay.com/mesh/ord/details?mode=SH&amp;srn=2566&amp;orderid=17-14869-13462&amp;source=Orders&amp;ru=https%3A%2F%2Fwww.ebay.com%2Fsh%2Ford" TargetMode="External"/><Relationship Id="rId1012" Type="http://schemas.openxmlformats.org/officeDocument/2006/relationships/hyperlink" Target="https://www.ebay.com/mesh/ord/details?mode=SH&amp;srn=2834&amp;orderid=12-15085-06891&amp;source=Orders&amp;ru=https%3A%2F%2Fwww.ebay.com%2Fsh%2Ford%2F%3Ffilter%3Dstatus%253AAWAITING_SHIPMENT" TargetMode="External"/><Relationship Id="rId420" Type="http://schemas.openxmlformats.org/officeDocument/2006/relationships/hyperlink" Target="https://www.ebay.com/mesh/ord/details?mode=SH&amp;srn=2375&amp;orderid=18-14722-44826&amp;source=Orders&amp;ru=https%3A%2F%2Fwww.ebay.com%2Fsh%2Ford%2F%3Ffilter%3Dstatus%253APAID_SHIPPED" TargetMode="External"/><Relationship Id="rId662" Type="http://schemas.openxmlformats.org/officeDocument/2006/relationships/hyperlink" Target="https://www.ebay.com/mesh/ord/details?mode=SH&amp;srn=2566&amp;orderid=17-14869-13462&amp;source=Orders&amp;ru=https%3A%2F%2Fwww.ebay.com%2Fsh%2Ford" TargetMode="External"/><Relationship Id="rId1013" Type="http://schemas.openxmlformats.org/officeDocument/2006/relationships/hyperlink" Target="https://www.ebay.com/mesh/ord/details?mode=SH&amp;srn=2836&amp;orderid=14-15082-53283&amp;source=Orders&amp;ru=https%3A%2F%2Fwww.ebay.com%2Fsh%2Ford%2F%3Ffilter%3Dstatus%253AAWAITING_SHIPMENT" TargetMode="External"/><Relationship Id="rId661" Type="http://schemas.openxmlformats.org/officeDocument/2006/relationships/hyperlink" Target="https://www.ebay.com/mesh/ord/details?orderid=08-14806-90829" TargetMode="External"/><Relationship Id="rId1014" Type="http://schemas.openxmlformats.org/officeDocument/2006/relationships/hyperlink" Target="https://www.ebay.com/mesh/ord/details?mode=SH&amp;srn=1262&amp;orderid=05-15098-94568&amp;source=Orders&amp;ru=https%3A%2F%2Fwww.ebay.com%2Fsh%2Ford%2F%3Ffilter%3Dstatus%253APAID_SHIPPED" TargetMode="External"/><Relationship Id="rId1004" Type="http://schemas.openxmlformats.org/officeDocument/2006/relationships/hyperlink" Target="https://www.ebay.com/mesh/ord/details?mode=SH&amp;srn=2831&amp;orderid=07-15090-27927&amp;source=Orders&amp;ru=https%3A%2F%2Fwww.ebay.com%2Fsh%2Ford" TargetMode="External"/><Relationship Id="rId1005" Type="http://schemas.openxmlformats.org/officeDocument/2006/relationships/hyperlink" Target="https://www.ebay.com/mesh/ord/details?mode=SH&amp;srn=2833&amp;orderid=18-15073-00621&amp;source=Orders&amp;ru=https%3A%2F%2Fwww.ebay.com%2Fsh%2Ford%2F%3Ffilter%3Dstatus%253APAID_SHIPPED" TargetMode="External"/><Relationship Id="rId1006" Type="http://schemas.openxmlformats.org/officeDocument/2006/relationships/hyperlink" Target="https://www.ebay.com/mesh/ord/details?mode=SH&amp;srn=2832&amp;orderid=22-15063-47689&amp;source=Orders&amp;ru=https%3A%2F%2Fwww.ebay.com%2Fsh%2Ford%2F%3Ffilter%3Dstatus%253APAID_SHIPPED" TargetMode="External"/><Relationship Id="rId1007" Type="http://schemas.openxmlformats.org/officeDocument/2006/relationships/hyperlink" Target="https://www.ebay.com/mesh/ord/details?mode=SH&amp;srn=2828&amp;orderid=10-15083-01349&amp;source=Orders&amp;ru=https%3A%2F%2Fwww.ebay.com%2Fsh%2Ford%2F%3Ffilter%3Dstatus%253APAID_SHIPPED" TargetMode="External"/><Relationship Id="rId1008" Type="http://schemas.openxmlformats.org/officeDocument/2006/relationships/hyperlink" Target="https://www.ebay.com/mesh/ord/details?orderid=19-14980-60118" TargetMode="External"/><Relationship Id="rId1009" Type="http://schemas.openxmlformats.org/officeDocument/2006/relationships/hyperlink" Target="https://www.ebay.com/mesh/ord/details?mode=SH&amp;srn=2830&amp;orderid=23-15061-25239&amp;source=Orders&amp;ru=https%3A%2F%2Fwww.ebay.com%2Fsh%2Ford" TargetMode="External"/><Relationship Id="rId415" Type="http://schemas.openxmlformats.org/officeDocument/2006/relationships/hyperlink" Target="https://www.ebay.com/mesh/ord/details?mode=SH&amp;srn=1154&amp;orderid=02-14746-69526&amp;source=Orders&amp;ru=https%3A%2F%2Fwww.ebay.com%2Fsh%2Ford%2F%3Ffilter%3Dstatus%253AAWAITING_SHIPMENT" TargetMode="External"/><Relationship Id="rId657" Type="http://schemas.openxmlformats.org/officeDocument/2006/relationships/hyperlink" Target="https://www.ebay.com/mesh/ord/details?mode=SH&amp;srn=2572&amp;orderid=25-14858-06125&amp;source=Orders&amp;ru=https%3A%2F%2Fwww.ebay.com%2Fsh%2Ford%2F%3Ffilter%3Dstatus%253AAWAITING_SHIPMENT" TargetMode="External"/><Relationship Id="rId899" Type="http://schemas.openxmlformats.org/officeDocument/2006/relationships/hyperlink" Target="https://www.ebay.com/mesh/ord/details?mode=SH&amp;srn=2741&amp;orderid=13-15012-59440&amp;source=Orders&amp;ru=https%3A%2F%2Fwww.ebay.com%2Fsh%2Ford%2F%3Ffilter%3Dstatus%253AAWAITING_SHIPMENT" TargetMode="External"/><Relationship Id="rId414" Type="http://schemas.openxmlformats.org/officeDocument/2006/relationships/hyperlink" Target="https://www.ebay.com/mesh/ord/details?mode=SH&amp;srn=1155&amp;orderid=09-14736-62248&amp;source=Orders&amp;ru=https%3A%2F%2Fwww.ebay.com%2Fsh%2Ford%2F%3Ffilter%3Dstatus%253AALL_ORDERS" TargetMode="External"/><Relationship Id="rId656" Type="http://schemas.openxmlformats.org/officeDocument/2006/relationships/hyperlink" Target="https://www.ebay.com/mesh/ord/details?mode=SH&amp;srn=2576&amp;orderid=01-14902-71894&amp;source=Orders&amp;ru=https%3A%2F%2Fwww.ebay.com%2Fsh%2Ford%2F%3Ffilter%3Dstatus%253AAWAITING_SHIPMENT" TargetMode="External"/><Relationship Id="rId898" Type="http://schemas.openxmlformats.org/officeDocument/2006/relationships/hyperlink" Target="https://www.ebay.com/mesh/ord/details?orderid=12-14746-34658" TargetMode="External"/><Relationship Id="rId413" Type="http://schemas.openxmlformats.org/officeDocument/2006/relationships/hyperlink" Target="https://www.ebay.com/mesh/ord/details?mode=SH&amp;srn=1156&amp;orderid=27-14709-53821&amp;source=Orders&amp;ru=https%3A%2F%2Fwww.ebay.com%2Fsh%2Ford%2F%3Ffilter%3Dstatus%253AALL_ORDERS" TargetMode="External"/><Relationship Id="rId655" Type="http://schemas.openxmlformats.org/officeDocument/2006/relationships/hyperlink" Target="https://www.ebay.com/mesh/ord/details?mode=SH&amp;srn=2562&amp;orderid=24-14871-72160&amp;source=Orders&amp;ru=https%3A%2F%2Fwww.ebay.com%2Fsh%2Ford%2F%3Ffilter%3Dstatus%253AAWAITING_SHIPMENT" TargetMode="External"/><Relationship Id="rId897" Type="http://schemas.openxmlformats.org/officeDocument/2006/relationships/hyperlink" Target="https://www.ebay.com/mesh/ord/details?mode=SH&amp;srn=1246&amp;orderid=05-15026-60835&amp;source=Orders&amp;ru=https%3A%2F%2Fwww.ebay.com%2Fsh%2Ford%2F%3Ffilter%3Dstatus%253APAID_SHIPPED" TargetMode="External"/><Relationship Id="rId412" Type="http://schemas.openxmlformats.org/officeDocument/2006/relationships/hyperlink" Target="https://www.ebay.com/mesh/ord/details?mode=SH&amp;srn=1158&amp;orderid=07-14746-14056&amp;source=Orders&amp;ru=https%3A%2F%2Fwww.ebay.com%2Fsh%2Ford%2F%3Ffilter%3Dstatus%253AAWAITING_SHIPMENT" TargetMode="External"/><Relationship Id="rId654" Type="http://schemas.openxmlformats.org/officeDocument/2006/relationships/hyperlink" Target="https://www.ebay.com/mesh/ord/details?mode=SH&amp;srn=2560&amp;orderid=20-14862-32276&amp;source=Orders&amp;ru=https%3A%2F%2Fwww.ebay.com%2Fsh%2Ford" TargetMode="External"/><Relationship Id="rId896" Type="http://schemas.openxmlformats.org/officeDocument/2006/relationships/hyperlink" Target="https://www.ebay.com/mesh/ord/details?mode=SH&amp;srn=2734&amp;orderid=22-14992-09640&amp;source=Orders&amp;ru=https%3A%2F%2Fwww.ebay.com%2Fsh%2Ford%2F%3Ffilter%3Dstatus%253AAWAITING_SHIPMENT" TargetMode="External"/><Relationship Id="rId419" Type="http://schemas.openxmlformats.org/officeDocument/2006/relationships/hyperlink" Target="https://www.ebay.com/mesh/ord/details?mode=SH&amp;srn=2379&amp;orderid=10-14739-38659&amp;source=Orders&amp;ru=https%3A%2F%2Fwww.ebay.com%2Fsh%2Ford" TargetMode="External"/><Relationship Id="rId418" Type="http://schemas.openxmlformats.org/officeDocument/2006/relationships/hyperlink" Target="https://www.ebay.com/mesh/ord/details?mode=SH&amp;srn=2377&amp;orderid=12-14733-80786&amp;source=Orders&amp;ru=https%3A%2F%2Fwww.ebay.com%2Fsh%2Ford" TargetMode="External"/><Relationship Id="rId417" Type="http://schemas.openxmlformats.org/officeDocument/2006/relationships/hyperlink" Target="https://www.ebay.com/mesh/ord/details?orderid=24-14617-80810" TargetMode="External"/><Relationship Id="rId659" Type="http://schemas.openxmlformats.org/officeDocument/2006/relationships/hyperlink" Target="https://www.ebay.com/mesh/ord/details?mode=SH&amp;srn=2567&amp;orderid=27-14852-57027&amp;source=Orders&amp;ru=https%3A%2F%2Fwww.ebay.com%2Fsh%2Ford%2F%3Ffilter%3Dstatus%253AAWAITING_SHIPMENT" TargetMode="External"/><Relationship Id="rId416" Type="http://schemas.openxmlformats.org/officeDocument/2006/relationships/hyperlink" Target="https://www.ebay.com/mesh/ord/details?mode=SH&amp;srn=1153&amp;orderid=07-14737-72664&amp;source=Orders&amp;ru=https%3A%2F%2Fwww.ebay.com%2Fsh%2Ford%2F%3Ffilter%3Dstatus%253AAWAITING_SHIPMENT" TargetMode="External"/><Relationship Id="rId658" Type="http://schemas.openxmlformats.org/officeDocument/2006/relationships/hyperlink" Target="https://www.ebay.com/mesh/ord/details?mode=SH&amp;srn=2569&amp;orderid=20-14865-78248&amp;source=Orders&amp;ru=https%3A%2F%2Fwww.ebay.com%2Fsh%2Ford%2F%3Ffilter%3Dstatus%253AAWAITING_SHIPMENT" TargetMode="External"/><Relationship Id="rId891" Type="http://schemas.openxmlformats.org/officeDocument/2006/relationships/hyperlink" Target="https://order.ebay.com/ord/show?orderId=21-14988-60856" TargetMode="External"/><Relationship Id="rId890" Type="http://schemas.openxmlformats.org/officeDocument/2006/relationships/hyperlink" Target="https://www.ebay.com/mesh/ord/details?mode=SH&amp;srn=1243&amp;orderid=02-15016-59963&amp;source=Orders&amp;ru=https%3A%2F%2Fwww.ebay.com%2Fsh%2Ford%2F%3Ffilter%3Dstatus%253AAWAITING_SHIPMENT" TargetMode="External"/><Relationship Id="rId411" Type="http://schemas.openxmlformats.org/officeDocument/2006/relationships/hyperlink" Target="https://www.ebay.com/mesh/ord/details?mode=SH&amp;srn=2374&amp;orderid=22-14714-30982&amp;source=Orders&amp;ru=https%3A%2F%2Fwww.ebay.com%2Fsh%2Ford" TargetMode="External"/><Relationship Id="rId653" Type="http://schemas.openxmlformats.org/officeDocument/2006/relationships/hyperlink" Target="https://www.ebay.com/mesh/ord/details?mode=SH&amp;srn=2556&amp;orderid=11-14875-29580&amp;source=Orders&amp;ru=https%3A%2F%2Fwww.ebay.com%2Fsh%2Ford" TargetMode="External"/><Relationship Id="rId895" Type="http://schemas.openxmlformats.org/officeDocument/2006/relationships/hyperlink" Target="https://www.ebay.com/mesh/ord/details?mode=SH&amp;srn=2737&amp;orderid=19-14997-73784&amp;source=Orders&amp;ru=https%3A%2F%2Fwww.ebay.com%2Fsh%2Ford%2F%3Ffilter%3Dstatus%253AAWAITING_SHIPMENT" TargetMode="External"/><Relationship Id="rId1000" Type="http://schemas.openxmlformats.org/officeDocument/2006/relationships/hyperlink" Target="https://www.ebay.com/mesh/ord/details?mode=SH&amp;srn=2822&amp;orderid=27-15050-39400&amp;source=Orders&amp;ru=https%3A%2F%2Fwww.ebay.com%2Fsh%2Ford" TargetMode="External"/><Relationship Id="rId410" Type="http://schemas.openxmlformats.org/officeDocument/2006/relationships/hyperlink" Target="https://www.ebay.com/mesh/ord/details?mode=SH&amp;srn=2378&amp;orderid=24-14731-29213&amp;source=Orders&amp;ru=https%3A%2F%2Fwww.ebay.com%2Fsh%2Ford" TargetMode="External"/><Relationship Id="rId652" Type="http://schemas.openxmlformats.org/officeDocument/2006/relationships/hyperlink" Target="https://www.ebay.com/mesh/ord/details?mode=SH&amp;srn=2557&amp;orderid=22-14856-65307&amp;source=Orders&amp;ru=https%3A%2F%2Fwww.ebay.com%2Fsh%2Ford%2F%3Ffilter%3Dstatus%253AAWAITING_SHIPMENT" TargetMode="External"/><Relationship Id="rId894" Type="http://schemas.openxmlformats.org/officeDocument/2006/relationships/hyperlink" Target="https://www.ebay.com/mesh/ord/details?mode=SH&amp;srn=2742&amp;orderid=23-14995-04341&amp;source=Orders&amp;ru=https%3A%2F%2Fwww.ebay.com%2Fsh%2Ford%2F%3Ffilter%3Dstatus%253AALL_ORDERS" TargetMode="External"/><Relationship Id="rId1001" Type="http://schemas.openxmlformats.org/officeDocument/2006/relationships/hyperlink" Target="https://www.ebay.com/mesh/ord/details?mode=SH&amp;srn=1241&amp;orderid=09-14998-84822&amp;source=Orders&amp;ru=https%3A%2F%2Fwww.ebay.com%2Fsh%2Ford" TargetMode="External"/><Relationship Id="rId651" Type="http://schemas.openxmlformats.org/officeDocument/2006/relationships/hyperlink" Target="https://www.ebay.com/mesh/ord/details?mode=SH&amp;srn=1200&amp;orderid=24-14867-75701&amp;source=Orders&amp;ru=https%3A%2F%2Fwww.ebay.com%2Fsh%2Ford%2F%3Ffilter%3Dstatus%253AAWAITING_SHIPMENT" TargetMode="External"/><Relationship Id="rId893" Type="http://schemas.openxmlformats.org/officeDocument/2006/relationships/hyperlink" Target="https://order.ebay.com/ord/show?orderId=07-15019-53282" TargetMode="External"/><Relationship Id="rId1002" Type="http://schemas.openxmlformats.org/officeDocument/2006/relationships/hyperlink" Target="https://www.ebay.com/mesh/ord/details?mode=SH&amp;srn=2817&amp;orderid=10-15078-64084&amp;source=Orders&amp;ru=https%3A%2F%2Fwww.ebay.com%2Fsh%2Ford%2F%3Ffilter%3Dstatus%253AAWAITING_SHIPMENT" TargetMode="External"/><Relationship Id="rId650" Type="http://schemas.openxmlformats.org/officeDocument/2006/relationships/hyperlink" Target="https://www.ebay.com/mesh/ord/details?mode=SH&amp;srn=2558&amp;orderid=01-14894-26222&amp;source=Orders&amp;ru=https%3A%2F%2Fwww.ebay.com%2Fsh%2Ford%2F%3Ffilter%3Dstatus%253AAWAITING_SHIPMENT" TargetMode="External"/><Relationship Id="rId892" Type="http://schemas.openxmlformats.org/officeDocument/2006/relationships/hyperlink" Target="https://www.ebay.com/mesh/ord/details?mode=SH&amp;srn=2733&amp;orderid=22-14992-01137&amp;source=Orders&amp;ru=https%3A%2F%2Fwww.ebay.com%2Fsh%2Ford%2F%3Ffilter%3Dstatus%253AAWAITING_SHIPMENT" TargetMode="External"/><Relationship Id="rId1003" Type="http://schemas.openxmlformats.org/officeDocument/2006/relationships/hyperlink" Target="https://www.ebay.com/mesh/ord/details?mode=SH&amp;srn=1259&amp;orderid=21-15063-01821&amp;source=Orders&amp;ru=https%3A%2F%2Fwww.ebay.com%2Fsh%2Ford%2F%3Ffilter%3Dstatus%253AAWAITING_SHIPMENT" TargetMode="External"/><Relationship Id="rId1037" Type="http://schemas.openxmlformats.org/officeDocument/2006/relationships/hyperlink" Target="https://www.ebay.com/mesh/ord/details?mode=SH&amp;srn=2853&amp;orderid=08-15115-92617&amp;source=Orders&amp;ru=https%3A%2F%2Fwww.ebay.com%2Fsh%2Ford%2F%3Ffilter%3Dstatus%253APAID_SHIPPED" TargetMode="External"/><Relationship Id="rId1279" Type="http://schemas.openxmlformats.org/officeDocument/2006/relationships/table" Target="../tables/table1.xml"/><Relationship Id="rId1038" Type="http://schemas.openxmlformats.org/officeDocument/2006/relationships/hyperlink" Target="https://www.ebay.com/mesh/ord/details?mode=SH&amp;srn=2852&amp;orderid=06-15119-54311&amp;source=Orders&amp;ru=https%3A%2F%2Fwww.ebay.com%2Fsh%2Ford%2F%3Ffilter%3Dstatus%253AAWAITING_SHIPMENT" TargetMode="External"/><Relationship Id="rId1039" Type="http://schemas.openxmlformats.org/officeDocument/2006/relationships/hyperlink" Target="https://www.ebay.com/mesh/ord/details?mode=SH&amp;srn=2855&amp;orderid=10-15115-61920&amp;source=Orders&amp;ru=https%3A%2F%2Fwww.ebay.com%2Fsh%2Ford%2F%3Ffilter%3Dstatus%253AAWAITING_SHIPMENT" TargetMode="External"/><Relationship Id="rId206" Type="http://schemas.openxmlformats.org/officeDocument/2006/relationships/hyperlink" Target="https://www.ebay.com/mesh/ord/details?mode=SH&amp;srn=1109&amp;orderid=07-14594-10528&amp;source=Orders&amp;ru=https%3A%2F%2Fwww.ebay.com%2Fsh%2Ford%2F%3Ffilter%3Dstatus%253APAID_SHIPPED" TargetMode="External"/><Relationship Id="rId448" Type="http://schemas.openxmlformats.org/officeDocument/2006/relationships/hyperlink" Target="https://www.ebay.com/mesh/ord/details?mode=SH&amp;srn=2400&amp;orderid=22-14735-80269&amp;source=Orders&amp;ru=https%3A%2F%2Fwww.ebay.com%2Fsh%2Ford%2F%3Ffilter%3Dstatus%253APAID_SHIPPED" TargetMode="External"/><Relationship Id="rId205" Type="http://schemas.openxmlformats.org/officeDocument/2006/relationships/hyperlink" Target="https://www.ebay.com/mesh/ord/details?mode=SH&amp;srn=2231&amp;orderid=01-14605-91296&amp;source=Orders&amp;ru=https%3A%2F%2Fwww.ebay.com%2Fsh%2Ford" TargetMode="External"/><Relationship Id="rId447" Type="http://schemas.openxmlformats.org/officeDocument/2006/relationships/hyperlink" Target="https://www.ebay.com/mesh/ord/details?mode=SH&amp;srn=2402&amp;orderid=08-14758-94079&amp;source=Orders&amp;ru=https%3A%2F%2Fwww.ebay.com%2Fsh%2Ford%2F%3Ffilter%3Dstatus%253APAID_SHIPPED" TargetMode="External"/><Relationship Id="rId689" Type="http://schemas.openxmlformats.org/officeDocument/2006/relationships/hyperlink" Target="https://www.ebay.com/mesh/ord/details?mode=SH&amp;srn=2589&amp;orderid=12-14892-86743&amp;source=Orders&amp;ru=https%3A%2F%2Fwww.ebay.com%2Fsh%2Ford%2F%3Ffilter%3Dstatus%253APAID_SHIPPED" TargetMode="External"/><Relationship Id="rId204" Type="http://schemas.openxmlformats.org/officeDocument/2006/relationships/hyperlink" Target="https://www.ebay.com/mesh/ord/details?mode=SH&amp;srn=2232&amp;orderid=19-14577-94204&amp;source=Orders&amp;ru=https%3A%2F%2Fwww.ebay.com%2Fsh%2Ford" TargetMode="External"/><Relationship Id="rId446" Type="http://schemas.openxmlformats.org/officeDocument/2006/relationships/hyperlink" Target="https://www.ebay.com/mesh/ord/details?mode=SH&amp;srn=2401&amp;orderid=07-14760-87207&amp;source=Orders&amp;ru=https%3A%2F%2Fwww.ebay.com%2Fsh%2Ford%2F%3Ffilter%3Dstatus%253APAID_SHIPPED%26partialRefresh%3Dtrue" TargetMode="External"/><Relationship Id="rId688" Type="http://schemas.openxmlformats.org/officeDocument/2006/relationships/hyperlink" Target="https://www.ebay.com/mesh/ord/details?mode=SH&amp;srn=2586&amp;orderid=27-14865-92145&amp;source=Orders&amp;ru=https%3A%2F%2Fwww.ebay.com%2Fsh%2Ford" TargetMode="External"/><Relationship Id="rId203" Type="http://schemas.openxmlformats.org/officeDocument/2006/relationships/hyperlink" Target="https://www.ebay.com/mesh/ord/details?mode=SH&amp;srn=1108&amp;orderid=26-14563-87760&amp;source=Orders&amp;ru=https%3A%2F%2Fwww.ebay.com%2Fsh%2Ford%2F%3Ffilter%3Dstatus%253APAID_SHIPPED" TargetMode="External"/><Relationship Id="rId445" Type="http://schemas.openxmlformats.org/officeDocument/2006/relationships/hyperlink" Target="https://www.ebay.com/mesh/ord/details?mode=SH&amp;srn=1166&amp;orderid=02-14767-09654&amp;source=Orders&amp;ru=https%3A%2F%2Fwww.ebay.com%2Fsh%2Ford%2F%3Ffilter%3Dstatus%253AAWAITING_SHIPMENT" TargetMode="External"/><Relationship Id="rId687" Type="http://schemas.openxmlformats.org/officeDocument/2006/relationships/hyperlink" Target="https://www.ebay.com/mesh/ord/details?mode=SH&amp;srn=1202&amp;orderid=25-14868-14680&amp;source=Orders&amp;ru=https%3A%2F%2Fwww.ebay.com%2Fsh%2Ford%2F%3Ffilter%3Dstatus%253AAWAITING_SHIPMENT" TargetMode="External"/><Relationship Id="rId209" Type="http://schemas.openxmlformats.org/officeDocument/2006/relationships/hyperlink" Target="https://www.ebay.com/mesh/ord/details?mode=SH&amp;srn=2226&amp;orderid=21-14566-24927&amp;source=Orders&amp;ru=https%3A%2F%2Fwww.ebay.com%2Fsh%2Ford%2F%3Ffilter%3Dstatus%253APAID_SHIPPED" TargetMode="External"/><Relationship Id="rId208" Type="http://schemas.openxmlformats.org/officeDocument/2006/relationships/hyperlink" Target="https://www.ebay.com/mesh/ord/details?mode=SH&amp;srn=2233&amp;orderid=13-14587-68351&amp;source=Orders&amp;ru=https%3A%2F%2Fwww.ebay.com%2Fsh%2Ford%2F%3Ffilter%3Dstatus%253APAID_SHIPPED" TargetMode="External"/><Relationship Id="rId207" Type="http://schemas.openxmlformats.org/officeDocument/2006/relationships/hyperlink" Target="https://www.ebay.com/mesh/ord/details?orderid=27-14511-91579" TargetMode="External"/><Relationship Id="rId449" Type="http://schemas.openxmlformats.org/officeDocument/2006/relationships/hyperlink" Target="https://www.ebay.com/mesh/ord/details?mode=SH&amp;srn=2397&amp;orderid=18-14741-13995&amp;source=Orders&amp;ru=https%3A%2F%2Fwww.ebay.com%2Fsh%2Ford%2F%3Ffilter%3Dstatus%253APAID_SHIPPED" TargetMode="External"/><Relationship Id="rId440" Type="http://schemas.openxmlformats.org/officeDocument/2006/relationships/hyperlink" Target="https://www.ebay.com/mesh/ord/details?mode=SH&amp;srn=2398&amp;orderid=07-14759-18709&amp;source=Orders&amp;ru=https%3A%2F%2Fwww.ebay.com%2Fsh%2Ford%2F%3Ffilter%3Dstatus%253APAID_SHIPPED" TargetMode="External"/><Relationship Id="rId682" Type="http://schemas.openxmlformats.org/officeDocument/2006/relationships/hyperlink" Target="https://www.ebay.com/mesh/ord/details?mode=SH&amp;srn=2587&amp;orderid=17-14883-25235&amp;source=Orders&amp;ru=https%3A%2F%2Fwww.ebay.com%2Fsh%2Ford" TargetMode="External"/><Relationship Id="rId681" Type="http://schemas.openxmlformats.org/officeDocument/2006/relationships/hyperlink" Target="https://www.ebay.com/mesh/ord/details?mode=SH&amp;srn=2570&amp;orderid=22-14862-62906&amp;source=Orders&amp;ru=https%3A%2F%2Fwww.ebay.com%2Fsh%2Ford%2F%3Ffilter%3Dstatus%253AAWAITING_SHIPMENT" TargetMode="External"/><Relationship Id="rId1030" Type="http://schemas.openxmlformats.org/officeDocument/2006/relationships/hyperlink" Target="https://www.ebay.com/mesh/ord/details?mode=SH&amp;srn=2850&amp;orderid=18-15093-10948&amp;source=Orders&amp;ru=https%3A%2F%2Fwww.ebay.com%2Fsh%2Ford" TargetMode="External"/><Relationship Id="rId680" Type="http://schemas.openxmlformats.org/officeDocument/2006/relationships/hyperlink" Target="https://www.ebay.com/mesh/ord/details?mode=SH&amp;srn=2463&amp;orderid=13-14805-15659&amp;source=Orders&amp;ru=https%3A%2F%2Fwww.ebay.com%2Fsh%2Ford%2F%3Ffilter%3Dstatus%253AAWAITING_SHIPMENT" TargetMode="External"/><Relationship Id="rId1031" Type="http://schemas.openxmlformats.org/officeDocument/2006/relationships/hyperlink" Target="https://www.ebay.com/mesh/ord/details?orderid=04-14828-82432" TargetMode="External"/><Relationship Id="rId1032" Type="http://schemas.openxmlformats.org/officeDocument/2006/relationships/hyperlink" Target="https://www.ebay.com/mesh/ord/details?mode=SH&amp;srn=1267&amp;orderid=06-15115-35823&amp;source=Orders&amp;ru=https%3A%2F%2Fwww.ebay.com%2Fsh%2Ford%2F%3Ffilter%3Dstatus%253AAWAITING_SHIPMENT" TargetMode="External"/><Relationship Id="rId202" Type="http://schemas.openxmlformats.org/officeDocument/2006/relationships/hyperlink" Target="https://www.ebay.com/mesh/ord/details?mode=SH&amp;srn=1110&amp;orderid=15-14583-83070&amp;source=Orders&amp;ru=https%3A%2F%2Fwww.ebay.com%2Fsh%2Ford%2F%3Ffilter%3Dstatus%253APAID_SHIPPED" TargetMode="External"/><Relationship Id="rId444" Type="http://schemas.openxmlformats.org/officeDocument/2006/relationships/hyperlink" Target="https://www.ebay.com/mesh/ord/details?mode=SH&amp;srn=2403&amp;orderid=25-14732-81157&amp;source=Orders&amp;ru=https%3A%2F%2Fwww.ebay.com%2Fsh%2Ford%2F%3Ffilter%3Dstatus%253AAWAITING_SHIPMENT" TargetMode="External"/><Relationship Id="rId686" Type="http://schemas.openxmlformats.org/officeDocument/2006/relationships/hyperlink" Target="https://www.ebay.com/mesh/ord/details?mode=SH&amp;srn=2585&amp;orderid=05-14903-22127&amp;source=Orders&amp;ru=https%3A%2F%2Fwww.ebay.com%2Fsh%2Ford%2F%3Ffilter%3Dstatus%253AAWAITING_SHIPMENT" TargetMode="External"/><Relationship Id="rId1033" Type="http://schemas.openxmlformats.org/officeDocument/2006/relationships/hyperlink" Target="https://www.ebay.com/mesh/ord/details?mode=SH&amp;srn=1266&amp;orderid=11-15104-16836&amp;source=Orders&amp;ru=https%3A%2F%2Fwww.ebay.com%2Fsh%2Ford%2F%3Ffilter%3Dstatus%253AAWAITING_SHIPMENT" TargetMode="External"/><Relationship Id="rId201" Type="http://schemas.openxmlformats.org/officeDocument/2006/relationships/hyperlink" Target="https://www.ebay.com/mesh/ord/details?mode=SH&amp;srn=2228&amp;orderid=18-14571-97040&amp;source=Orders&amp;ru=https%3A%2F%2Fwww.ebay.com%2Fsh%2Ford" TargetMode="External"/><Relationship Id="rId443" Type="http://schemas.openxmlformats.org/officeDocument/2006/relationships/hyperlink" Target="https://www.ebay.com/mesh/ord/details?mode=SH&amp;srn=2399&amp;orderid=07-14759-52446&amp;source=Orders&amp;ru=https%3A%2F%2Fwww.ebay.com%2Fsh%2Ford%2F%3Ffilter%3Dstatus%253AAWAITING_SHIPMENT" TargetMode="External"/><Relationship Id="rId685" Type="http://schemas.openxmlformats.org/officeDocument/2006/relationships/hyperlink" Target="https://www.ebay.com/mesh/ord/details?mode=SH&amp;srn=2489&amp;orderid=15-14821-71461&amp;source=Orders&amp;ru=https%3A%2F%2Fwww.ebay.com%2Fsh%2Ford%2F%3Ffilter%3Dstatus%253AALL_ORDERS%26search%3Ditemtitle%253Adc93-00678a" TargetMode="External"/><Relationship Id="rId1034" Type="http://schemas.openxmlformats.org/officeDocument/2006/relationships/hyperlink" Target="https://www.ebay.com/mesh/ord/details?mode=SH&amp;srn=2849&amp;orderid=14-15099-39390&amp;source=Orders&amp;ru=https%3A%2F%2Fwww.ebay.com%2Fsh%2Ford" TargetMode="External"/><Relationship Id="rId200" Type="http://schemas.openxmlformats.org/officeDocument/2006/relationships/hyperlink" Target="https://www.ebay.com/mesh/ord/details?mode=SH&amp;srn=2229&amp;orderid=19-14570-82590&amp;source=Orders&amp;ru=https%3A%2F%2Fwww.ebay.com%2Fsh%2Ford" TargetMode="External"/><Relationship Id="rId442" Type="http://schemas.openxmlformats.org/officeDocument/2006/relationships/hyperlink" Target="https://www.ebay.com/mesh/ord/details?mode=SH&amp;srn=2390&amp;orderid=03-14762-90487&amp;source=Orders&amp;ru=https%3A%2F%2Fwww.ebay.com%2Fsh%2Ford" TargetMode="External"/><Relationship Id="rId684" Type="http://schemas.openxmlformats.org/officeDocument/2006/relationships/hyperlink" Target="https://www.ebay.com/mesh/ord/details?orderid=07-14798-26062" TargetMode="External"/><Relationship Id="rId1035" Type="http://schemas.openxmlformats.org/officeDocument/2006/relationships/hyperlink" Target="https://www.ebay.com/mesh/ord/details?mode=SH&amp;srn=2851&amp;orderid=04-15121-72088&amp;source=Orders&amp;ru=https%3A%2F%2Fwww.ebay.com%2Fsh%2Ford%2F%3Ffilter%3Dstatus%253APAID_SHIPPED" TargetMode="External"/><Relationship Id="rId441" Type="http://schemas.openxmlformats.org/officeDocument/2006/relationships/hyperlink" Target="https://www.ebay.com/mesh/ord/details?mode=SH&amp;srn=2391&amp;orderid=13-14748-12783&amp;source=Orders&amp;ru=https%3A%2F%2Fwww.ebay.com%2Fsh%2Ford" TargetMode="External"/><Relationship Id="rId683" Type="http://schemas.openxmlformats.org/officeDocument/2006/relationships/hyperlink" Target="https://www.ebay.com/mesh/ord/details?mode=SH&amp;srn=2584&amp;orderid=07-14898-09636&amp;source=Orders&amp;ru=https%3A%2F%2Fwww.ebay.com%2Fsh%2Ford" TargetMode="External"/><Relationship Id="rId1036" Type="http://schemas.openxmlformats.org/officeDocument/2006/relationships/hyperlink" Target="https://www.ebay.com/mesh/ord/details?mode=SH&amp;srn=2678&amp;orderid=02-14985-26998&amp;source=Orders&amp;ru=https%3A%2F%2Fwww.ebay.com%2Fsh%2Ford" TargetMode="External"/><Relationship Id="rId1026" Type="http://schemas.openxmlformats.org/officeDocument/2006/relationships/hyperlink" Target="https://www.ebay.com/mesh/ord/details?mode=SH&amp;srn=1264&amp;orderid=25-15074-25322&amp;source=Orders&amp;ru=https%3A%2F%2Fwww.ebay.com%2Fsh%2Ford%2F%3Ffilter%3Dstatus%253APAID_SHIPPED" TargetMode="External"/><Relationship Id="rId1027" Type="http://schemas.openxmlformats.org/officeDocument/2006/relationships/hyperlink" Target="https://www.ebay.com/mesh/ord/details?mode=SH&amp;srn=2843&amp;orderid=27-15067-62818&amp;source=Orders&amp;ru=https%3A%2F%2Fwww.ebay.com%2Fsh%2Ford%2F%3Ffilter%3Dstatus%253APAID_SHIPPED" TargetMode="External"/><Relationship Id="rId1028" Type="http://schemas.openxmlformats.org/officeDocument/2006/relationships/hyperlink" Target="https://www.ebay.com/mesh/ord/details?mode=SH&amp;srn=2841&amp;orderid=14-15089-74297&amp;source=Orders&amp;ru=https%3A%2F%2Fwww.ebay.com%2Fsh%2Ford%2F%3Ffilter%3Dstatus%253APAID_SHIPPED" TargetMode="External"/><Relationship Id="rId1029" Type="http://schemas.openxmlformats.org/officeDocument/2006/relationships/hyperlink" Target="https://www.ebay.com/mesh/ord/details?mode=SH&amp;srn=2847&amp;orderid=06-15112-62542&amp;source=Orders&amp;ru=https%3A%2F%2Fwww.ebay.com%2Fsh%2Ford%2F%3Ffilter%3Dstatus%253APAID_SHIPPED" TargetMode="External"/><Relationship Id="rId437" Type="http://schemas.openxmlformats.org/officeDocument/2006/relationships/hyperlink" Target="https://www.ebay.com/mesh/ord/details?mode=SH&amp;srn=2387&amp;orderid=06-14757-25203&amp;source=Orders&amp;ru=https%3A%2F%2Fwww.ebay.com%2Fsh%2Ford" TargetMode="External"/><Relationship Id="rId679" Type="http://schemas.openxmlformats.org/officeDocument/2006/relationships/hyperlink" Target="https://www.ebay.com/mesh/ord/details?mode=SH&amp;srn=2462&amp;orderid=27-14780-93824&amp;source=Orders&amp;ru=https%3A%2F%2Fwww.ebay.com%2Fsh%2Ford%2F%3Ffilter%3Dstatus%253AAWAITING_SHIPMENT" TargetMode="External"/><Relationship Id="rId436" Type="http://schemas.openxmlformats.org/officeDocument/2006/relationships/hyperlink" Target="https://www.ebay.com/mesh/ord/details?mode=SH&amp;srn=2388&amp;orderid=05-14759-80461&amp;source=Orders&amp;ru=https%3A%2F%2Fwww.ebay.com%2Fsh%2Ford" TargetMode="External"/><Relationship Id="rId678" Type="http://schemas.openxmlformats.org/officeDocument/2006/relationships/hyperlink" Target="https://www.ebay.com/mesh/ord/details?mode=SH&amp;srn=2458&amp;orderid=14-14799-53545&amp;source=Orders&amp;ru=https%3A%2F%2Fwww.ebay.com%2Fsh%2Ford%2F%3Ffilter%3Dstatus%253AAWAITING_SHIPMENT" TargetMode="External"/><Relationship Id="rId435" Type="http://schemas.openxmlformats.org/officeDocument/2006/relationships/hyperlink" Target="https://www.ebay.com/mesh/ord/details?mode=SH&amp;srn=2389&amp;orderid=10-14751-19612&amp;source=Orders&amp;ru=https%3A%2F%2Fwww.ebay.com%2Fsh%2Ford" TargetMode="External"/><Relationship Id="rId677" Type="http://schemas.openxmlformats.org/officeDocument/2006/relationships/hyperlink" Target="https://www.ebay.com/mesh/ord/details?mode=SH&amp;srn=1201&amp;orderid=09-14888-37402&amp;source=Orders&amp;ru=https%3A%2F%2Fwww.ebay.com%2Fsh%2Ford" TargetMode="External"/><Relationship Id="rId434" Type="http://schemas.openxmlformats.org/officeDocument/2006/relationships/hyperlink" Target="https://www.ebay.com/mesh/ord/details?mode=SH&amp;srn=2394&amp;orderid=11-14751-42846&amp;source=Orders&amp;ru=https%3A%2F%2Fwww.ebay.com%2Fsh%2Ford" TargetMode="External"/><Relationship Id="rId676" Type="http://schemas.openxmlformats.org/officeDocument/2006/relationships/hyperlink" Target="https://www.ebay.com/mesh/ord/details?mode=SH&amp;srn=2561&amp;orderid=06-14887-76998&amp;source=Orders&amp;ru=https%3A%2F%2Fwww.ebay.com%2Fsh%2Ford" TargetMode="External"/><Relationship Id="rId439" Type="http://schemas.openxmlformats.org/officeDocument/2006/relationships/hyperlink" Target="https://order.ebay.com/ord/show?itemId=406883535080&amp;transactionId=10080985043724" TargetMode="External"/><Relationship Id="rId438" Type="http://schemas.openxmlformats.org/officeDocument/2006/relationships/hyperlink" Target="https://www.ebay.com/mesh/ord/details?mode=SH&amp;srn=2395&amp;orderid=17-14742-27305&amp;source=Orders&amp;ru=https%3A%2F%2Fwww.ebay.com%2Fsh%2Ford%2F%3Ffilter%3Dstatus%253APAID_SHIPPED" TargetMode="External"/><Relationship Id="rId671" Type="http://schemas.openxmlformats.org/officeDocument/2006/relationships/hyperlink" Target="https://www.ebay.com/mesh/ord/details?mode=SH&amp;srn=2579&amp;orderid=03-14900-45762&amp;source=Orders&amp;ru=https%3A%2F%2Fwww.ebay.com%2Fsh%2Ford%2F%3Ffilter%3Dstatus%253AAWAITING_SHIPMENT" TargetMode="External"/><Relationship Id="rId670" Type="http://schemas.openxmlformats.org/officeDocument/2006/relationships/hyperlink" Target="https://www.ebay.com/mesh/ord/details?mode=SH&amp;srn=2583&amp;orderid=22-14871-28196&amp;source=Orders&amp;ru=https%3A%2F%2Fwww.ebay.com%2Fsh%2Ford%2F%3Ffilter%3Dstatus%253AAWAITING_SHIPMENT" TargetMode="External"/><Relationship Id="rId1020" Type="http://schemas.openxmlformats.org/officeDocument/2006/relationships/hyperlink" Target="https://www.ebay.com/mesh/ord/details?mode=SH&amp;srn=2842&amp;orderid=24-15087-47212&amp;source=Orders&amp;ru=https%3A%2F%2Fwww.ebay.com%2Fsh%2Ford%2F%3Ffilter%3Dstatus%253AAWAITING_SHIPMENT" TargetMode="External"/><Relationship Id="rId1021" Type="http://schemas.openxmlformats.org/officeDocument/2006/relationships/hyperlink" Target="https://www.ebay.com/mesh/ord/details?mode=SH&amp;srn=2845&amp;orderid=22-15081-14704&amp;source=Orders&amp;ru=https%3A%2F%2Fwww.ebay.com%2Fsh%2Ford%2F%3Ffilter%3Dstatus%253AAWAITING_SHIPMENT" TargetMode="External"/><Relationship Id="rId433" Type="http://schemas.openxmlformats.org/officeDocument/2006/relationships/hyperlink" Target="https://www.ebay.com/mesh/ord/details?mode=SH&amp;srn=1165&amp;orderid=01-14767-04912&amp;source=Orders&amp;ru=https%3A%2F%2Fwww.ebay.com%2Fsh%2Ford" TargetMode="External"/><Relationship Id="rId675" Type="http://schemas.openxmlformats.org/officeDocument/2006/relationships/hyperlink" Target="https://order.ebay.com/ord/show?orderId=25-14699-50276" TargetMode="External"/><Relationship Id="rId1022" Type="http://schemas.openxmlformats.org/officeDocument/2006/relationships/hyperlink" Target="https://www.ebay.com/mesh/ord/details?mode=SH&amp;srn=2846&amp;orderid=09-15106-46771&amp;source=Orders&amp;ru=https%3A%2F%2Fwww.ebay.com%2Fsh%2Ford%2F%3Ffilter%3Dstatus%253AAWAITING_SHIPMENT" TargetMode="External"/><Relationship Id="rId432" Type="http://schemas.openxmlformats.org/officeDocument/2006/relationships/hyperlink" Target="https://www.ebay.com/mesh/ord/details?mode=SH&amp;srn=1164&amp;orderid=21-14732-85304&amp;source=Orders&amp;ru=https%3A%2F%2Fwww.ebay.com%2Fsh%2Ford%2F%3Ffilter%3Dstatus%253AAWAITING_SHIPMENT" TargetMode="External"/><Relationship Id="rId674" Type="http://schemas.openxmlformats.org/officeDocument/2006/relationships/hyperlink" Target="https://www.ebay.com/mesh/ord/details?mode=SH&amp;srn=2582&amp;orderid=14-14884-93465&amp;source=Orders&amp;ru=https%3A%2F%2Fwww.ebay.com%2Fsh%2Ford%2F%3Ffilter%3Dstatus%253AAWAITING_SHIPMENT" TargetMode="External"/><Relationship Id="rId1023" Type="http://schemas.openxmlformats.org/officeDocument/2006/relationships/hyperlink" Target="https://www.ebay.com/mesh/ord/details?mode=SH&amp;srn=1265&amp;orderid=12-15097-62452&amp;source=Orders&amp;ru=https%3A%2F%2Fwww.ebay.com%2Fsh%2Ford" TargetMode="External"/><Relationship Id="rId431" Type="http://schemas.openxmlformats.org/officeDocument/2006/relationships/hyperlink" Target="https://www.ebay.com/mesh/ord/details?mode=SH&amp;srn=2349&amp;orderid=07-14710-45134&amp;source=Orders&amp;ru=https%3A%2F%2Fwww.ebay.com%2Fsh%2Ford" TargetMode="External"/><Relationship Id="rId673" Type="http://schemas.openxmlformats.org/officeDocument/2006/relationships/hyperlink" Target="https://www.ebay.com/mesh/ord/details?mode=SH&amp;srn=2568&amp;orderid=08-14884-77669&amp;source=Orders&amp;ru=https%3A%2F%2Fwww.ebay.com%2Fsh%2Ford%2F%3Ffilter%3Dstatus%253AAWAITING_SHIPMENT" TargetMode="External"/><Relationship Id="rId1024" Type="http://schemas.openxmlformats.org/officeDocument/2006/relationships/hyperlink" Target="https://www.ebay.com/mesh/ord/details?mode=SH&amp;srn=2848&amp;orderid=03-15119-13711&amp;source=Orders&amp;ru=https%3A%2F%2Fwww.ebay.com%2Fsh%2Ford" TargetMode="External"/><Relationship Id="rId430" Type="http://schemas.openxmlformats.org/officeDocument/2006/relationships/hyperlink" Target="https://www.ebay.com/mesh/ord/details?mode=SH&amp;srn=1163&amp;orderid=25-14725-34873&amp;source=Orders&amp;ru=https%3A%2F%2Fwww.ebay.com%2Fsh%2Ford" TargetMode="External"/><Relationship Id="rId672" Type="http://schemas.openxmlformats.org/officeDocument/2006/relationships/hyperlink" Target="https://www.ebay.com/mesh/ord/details?mode=SH&amp;srn=2574&amp;orderid=24-14876-30178&amp;source=Orders&amp;ru=https%3A%2F%2Fwww.ebay.com%2Fsh%2Ford%2F%3Ffilter%3Dstatus%253AAWAITING_SHIPMENT" TargetMode="External"/><Relationship Id="rId1025" Type="http://schemas.openxmlformats.org/officeDocument/2006/relationships/hyperlink" Target="https://www.ebay.com/mesh/ord/details?mode=SH&amp;srn=2712&amp;orderid=26-14968-34162&amp;source=Orders&amp;ru=https%3A%2F%2Fwww.ebay.com%2Fsh%2Ford%2F%3Ffilter%3Dstatus%253AAWAITING_SHIPMEN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ibp=oshop&amp;prds=pvt:hg,pvo:48,imageDocid:3616736038142689295,headlineOfferDocid:3248949495772675797,productDocid:3248949495772675797&amp;q=product&amp;sa=X&amp;ved=2ahUKEwjI0by7vaCWAxVu78kDHcvhCxgQxa4PegoIAggACAAICRAC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3.13"/>
    <col customWidth="1" min="3" max="3" width="12.0"/>
    <col customWidth="1" min="4" max="4" width="20.13"/>
    <col customWidth="1" min="5" max="5" width="12.63"/>
    <col customWidth="1" min="6" max="6" width="17.63"/>
    <col customWidth="1" min="7" max="8" width="25.13"/>
    <col customWidth="1" min="9" max="9" width="83.63"/>
  </cols>
  <sheetData>
    <row r="1" ht="22.5" customHeight="1">
      <c r="A1" s="175" t="s">
        <v>1467</v>
      </c>
      <c r="B1" s="175" t="s">
        <v>1477</v>
      </c>
      <c r="C1" s="175" t="s">
        <v>1478</v>
      </c>
      <c r="D1" s="175" t="s">
        <v>1479</v>
      </c>
      <c r="E1" s="175" t="s">
        <v>1481</v>
      </c>
      <c r="F1" s="175" t="s">
        <v>1483</v>
      </c>
      <c r="G1" s="175" t="s">
        <v>1484</v>
      </c>
      <c r="H1" s="175" t="s">
        <v>1486</v>
      </c>
      <c r="I1" s="175" t="s">
        <v>1489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hidden="1" customHeight="1">
      <c r="A2" s="176" t="s">
        <v>1498</v>
      </c>
      <c r="B2" s="177" t="s">
        <v>1528</v>
      </c>
      <c r="C2" s="178"/>
      <c r="D2" s="179" t="s">
        <v>1532</v>
      </c>
      <c r="E2" s="181"/>
      <c r="F2" s="183">
        <v>46086.0</v>
      </c>
      <c r="G2" s="185" t="s">
        <v>8</v>
      </c>
      <c r="H2" s="185" t="s">
        <v>11</v>
      </c>
      <c r="I2" s="186" t="s">
        <v>1555</v>
      </c>
    </row>
    <row r="3" ht="22.5" hidden="1" customHeight="1">
      <c r="A3" s="176" t="s">
        <v>1577</v>
      </c>
      <c r="B3" s="177" t="s">
        <v>41</v>
      </c>
      <c r="C3" s="178"/>
      <c r="D3" s="179" t="s">
        <v>1602</v>
      </c>
      <c r="E3" s="188">
        <v>20.93</v>
      </c>
      <c r="F3" s="183">
        <v>46084.0</v>
      </c>
      <c r="G3" s="185" t="s">
        <v>8</v>
      </c>
      <c r="H3" s="185" t="s">
        <v>11</v>
      </c>
      <c r="I3" s="189"/>
    </row>
    <row r="4" ht="22.5" hidden="1" customHeight="1">
      <c r="A4" s="176" t="s">
        <v>1623</v>
      </c>
      <c r="B4" s="177" t="s">
        <v>1632</v>
      </c>
      <c r="C4" s="178"/>
      <c r="D4" s="179" t="s">
        <v>1602</v>
      </c>
      <c r="E4" s="188">
        <v>191.54</v>
      </c>
      <c r="F4" s="183">
        <v>46085.0</v>
      </c>
      <c r="G4" s="185" t="s">
        <v>9</v>
      </c>
      <c r="H4" s="185" t="s">
        <v>11</v>
      </c>
      <c r="I4" s="189"/>
    </row>
    <row r="5" ht="22.5" hidden="1" customHeight="1">
      <c r="A5" s="176" t="s">
        <v>1651</v>
      </c>
      <c r="B5" s="177" t="s">
        <v>1676</v>
      </c>
      <c r="C5" s="178"/>
      <c r="D5" s="179" t="s">
        <v>1602</v>
      </c>
      <c r="E5" s="188">
        <v>128.05</v>
      </c>
      <c r="F5" s="183">
        <v>46085.0</v>
      </c>
      <c r="G5" s="185" t="s">
        <v>9</v>
      </c>
      <c r="H5" s="185" t="s">
        <v>11</v>
      </c>
      <c r="I5" s="189"/>
    </row>
    <row r="6" ht="22.5" hidden="1" customHeight="1">
      <c r="A6" s="193"/>
      <c r="B6" s="194"/>
      <c r="C6" s="195"/>
      <c r="D6" s="194"/>
      <c r="E6" s="196">
        <f>SUM(Sales_orders[Order Earnings])</f>
        <v>340.52</v>
      </c>
      <c r="F6" s="193"/>
      <c r="G6" s="193"/>
      <c r="H6" s="193"/>
      <c r="I6" s="193"/>
    </row>
    <row r="7" hidden="1">
      <c r="A7" s="199"/>
      <c r="B7" s="200"/>
      <c r="C7" s="201"/>
      <c r="D7" s="200"/>
      <c r="E7" s="202"/>
      <c r="F7" s="199"/>
      <c r="G7" s="199"/>
      <c r="H7" s="199"/>
      <c r="I7" s="199"/>
    </row>
    <row r="8" hidden="1">
      <c r="A8" s="199"/>
      <c r="B8" s="200"/>
      <c r="C8" s="201"/>
      <c r="D8" s="203">
        <v>46087.0</v>
      </c>
      <c r="E8" s="202"/>
      <c r="F8" s="199"/>
      <c r="G8" s="199"/>
      <c r="H8" s="199"/>
      <c r="I8" s="199"/>
    </row>
    <row r="9" ht="22.5" hidden="1" customHeight="1">
      <c r="A9" s="206" t="s">
        <v>1467</v>
      </c>
      <c r="B9" s="206" t="s">
        <v>1477</v>
      </c>
      <c r="C9" s="175" t="s">
        <v>1478</v>
      </c>
      <c r="D9" s="206" t="s">
        <v>1479</v>
      </c>
      <c r="E9" s="206" t="s">
        <v>1481</v>
      </c>
      <c r="F9" s="206" t="s">
        <v>1483</v>
      </c>
      <c r="G9" s="206" t="s">
        <v>1484</v>
      </c>
      <c r="H9" s="206" t="s">
        <v>1486</v>
      </c>
      <c r="I9" s="206" t="s">
        <v>1489</v>
      </c>
    </row>
    <row r="10" ht="22.5" hidden="1" customHeight="1">
      <c r="A10" s="176" t="s">
        <v>1784</v>
      </c>
      <c r="B10" s="177" t="s">
        <v>472</v>
      </c>
      <c r="C10" s="178"/>
      <c r="D10" s="179" t="s">
        <v>1602</v>
      </c>
      <c r="E10" s="188">
        <v>41.76</v>
      </c>
      <c r="F10" s="183">
        <v>46087.0</v>
      </c>
      <c r="G10" s="185" t="s">
        <v>8</v>
      </c>
      <c r="H10" s="185" t="s">
        <v>12</v>
      </c>
      <c r="I10" s="186"/>
    </row>
    <row r="11" ht="22.5" hidden="1" customHeight="1">
      <c r="A11" s="176" t="s">
        <v>1815</v>
      </c>
      <c r="B11" s="177" t="s">
        <v>1825</v>
      </c>
      <c r="C11" s="178"/>
      <c r="D11" s="179" t="s">
        <v>1602</v>
      </c>
      <c r="E11" s="188">
        <v>89.32</v>
      </c>
      <c r="F11" s="183">
        <v>46087.0</v>
      </c>
      <c r="G11" s="185" t="s">
        <v>9</v>
      </c>
      <c r="H11" s="185" t="s">
        <v>11</v>
      </c>
      <c r="I11" s="189"/>
    </row>
    <row r="12" ht="22.5" hidden="1" customHeight="1">
      <c r="A12" s="176" t="s">
        <v>1832</v>
      </c>
      <c r="B12" s="177" t="s">
        <v>1632</v>
      </c>
      <c r="C12" s="178"/>
      <c r="D12" s="179" t="s">
        <v>1602</v>
      </c>
      <c r="E12" s="188">
        <v>40.53</v>
      </c>
      <c r="F12" s="183">
        <v>46086.0</v>
      </c>
      <c r="G12" s="185" t="s">
        <v>9</v>
      </c>
      <c r="H12" s="185" t="s">
        <v>11</v>
      </c>
      <c r="I12" s="189"/>
    </row>
    <row r="13" ht="22.5" hidden="1" customHeight="1">
      <c r="A13" s="193"/>
      <c r="B13" s="194"/>
      <c r="C13" s="195"/>
      <c r="D13" s="194"/>
      <c r="E13" s="196">
        <f>SUM(Table_1[Order Earnings])</f>
        <v>171.61</v>
      </c>
      <c r="F13" s="193"/>
      <c r="G13" s="193"/>
      <c r="H13" s="193"/>
      <c r="I13" s="193"/>
    </row>
    <row r="14" hidden="1">
      <c r="A14" s="199"/>
      <c r="B14" s="200"/>
      <c r="C14" s="201"/>
      <c r="D14" s="200"/>
      <c r="E14" s="202"/>
      <c r="F14" s="199"/>
      <c r="G14" s="199"/>
      <c r="H14" s="199"/>
      <c r="I14" s="199"/>
    </row>
    <row r="15" hidden="1">
      <c r="A15" s="199"/>
      <c r="B15" s="200"/>
      <c r="C15" s="201"/>
      <c r="D15" s="200"/>
      <c r="E15" s="202"/>
      <c r="F15" s="199"/>
      <c r="G15" s="199"/>
      <c r="H15" s="199"/>
      <c r="I15" s="199"/>
    </row>
    <row r="16" hidden="1">
      <c r="A16" s="199"/>
      <c r="B16" s="129"/>
      <c r="C16" s="4"/>
      <c r="D16" s="203">
        <v>46090.0</v>
      </c>
      <c r="E16" s="202"/>
      <c r="F16" s="199"/>
      <c r="G16" s="199"/>
      <c r="H16" s="199"/>
      <c r="I16" s="199"/>
    </row>
    <row r="17" ht="22.5" hidden="1" customHeight="1">
      <c r="A17" s="206" t="s">
        <v>1467</v>
      </c>
      <c r="B17" s="206" t="s">
        <v>1477</v>
      </c>
      <c r="C17" s="175" t="s">
        <v>1478</v>
      </c>
      <c r="D17" s="206" t="s">
        <v>1479</v>
      </c>
      <c r="E17" s="206" t="s">
        <v>1481</v>
      </c>
      <c r="F17" s="206" t="s">
        <v>1483</v>
      </c>
      <c r="G17" s="206" t="s">
        <v>1484</v>
      </c>
      <c r="H17" s="206" t="s">
        <v>1486</v>
      </c>
      <c r="I17" s="206" t="s">
        <v>1489</v>
      </c>
    </row>
    <row r="18" ht="22.5" hidden="1" customHeight="1">
      <c r="A18" s="176" t="s">
        <v>1847</v>
      </c>
      <c r="B18" s="177">
        <v>5.304528982E9</v>
      </c>
      <c r="C18" s="211">
        <v>1.0</v>
      </c>
      <c r="D18" s="179" t="s">
        <v>1532</v>
      </c>
      <c r="E18" s="181"/>
      <c r="F18" s="212"/>
      <c r="G18" s="185" t="s">
        <v>8</v>
      </c>
      <c r="H18" s="185" t="s">
        <v>11</v>
      </c>
      <c r="I18" s="186" t="s">
        <v>1863</v>
      </c>
    </row>
    <row r="19" ht="22.5" hidden="1" customHeight="1">
      <c r="A19" s="176" t="s">
        <v>1871</v>
      </c>
      <c r="B19" s="177" t="s">
        <v>41</v>
      </c>
      <c r="C19" s="211">
        <v>1.0</v>
      </c>
      <c r="D19" s="179" t="s">
        <v>1875</v>
      </c>
      <c r="E19" s="188">
        <v>-14.98</v>
      </c>
      <c r="F19" s="183">
        <v>46087.0</v>
      </c>
      <c r="G19" s="185" t="s">
        <v>8</v>
      </c>
      <c r="H19" s="185" t="s">
        <v>11</v>
      </c>
      <c r="I19" s="186" t="s">
        <v>1877</v>
      </c>
    </row>
    <row r="20" ht="22.5" hidden="1" customHeight="1">
      <c r="A20" s="176" t="s">
        <v>1881</v>
      </c>
      <c r="B20" s="177">
        <v>5.304531227E9</v>
      </c>
      <c r="C20" s="211">
        <v>1.0</v>
      </c>
      <c r="D20" s="179" t="s">
        <v>1875</v>
      </c>
      <c r="E20" s="188">
        <v>-29.91</v>
      </c>
      <c r="F20" s="183">
        <v>46086.0</v>
      </c>
      <c r="G20" s="185" t="s">
        <v>8</v>
      </c>
      <c r="H20" s="185" t="s">
        <v>12</v>
      </c>
      <c r="I20" s="186" t="s">
        <v>1892</v>
      </c>
    </row>
    <row r="21" ht="22.5" hidden="1" customHeight="1">
      <c r="A21" s="176" t="s">
        <v>1896</v>
      </c>
      <c r="B21" s="177" t="s">
        <v>23</v>
      </c>
      <c r="C21" s="211">
        <v>1.0</v>
      </c>
      <c r="D21" s="185" t="s">
        <v>1602</v>
      </c>
      <c r="E21" s="188">
        <v>11.47</v>
      </c>
      <c r="F21" s="183">
        <v>46088.0</v>
      </c>
      <c r="G21" s="185" t="s">
        <v>8</v>
      </c>
      <c r="H21" s="185" t="s">
        <v>12</v>
      </c>
      <c r="I21" s="189"/>
    </row>
    <row r="22" ht="22.5" hidden="1" customHeight="1">
      <c r="A22" s="176" t="s">
        <v>1916</v>
      </c>
      <c r="B22" s="177" t="s">
        <v>77</v>
      </c>
      <c r="C22" s="211">
        <v>1.0</v>
      </c>
      <c r="D22" s="179" t="s">
        <v>1602</v>
      </c>
      <c r="E22" s="188">
        <v>14.66</v>
      </c>
      <c r="F22" s="183">
        <v>46087.0</v>
      </c>
      <c r="G22" s="185" t="s">
        <v>8</v>
      </c>
      <c r="H22" s="185" t="s">
        <v>11</v>
      </c>
      <c r="I22" s="189"/>
    </row>
    <row r="23" ht="22.5" hidden="1" customHeight="1">
      <c r="A23" s="176" t="s">
        <v>1925</v>
      </c>
      <c r="B23" s="177" t="s">
        <v>1039</v>
      </c>
      <c r="C23" s="211">
        <v>1.0</v>
      </c>
      <c r="D23" s="179" t="s">
        <v>1602</v>
      </c>
      <c r="E23" s="188">
        <v>20.36</v>
      </c>
      <c r="F23" s="183">
        <v>46087.0</v>
      </c>
      <c r="G23" s="185" t="s">
        <v>8</v>
      </c>
      <c r="H23" s="185" t="s">
        <v>12</v>
      </c>
      <c r="I23" s="189"/>
    </row>
    <row r="24" ht="22.5" hidden="1" customHeight="1">
      <c r="A24" s="176" t="s">
        <v>1937</v>
      </c>
      <c r="B24" s="177" t="s">
        <v>102</v>
      </c>
      <c r="C24" s="211">
        <v>1.0</v>
      </c>
      <c r="D24" s="179" t="s">
        <v>1602</v>
      </c>
      <c r="E24" s="188">
        <v>21.08</v>
      </c>
      <c r="F24" s="183">
        <v>46087.0</v>
      </c>
      <c r="G24" s="185" t="s">
        <v>8</v>
      </c>
      <c r="H24" s="185" t="s">
        <v>12</v>
      </c>
      <c r="I24" s="189"/>
    </row>
    <row r="25" ht="22.5" hidden="1" customHeight="1">
      <c r="A25" s="176" t="s">
        <v>1946</v>
      </c>
      <c r="B25" s="177" t="s">
        <v>1951</v>
      </c>
      <c r="C25" s="211">
        <v>1.0</v>
      </c>
      <c r="D25" s="179" t="s">
        <v>1602</v>
      </c>
      <c r="E25" s="188">
        <v>28.23</v>
      </c>
      <c r="F25" s="183">
        <v>46089.0</v>
      </c>
      <c r="G25" s="185" t="s">
        <v>9</v>
      </c>
      <c r="H25" s="185" t="s">
        <v>11</v>
      </c>
      <c r="I25" s="189"/>
    </row>
    <row r="26" ht="22.5" hidden="1" customHeight="1">
      <c r="A26" s="176" t="s">
        <v>1961</v>
      </c>
      <c r="B26" s="177" t="s">
        <v>649</v>
      </c>
      <c r="C26" s="211">
        <v>1.0</v>
      </c>
      <c r="D26" s="179" t="s">
        <v>1602</v>
      </c>
      <c r="E26" s="188">
        <v>40.17</v>
      </c>
      <c r="F26" s="183">
        <v>46088.0</v>
      </c>
      <c r="G26" s="185" t="s">
        <v>9</v>
      </c>
      <c r="H26" s="185" t="s">
        <v>11</v>
      </c>
      <c r="I26" s="189"/>
    </row>
    <row r="27" ht="22.5" hidden="1" customHeight="1">
      <c r="A27" s="176" t="s">
        <v>1976</v>
      </c>
      <c r="B27" s="177" t="s">
        <v>1983</v>
      </c>
      <c r="C27" s="211">
        <v>1.0</v>
      </c>
      <c r="D27" s="179" t="s">
        <v>1602</v>
      </c>
      <c r="E27" s="188">
        <v>21.82</v>
      </c>
      <c r="F27" s="183">
        <v>46088.0</v>
      </c>
      <c r="G27" s="185" t="s">
        <v>9</v>
      </c>
      <c r="H27" s="185" t="s">
        <v>11</v>
      </c>
      <c r="I27" s="189"/>
    </row>
    <row r="28" ht="22.5" hidden="1" customHeight="1">
      <c r="A28" s="176" t="s">
        <v>1994</v>
      </c>
      <c r="B28" s="177">
        <v>3.16075104E8</v>
      </c>
      <c r="C28" s="211">
        <v>1.0</v>
      </c>
      <c r="D28" s="179" t="s">
        <v>1602</v>
      </c>
      <c r="E28" s="188">
        <v>16.24</v>
      </c>
      <c r="F28" s="183">
        <v>46090.0</v>
      </c>
      <c r="G28" s="185" t="s">
        <v>8</v>
      </c>
      <c r="H28" s="185" t="s">
        <v>12</v>
      </c>
      <c r="I28" s="189"/>
    </row>
    <row r="29" ht="22.5" hidden="1" customHeight="1">
      <c r="A29" s="176" t="s">
        <v>2005</v>
      </c>
      <c r="B29" s="177">
        <v>1.2121000074705E13</v>
      </c>
      <c r="C29" s="211">
        <v>1.0</v>
      </c>
      <c r="D29" s="179" t="s">
        <v>1602</v>
      </c>
      <c r="E29" s="188">
        <v>41.42</v>
      </c>
      <c r="F29" s="183">
        <v>46090.0</v>
      </c>
      <c r="G29" s="185" t="s">
        <v>8</v>
      </c>
      <c r="H29" s="185" t="s">
        <v>12</v>
      </c>
      <c r="I29" s="189"/>
    </row>
    <row r="30" ht="22.5" hidden="1" customHeight="1">
      <c r="A30" s="193"/>
      <c r="B30" s="194"/>
      <c r="C30" s="195"/>
      <c r="D30" s="194"/>
      <c r="E30" s="196">
        <f>SUM(Table2[Order Earnings])</f>
        <v>170.56</v>
      </c>
      <c r="F30" s="193"/>
      <c r="G30" s="193"/>
      <c r="H30" s="193"/>
      <c r="I30" s="193"/>
    </row>
    <row r="31" hidden="1">
      <c r="A31" s="199"/>
      <c r="B31" s="200"/>
      <c r="C31" s="201"/>
      <c r="D31" s="200"/>
      <c r="E31" s="202"/>
      <c r="F31" s="199"/>
      <c r="G31" s="199"/>
      <c r="H31" s="199"/>
      <c r="I31" s="199"/>
    </row>
    <row r="32" hidden="1">
      <c r="A32" s="199"/>
      <c r="B32" s="200"/>
      <c r="C32" s="201"/>
      <c r="D32" s="203">
        <v>46091.0</v>
      </c>
      <c r="E32" s="202"/>
      <c r="F32" s="199"/>
      <c r="G32" s="199"/>
      <c r="H32" s="199"/>
      <c r="I32" s="199"/>
    </row>
    <row r="33" ht="22.5" hidden="1" customHeight="1">
      <c r="A33" s="206" t="s">
        <v>1467</v>
      </c>
      <c r="B33" s="206" t="s">
        <v>1477</v>
      </c>
      <c r="C33" s="175" t="s">
        <v>1478</v>
      </c>
      <c r="D33" s="206" t="s">
        <v>1479</v>
      </c>
      <c r="E33" s="206" t="s">
        <v>1481</v>
      </c>
      <c r="F33" s="206" t="s">
        <v>1483</v>
      </c>
      <c r="G33" s="206" t="s">
        <v>1484</v>
      </c>
      <c r="H33" s="206" t="s">
        <v>1486</v>
      </c>
      <c r="I33" s="206" t="s">
        <v>1489</v>
      </c>
    </row>
    <row r="34" ht="22.5" hidden="1" customHeight="1">
      <c r="A34" s="176" t="s">
        <v>2023</v>
      </c>
      <c r="B34" s="177" t="s">
        <v>102</v>
      </c>
      <c r="C34" s="211">
        <v>1.0</v>
      </c>
      <c r="D34" s="179" t="s">
        <v>1602</v>
      </c>
      <c r="E34" s="188">
        <v>21.41</v>
      </c>
      <c r="F34" s="183">
        <v>46091.0</v>
      </c>
      <c r="G34" s="185" t="s">
        <v>8</v>
      </c>
      <c r="H34" s="185" t="s">
        <v>11</v>
      </c>
      <c r="I34" s="186"/>
    </row>
    <row r="35" ht="22.5" hidden="1" customHeight="1">
      <c r="A35" s="176" t="s">
        <v>2034</v>
      </c>
      <c r="B35" s="177" t="s">
        <v>2038</v>
      </c>
      <c r="C35" s="211">
        <v>1.0</v>
      </c>
      <c r="D35" s="179" t="s">
        <v>1602</v>
      </c>
      <c r="E35" s="188">
        <v>109.91</v>
      </c>
      <c r="F35" s="183">
        <v>46091.0</v>
      </c>
      <c r="G35" s="185" t="s">
        <v>8</v>
      </c>
      <c r="H35" s="185" t="s">
        <v>11</v>
      </c>
      <c r="I35" s="189"/>
    </row>
    <row r="36" ht="22.5" hidden="1" customHeight="1">
      <c r="A36" s="176" t="s">
        <v>2049</v>
      </c>
      <c r="B36" s="177" t="s">
        <v>1632</v>
      </c>
      <c r="C36" s="211">
        <v>1.0</v>
      </c>
      <c r="D36" s="179" t="s">
        <v>1875</v>
      </c>
      <c r="E36" s="188">
        <v>-191.54</v>
      </c>
      <c r="F36" s="183">
        <v>46091.0</v>
      </c>
      <c r="G36" s="185" t="s">
        <v>9</v>
      </c>
      <c r="H36" s="185" t="s">
        <v>11</v>
      </c>
      <c r="I36" s="186" t="s">
        <v>2053</v>
      </c>
    </row>
    <row r="37" ht="22.5" hidden="1" customHeight="1">
      <c r="A37" s="176" t="s">
        <v>2059</v>
      </c>
      <c r="B37" s="177" t="s">
        <v>2063</v>
      </c>
      <c r="C37" s="211">
        <v>1.0</v>
      </c>
      <c r="D37" s="179" t="s">
        <v>1602</v>
      </c>
      <c r="E37" s="188">
        <v>21.36</v>
      </c>
      <c r="F37" s="183">
        <v>46091.0</v>
      </c>
      <c r="G37" s="185" t="s">
        <v>9</v>
      </c>
      <c r="H37" s="185" t="s">
        <v>11</v>
      </c>
      <c r="I37" s="186"/>
    </row>
    <row r="38" ht="22.5" hidden="1" customHeight="1">
      <c r="A38" s="176" t="s">
        <v>2071</v>
      </c>
      <c r="B38" s="177" t="s">
        <v>636</v>
      </c>
      <c r="C38" s="211">
        <v>1.0</v>
      </c>
      <c r="D38" s="179" t="s">
        <v>1602</v>
      </c>
      <c r="E38" s="188">
        <v>26.32</v>
      </c>
      <c r="F38" s="183">
        <v>46091.0</v>
      </c>
      <c r="G38" s="185" t="s">
        <v>8</v>
      </c>
      <c r="H38" s="185" t="s">
        <v>12</v>
      </c>
      <c r="I38" s="186"/>
    </row>
    <row r="39" ht="22.5" hidden="1" customHeight="1">
      <c r="A39" s="176" t="s">
        <v>2081</v>
      </c>
      <c r="B39" s="177" t="s">
        <v>362</v>
      </c>
      <c r="C39" s="211">
        <v>1.0</v>
      </c>
      <c r="D39" s="179" t="s">
        <v>1602</v>
      </c>
      <c r="E39" s="188">
        <v>103.15</v>
      </c>
      <c r="F39" s="183">
        <v>46091.0</v>
      </c>
      <c r="G39" s="185" t="s">
        <v>9</v>
      </c>
      <c r="H39" s="185" t="s">
        <v>12</v>
      </c>
      <c r="I39" s="186"/>
    </row>
    <row r="40" ht="22.5" hidden="1" customHeight="1">
      <c r="A40" s="193"/>
      <c r="B40" s="194"/>
      <c r="C40" s="195"/>
      <c r="D40" s="194"/>
      <c r="E40" s="196">
        <f>SUM(Table3[Order Earnings])</f>
        <v>90.61</v>
      </c>
      <c r="F40" s="193"/>
      <c r="G40" s="193"/>
      <c r="H40" s="193"/>
      <c r="I40" s="193"/>
    </row>
    <row r="41" hidden="1">
      <c r="A41" s="199"/>
      <c r="B41" s="200"/>
      <c r="C41" s="201"/>
      <c r="D41" s="200"/>
      <c r="E41" s="202"/>
      <c r="F41" s="199"/>
      <c r="G41" s="199"/>
      <c r="H41" s="199"/>
      <c r="I41" s="199"/>
    </row>
    <row r="42" hidden="1">
      <c r="A42" s="199"/>
      <c r="B42" s="200"/>
      <c r="C42" s="201"/>
      <c r="D42" s="203">
        <v>46092.0</v>
      </c>
      <c r="E42" s="202"/>
      <c r="F42" s="199"/>
      <c r="G42" s="199"/>
      <c r="H42" s="199"/>
      <c r="I42" s="199"/>
    </row>
    <row r="43" ht="22.5" hidden="1" customHeight="1">
      <c r="A43" s="206" t="s">
        <v>1467</v>
      </c>
      <c r="B43" s="206" t="s">
        <v>1477</v>
      </c>
      <c r="C43" s="175" t="s">
        <v>1478</v>
      </c>
      <c r="D43" s="206" t="s">
        <v>1479</v>
      </c>
      <c r="E43" s="206" t="s">
        <v>1481</v>
      </c>
      <c r="F43" s="206" t="s">
        <v>1483</v>
      </c>
      <c r="G43" s="206" t="s">
        <v>1484</v>
      </c>
      <c r="H43" s="206" t="s">
        <v>1486</v>
      </c>
      <c r="I43" s="206" t="s">
        <v>1489</v>
      </c>
    </row>
    <row r="44" ht="22.5" hidden="1" customHeight="1">
      <c r="A44" s="176" t="s">
        <v>2097</v>
      </c>
      <c r="B44" s="177" t="s">
        <v>2100</v>
      </c>
      <c r="C44" s="211">
        <v>1.0</v>
      </c>
      <c r="D44" s="179" t="s">
        <v>1532</v>
      </c>
      <c r="E44" s="188"/>
      <c r="F44" s="183">
        <v>46092.0</v>
      </c>
      <c r="G44" s="185" t="s">
        <v>9</v>
      </c>
      <c r="H44" s="185" t="s">
        <v>11</v>
      </c>
      <c r="I44" s="186" t="s">
        <v>2102</v>
      </c>
    </row>
    <row r="45" ht="22.5" hidden="1" customHeight="1">
      <c r="A45" s="176" t="s">
        <v>2106</v>
      </c>
      <c r="B45" s="177" t="s">
        <v>2112</v>
      </c>
      <c r="C45" s="211">
        <v>1.0</v>
      </c>
      <c r="D45" s="179" t="s">
        <v>1875</v>
      </c>
      <c r="E45" s="188">
        <v>-113.31</v>
      </c>
      <c r="F45" s="183">
        <v>46092.0</v>
      </c>
      <c r="G45" s="185" t="s">
        <v>9</v>
      </c>
      <c r="H45" s="185" t="s">
        <v>11</v>
      </c>
      <c r="I45" s="186" t="s">
        <v>2116</v>
      </c>
    </row>
    <row r="46" ht="22.5" hidden="1" customHeight="1">
      <c r="A46" s="176" t="s">
        <v>2119</v>
      </c>
      <c r="B46" s="177" t="s">
        <v>23</v>
      </c>
      <c r="C46" s="211">
        <v>1.0</v>
      </c>
      <c r="D46" s="179" t="s">
        <v>1602</v>
      </c>
      <c r="E46" s="188">
        <v>18.21</v>
      </c>
      <c r="F46" s="183">
        <v>46092.0</v>
      </c>
      <c r="G46" s="185" t="s">
        <v>8</v>
      </c>
      <c r="H46" s="185" t="s">
        <v>12</v>
      </c>
      <c r="I46" s="189"/>
    </row>
    <row r="47" ht="22.5" hidden="1" customHeight="1">
      <c r="A47" s="176" t="s">
        <v>2126</v>
      </c>
      <c r="B47" s="177" t="s">
        <v>7</v>
      </c>
      <c r="C47" s="211">
        <v>1.0</v>
      </c>
      <c r="D47" s="179" t="s">
        <v>1602</v>
      </c>
      <c r="E47" s="188">
        <v>73.25</v>
      </c>
      <c r="F47" s="183">
        <v>46092.0</v>
      </c>
      <c r="G47" s="185" t="s">
        <v>8</v>
      </c>
      <c r="H47" s="185" t="s">
        <v>11</v>
      </c>
      <c r="I47" s="189"/>
    </row>
    <row r="48" ht="22.5" hidden="1" customHeight="1">
      <c r="A48" s="176" t="s">
        <v>2141</v>
      </c>
      <c r="B48" s="177" t="s">
        <v>1898</v>
      </c>
      <c r="C48" s="211">
        <v>1.0</v>
      </c>
      <c r="D48" s="179" t="s">
        <v>1602</v>
      </c>
      <c r="E48" s="188">
        <v>71.51</v>
      </c>
      <c r="F48" s="183">
        <v>46091.0</v>
      </c>
      <c r="G48" s="185" t="s">
        <v>8</v>
      </c>
      <c r="H48" s="185" t="s">
        <v>12</v>
      </c>
      <c r="I48" s="189"/>
    </row>
    <row r="49" ht="22.5" hidden="1" customHeight="1">
      <c r="A49" s="176" t="s">
        <v>2153</v>
      </c>
      <c r="B49" s="177" t="s">
        <v>966</v>
      </c>
      <c r="C49" s="211">
        <v>1.0</v>
      </c>
      <c r="D49" s="179" t="s">
        <v>1602</v>
      </c>
      <c r="E49" s="188">
        <v>119.61</v>
      </c>
      <c r="F49" s="183">
        <v>46091.0</v>
      </c>
      <c r="G49" s="185" t="s">
        <v>8</v>
      </c>
      <c r="H49" s="185" t="s">
        <v>12</v>
      </c>
      <c r="I49" s="189"/>
    </row>
    <row r="50" ht="22.5" hidden="1" customHeight="1">
      <c r="A50" s="176" t="s">
        <v>2167</v>
      </c>
      <c r="B50" s="177" t="s">
        <v>92</v>
      </c>
      <c r="C50" s="211">
        <v>1.0</v>
      </c>
      <c r="D50" s="179" t="s">
        <v>1602</v>
      </c>
      <c r="E50" s="188">
        <v>137.11</v>
      </c>
      <c r="F50" s="183">
        <v>46092.0</v>
      </c>
      <c r="G50" s="185" t="s">
        <v>8</v>
      </c>
      <c r="H50" s="185" t="s">
        <v>11</v>
      </c>
      <c r="I50" s="189"/>
    </row>
    <row r="51" ht="22.5" hidden="1" customHeight="1">
      <c r="A51" s="176" t="s">
        <v>2176</v>
      </c>
      <c r="B51" s="177" t="s">
        <v>2177</v>
      </c>
      <c r="C51" s="211">
        <v>1.0</v>
      </c>
      <c r="D51" s="179" t="s">
        <v>1602</v>
      </c>
      <c r="E51" s="188">
        <v>257.84</v>
      </c>
      <c r="F51" s="183">
        <v>46092.0</v>
      </c>
      <c r="G51" s="185" t="s">
        <v>9</v>
      </c>
      <c r="H51" s="185" t="s">
        <v>11</v>
      </c>
      <c r="I51" s="189"/>
    </row>
    <row r="52" ht="22.5" hidden="1" customHeight="1">
      <c r="A52" s="176" t="s">
        <v>2178</v>
      </c>
      <c r="B52" s="177" t="s">
        <v>1231</v>
      </c>
      <c r="C52" s="211">
        <v>1.0</v>
      </c>
      <c r="D52" s="179" t="s">
        <v>1602</v>
      </c>
      <c r="E52" s="188">
        <v>90.06</v>
      </c>
      <c r="F52" s="183">
        <v>46092.0</v>
      </c>
      <c r="G52" s="185" t="s">
        <v>9</v>
      </c>
      <c r="H52" s="185" t="s">
        <v>11</v>
      </c>
      <c r="I52" s="189"/>
    </row>
    <row r="53" ht="22.5" hidden="1" customHeight="1">
      <c r="A53" s="176" t="s">
        <v>2179</v>
      </c>
      <c r="B53" s="177" t="s">
        <v>2180</v>
      </c>
      <c r="C53" s="211">
        <v>1.0</v>
      </c>
      <c r="D53" s="179" t="s">
        <v>1602</v>
      </c>
      <c r="E53" s="188">
        <v>77.72</v>
      </c>
      <c r="F53" s="183">
        <v>46092.0</v>
      </c>
      <c r="G53" s="185" t="s">
        <v>9</v>
      </c>
      <c r="H53" s="185" t="s">
        <v>11</v>
      </c>
      <c r="I53" s="189"/>
    </row>
    <row r="54" ht="22.5" hidden="1" customHeight="1">
      <c r="A54" s="176" t="s">
        <v>2181</v>
      </c>
      <c r="B54" s="177" t="s">
        <v>2182</v>
      </c>
      <c r="C54" s="211">
        <v>1.0</v>
      </c>
      <c r="D54" s="179" t="s">
        <v>1532</v>
      </c>
      <c r="E54" s="188"/>
      <c r="F54" s="183">
        <v>46092.0</v>
      </c>
      <c r="G54" s="185" t="s">
        <v>9</v>
      </c>
      <c r="H54" s="185" t="s">
        <v>11</v>
      </c>
      <c r="I54" s="186" t="s">
        <v>2183</v>
      </c>
    </row>
    <row r="55" ht="22.5" hidden="1" customHeight="1">
      <c r="A55" s="176" t="s">
        <v>2184</v>
      </c>
      <c r="B55" s="177">
        <v>8.07460149E8</v>
      </c>
      <c r="C55" s="211">
        <v>1.0</v>
      </c>
      <c r="D55" s="179" t="s">
        <v>1602</v>
      </c>
      <c r="E55" s="188">
        <v>155.55</v>
      </c>
      <c r="F55" s="183">
        <v>46092.0</v>
      </c>
      <c r="G55" s="185" t="s">
        <v>9</v>
      </c>
      <c r="H55" s="185" t="s">
        <v>11</v>
      </c>
      <c r="I55" s="186"/>
    </row>
    <row r="56" ht="22.5" hidden="1" customHeight="1">
      <c r="A56" s="176" t="s">
        <v>2185</v>
      </c>
      <c r="B56" s="177" t="s">
        <v>2186</v>
      </c>
      <c r="C56" s="211">
        <v>1.0</v>
      </c>
      <c r="D56" s="179" t="s">
        <v>1602</v>
      </c>
      <c r="E56" s="188">
        <v>164.37</v>
      </c>
      <c r="F56" s="183">
        <v>46092.0</v>
      </c>
      <c r="G56" s="185" t="s">
        <v>9</v>
      </c>
      <c r="H56" s="185" t="s">
        <v>11</v>
      </c>
      <c r="I56" s="186"/>
    </row>
    <row r="57" ht="22.5" hidden="1" customHeight="1">
      <c r="A57" s="176" t="s">
        <v>2187</v>
      </c>
      <c r="B57" s="177" t="s">
        <v>2191</v>
      </c>
      <c r="C57" s="211">
        <v>1.0</v>
      </c>
      <c r="D57" s="179" t="s">
        <v>1602</v>
      </c>
      <c r="E57" s="188">
        <v>21.6</v>
      </c>
      <c r="F57" s="183">
        <v>46092.0</v>
      </c>
      <c r="G57" s="185" t="s">
        <v>9</v>
      </c>
      <c r="H57" s="185" t="s">
        <v>11</v>
      </c>
      <c r="I57" s="186"/>
    </row>
    <row r="58" ht="22.5" hidden="1" customHeight="1">
      <c r="A58" s="193"/>
      <c r="B58" s="194"/>
      <c r="C58" s="195"/>
      <c r="D58" s="194"/>
      <c r="E58" s="196">
        <f>SUM(Table4[Order Earnings])</f>
        <v>1073.52</v>
      </c>
      <c r="F58" s="193"/>
      <c r="G58" s="193"/>
      <c r="H58" s="193"/>
      <c r="I58" s="193"/>
    </row>
    <row r="59" hidden="1">
      <c r="A59" s="199"/>
      <c r="B59" s="200"/>
      <c r="C59" s="201"/>
      <c r="D59" s="200"/>
      <c r="E59" s="202"/>
      <c r="F59" s="199"/>
      <c r="G59" s="199"/>
      <c r="H59" s="199"/>
      <c r="I59" s="199"/>
    </row>
    <row r="60" hidden="1">
      <c r="A60" s="199"/>
      <c r="B60" s="200"/>
      <c r="C60" s="201"/>
      <c r="D60" s="203">
        <v>46093.0</v>
      </c>
      <c r="E60" s="202"/>
      <c r="F60" s="199"/>
      <c r="G60" s="199"/>
      <c r="H60" s="199"/>
      <c r="I60" s="199"/>
    </row>
    <row r="61" ht="22.5" hidden="1" customHeight="1">
      <c r="A61" s="206" t="s">
        <v>1467</v>
      </c>
      <c r="B61" s="206" t="s">
        <v>1477</v>
      </c>
      <c r="C61" s="175" t="s">
        <v>1478</v>
      </c>
      <c r="D61" s="206" t="s">
        <v>1479</v>
      </c>
      <c r="E61" s="206" t="s">
        <v>1481</v>
      </c>
      <c r="F61" s="206" t="s">
        <v>1483</v>
      </c>
      <c r="G61" s="206" t="s">
        <v>1484</v>
      </c>
      <c r="H61" s="206" t="s">
        <v>1486</v>
      </c>
      <c r="I61" s="206" t="s">
        <v>1489</v>
      </c>
    </row>
    <row r="62" ht="22.5" hidden="1" customHeight="1">
      <c r="A62" s="176" t="s">
        <v>2272</v>
      </c>
      <c r="B62" s="177" t="s">
        <v>2283</v>
      </c>
      <c r="C62" s="211">
        <v>1.0</v>
      </c>
      <c r="D62" s="179" t="s">
        <v>1602</v>
      </c>
      <c r="E62" s="188">
        <v>14.61</v>
      </c>
      <c r="F62" s="183">
        <v>46093.0</v>
      </c>
      <c r="G62" s="185" t="s">
        <v>8</v>
      </c>
      <c r="H62" s="185" t="s">
        <v>11</v>
      </c>
      <c r="I62" s="186"/>
    </row>
    <row r="63" ht="22.5" hidden="1" customHeight="1">
      <c r="A63" s="176" t="s">
        <v>2299</v>
      </c>
      <c r="B63" s="177" t="s">
        <v>781</v>
      </c>
      <c r="C63" s="211">
        <v>1.0</v>
      </c>
      <c r="D63" s="179" t="s">
        <v>1602</v>
      </c>
      <c r="E63" s="188">
        <v>53.31</v>
      </c>
      <c r="F63" s="183">
        <v>46093.0</v>
      </c>
      <c r="G63" s="185" t="s">
        <v>8</v>
      </c>
      <c r="H63" s="185" t="s">
        <v>12</v>
      </c>
      <c r="I63" s="189"/>
    </row>
    <row r="64" ht="22.5" hidden="1" customHeight="1">
      <c r="A64" s="193"/>
      <c r="B64" s="194"/>
      <c r="C64" s="195"/>
      <c r="D64" s="194"/>
      <c r="E64" s="196">
        <f>SUM(Table5[Order Earnings])</f>
        <v>67.92</v>
      </c>
      <c r="F64" s="193"/>
      <c r="G64" s="193"/>
      <c r="H64" s="193"/>
      <c r="I64" s="193"/>
    </row>
    <row r="65" hidden="1">
      <c r="A65" s="199"/>
      <c r="B65" s="200"/>
      <c r="C65" s="201"/>
      <c r="D65" s="200"/>
      <c r="E65" s="202"/>
      <c r="F65" s="199"/>
      <c r="G65" s="199"/>
      <c r="H65" s="199"/>
      <c r="I65" s="199"/>
    </row>
    <row r="66" hidden="1">
      <c r="A66" s="199"/>
      <c r="B66" s="200"/>
      <c r="C66" s="201"/>
      <c r="D66" s="203">
        <v>46094.0</v>
      </c>
      <c r="E66" s="202"/>
      <c r="F66" s="199"/>
      <c r="G66" s="199"/>
      <c r="H66" s="199"/>
      <c r="I66" s="199"/>
    </row>
    <row r="67" ht="22.5" hidden="1" customHeight="1">
      <c r="A67" s="206" t="s">
        <v>1467</v>
      </c>
      <c r="B67" s="206" t="s">
        <v>1477</v>
      </c>
      <c r="C67" s="175" t="s">
        <v>1478</v>
      </c>
      <c r="D67" s="206" t="s">
        <v>1479</v>
      </c>
      <c r="E67" s="206" t="s">
        <v>1481</v>
      </c>
      <c r="F67" s="206" t="s">
        <v>1483</v>
      </c>
      <c r="G67" s="206" t="s">
        <v>1484</v>
      </c>
      <c r="H67" s="206" t="s">
        <v>1486</v>
      </c>
      <c r="I67" s="206" t="s">
        <v>1489</v>
      </c>
    </row>
    <row r="68" ht="22.5" hidden="1" customHeight="1">
      <c r="A68" s="176" t="s">
        <v>2354</v>
      </c>
      <c r="B68" s="177" t="s">
        <v>2364</v>
      </c>
      <c r="C68" s="211">
        <v>1.0</v>
      </c>
      <c r="D68" s="179" t="s">
        <v>1602</v>
      </c>
      <c r="E68" s="188">
        <v>21.48</v>
      </c>
      <c r="F68" s="183">
        <v>46094.0</v>
      </c>
      <c r="G68" s="185" t="s">
        <v>8</v>
      </c>
      <c r="H68" s="185" t="s">
        <v>11</v>
      </c>
      <c r="I68" s="186"/>
    </row>
    <row r="69" ht="22.5" hidden="1" customHeight="1">
      <c r="A69" s="176" t="s">
        <v>2391</v>
      </c>
      <c r="B69" s="177" t="s">
        <v>584</v>
      </c>
      <c r="C69" s="211">
        <v>1.0</v>
      </c>
      <c r="D69" s="179" t="s">
        <v>1602</v>
      </c>
      <c r="E69" s="188">
        <v>55.0</v>
      </c>
      <c r="F69" s="183">
        <v>46094.0</v>
      </c>
      <c r="G69" s="185" t="s">
        <v>8</v>
      </c>
      <c r="H69" s="185" t="s">
        <v>12</v>
      </c>
      <c r="I69" s="189"/>
    </row>
    <row r="70" ht="22.5" hidden="1" customHeight="1">
      <c r="A70" s="193"/>
      <c r="B70" s="194"/>
      <c r="C70" s="195"/>
      <c r="D70" s="194"/>
      <c r="E70" s="196">
        <f>SUM(Table6[Order Earnings])</f>
        <v>76.48</v>
      </c>
      <c r="F70" s="193"/>
      <c r="G70" s="193"/>
      <c r="H70" s="193"/>
      <c r="I70" s="193"/>
    </row>
    <row r="71" hidden="1">
      <c r="A71" s="199"/>
      <c r="B71" s="200"/>
      <c r="C71" s="201"/>
      <c r="D71" s="200"/>
      <c r="E71" s="202"/>
      <c r="F71" s="199"/>
      <c r="G71" s="199"/>
      <c r="H71" s="199"/>
      <c r="I71" s="199"/>
    </row>
    <row r="72" hidden="1">
      <c r="A72" s="199"/>
      <c r="B72" s="200"/>
      <c r="C72" s="201"/>
      <c r="D72" s="203">
        <v>46097.0</v>
      </c>
      <c r="E72" s="202"/>
      <c r="F72" s="199"/>
      <c r="G72" s="199"/>
      <c r="H72" s="199"/>
      <c r="I72" s="199"/>
    </row>
    <row r="73" ht="22.5" hidden="1" customHeight="1">
      <c r="A73" s="206" t="s">
        <v>1467</v>
      </c>
      <c r="B73" s="206" t="s">
        <v>1477</v>
      </c>
      <c r="C73" s="175" t="s">
        <v>1478</v>
      </c>
      <c r="D73" s="206" t="s">
        <v>1479</v>
      </c>
      <c r="E73" s="206" t="s">
        <v>1481</v>
      </c>
      <c r="F73" s="206" t="s">
        <v>1483</v>
      </c>
      <c r="G73" s="206" t="s">
        <v>1484</v>
      </c>
      <c r="H73" s="206" t="s">
        <v>1486</v>
      </c>
      <c r="I73" s="206" t="s">
        <v>1489</v>
      </c>
    </row>
    <row r="74" ht="22.5" hidden="1" customHeight="1">
      <c r="A74" s="176" t="s">
        <v>2433</v>
      </c>
      <c r="B74" s="177" t="s">
        <v>1562</v>
      </c>
      <c r="C74" s="211">
        <v>1.0</v>
      </c>
      <c r="D74" s="185" t="s">
        <v>1532</v>
      </c>
      <c r="E74" s="188"/>
      <c r="F74" s="183">
        <v>46094.0</v>
      </c>
      <c r="G74" s="185" t="s">
        <v>9</v>
      </c>
      <c r="H74" s="185" t="s">
        <v>11</v>
      </c>
      <c r="I74" s="186" t="s">
        <v>2457</v>
      </c>
    </row>
    <row r="75" ht="22.5" hidden="1" customHeight="1">
      <c r="A75" s="176" t="s">
        <v>2481</v>
      </c>
      <c r="B75" s="177" t="s">
        <v>2494</v>
      </c>
      <c r="C75" s="211">
        <v>1.0</v>
      </c>
      <c r="D75" s="185" t="s">
        <v>1602</v>
      </c>
      <c r="E75" s="188">
        <v>14.75</v>
      </c>
      <c r="F75" s="183">
        <v>46094.0</v>
      </c>
      <c r="G75" s="185" t="s">
        <v>9</v>
      </c>
      <c r="H75" s="185" t="s">
        <v>11</v>
      </c>
      <c r="I75" s="189"/>
    </row>
    <row r="76" ht="22.5" hidden="1" customHeight="1">
      <c r="A76" s="176" t="s">
        <v>2516</v>
      </c>
      <c r="B76" s="177">
        <v>7270835.0</v>
      </c>
      <c r="C76" s="211">
        <v>1.0</v>
      </c>
      <c r="D76" s="185" t="s">
        <v>1602</v>
      </c>
      <c r="E76" s="188">
        <v>219.93</v>
      </c>
      <c r="F76" s="183">
        <v>46095.0</v>
      </c>
      <c r="G76" s="185" t="s">
        <v>8</v>
      </c>
      <c r="H76" s="185" t="s">
        <v>11</v>
      </c>
      <c r="I76" s="189"/>
    </row>
    <row r="77" ht="22.5" hidden="1" customHeight="1">
      <c r="A77" s="176" t="s">
        <v>2552</v>
      </c>
      <c r="B77" s="177" t="s">
        <v>584</v>
      </c>
      <c r="C77" s="211">
        <v>1.0</v>
      </c>
      <c r="D77" s="185" t="s">
        <v>1602</v>
      </c>
      <c r="E77" s="188">
        <v>48.62</v>
      </c>
      <c r="F77" s="183">
        <v>46096.0</v>
      </c>
      <c r="G77" s="185" t="s">
        <v>8</v>
      </c>
      <c r="H77" s="185" t="s">
        <v>12</v>
      </c>
      <c r="I77" s="189"/>
    </row>
    <row r="78" ht="22.5" hidden="1" customHeight="1">
      <c r="A78" s="176" t="s">
        <v>2585</v>
      </c>
      <c r="B78" s="177" t="s">
        <v>584</v>
      </c>
      <c r="C78" s="211">
        <v>1.0</v>
      </c>
      <c r="D78" s="179" t="s">
        <v>1602</v>
      </c>
      <c r="E78" s="188">
        <v>48.62</v>
      </c>
      <c r="F78" s="183">
        <v>46094.0</v>
      </c>
      <c r="G78" s="185" t="s">
        <v>8</v>
      </c>
      <c r="H78" s="185" t="s">
        <v>12</v>
      </c>
      <c r="I78" s="189"/>
    </row>
    <row r="79" ht="22.5" hidden="1" customHeight="1">
      <c r="A79" s="176" t="s">
        <v>2627</v>
      </c>
      <c r="B79" s="177" t="s">
        <v>2641</v>
      </c>
      <c r="C79" s="211">
        <v>1.0</v>
      </c>
      <c r="D79" s="179" t="s">
        <v>1602</v>
      </c>
      <c r="E79" s="188">
        <v>14.78</v>
      </c>
      <c r="F79" s="183">
        <v>46097.0</v>
      </c>
      <c r="G79" s="185" t="s">
        <v>9</v>
      </c>
      <c r="H79" s="185" t="s">
        <v>11</v>
      </c>
      <c r="I79" s="189"/>
    </row>
    <row r="80" ht="22.5" hidden="1" customHeight="1">
      <c r="A80" s="291" t="s">
        <v>2667</v>
      </c>
      <c r="B80" s="177" t="s">
        <v>2686</v>
      </c>
      <c r="C80" s="211">
        <v>1.0</v>
      </c>
      <c r="D80" s="179" t="s">
        <v>1602</v>
      </c>
      <c r="E80" s="188">
        <v>29.48</v>
      </c>
      <c r="F80" s="183">
        <v>46097.0</v>
      </c>
      <c r="G80" s="185" t="s">
        <v>9</v>
      </c>
      <c r="H80" s="185" t="s">
        <v>11</v>
      </c>
      <c r="I80" s="189"/>
    </row>
    <row r="81" ht="22.5" hidden="1" customHeight="1">
      <c r="A81" s="193"/>
      <c r="B81" s="194"/>
      <c r="C81" s="195"/>
      <c r="D81" s="194"/>
      <c r="E81" s="196">
        <f>SUM(Table7[Order Earnings])</f>
        <v>376.18</v>
      </c>
      <c r="F81" s="193"/>
      <c r="G81" s="193"/>
      <c r="H81" s="193"/>
      <c r="I81" s="193"/>
    </row>
    <row r="82" hidden="1">
      <c r="A82" s="199"/>
      <c r="B82" s="200"/>
      <c r="C82" s="201"/>
      <c r="D82" s="200"/>
      <c r="E82" s="202"/>
      <c r="F82" s="199"/>
      <c r="G82" s="199"/>
      <c r="H82" s="199"/>
      <c r="I82" s="199"/>
    </row>
    <row r="83" hidden="1">
      <c r="A83" s="199"/>
      <c r="B83" s="200"/>
      <c r="C83" s="201"/>
      <c r="D83" s="203">
        <v>46098.0</v>
      </c>
      <c r="E83" s="202"/>
      <c r="F83" s="199"/>
      <c r="G83" s="199"/>
      <c r="H83" s="199"/>
      <c r="I83" s="199"/>
    </row>
    <row r="84" ht="22.5" hidden="1" customHeight="1">
      <c r="A84" s="206" t="s">
        <v>1467</v>
      </c>
      <c r="B84" s="206" t="s">
        <v>1477</v>
      </c>
      <c r="C84" s="175" t="s">
        <v>1478</v>
      </c>
      <c r="D84" s="206" t="s">
        <v>1479</v>
      </c>
      <c r="E84" s="206" t="s">
        <v>1481</v>
      </c>
      <c r="F84" s="206" t="s">
        <v>1483</v>
      </c>
      <c r="G84" s="206" t="s">
        <v>1484</v>
      </c>
      <c r="H84" s="206" t="s">
        <v>1486</v>
      </c>
      <c r="I84" s="206" t="s">
        <v>1489</v>
      </c>
    </row>
    <row r="85" ht="22.5" hidden="1" customHeight="1">
      <c r="A85" s="176" t="s">
        <v>2769</v>
      </c>
      <c r="B85" s="177" t="s">
        <v>244</v>
      </c>
      <c r="C85" s="211">
        <v>1.0</v>
      </c>
      <c r="D85" s="185" t="s">
        <v>1602</v>
      </c>
      <c r="E85" s="188">
        <v>45.73</v>
      </c>
      <c r="F85" s="183">
        <v>46097.0</v>
      </c>
      <c r="G85" s="185" t="s">
        <v>8</v>
      </c>
      <c r="H85" s="185" t="s">
        <v>53</v>
      </c>
      <c r="I85" s="186"/>
    </row>
    <row r="86" ht="22.5" hidden="1" customHeight="1">
      <c r="A86" s="176" t="s">
        <v>2814</v>
      </c>
      <c r="B86" s="177" t="s">
        <v>102</v>
      </c>
      <c r="C86" s="211">
        <v>1.0</v>
      </c>
      <c r="D86" s="185" t="s">
        <v>1602</v>
      </c>
      <c r="E86" s="188">
        <v>27.9</v>
      </c>
      <c r="F86" s="183">
        <v>46097.0</v>
      </c>
      <c r="G86" s="185" t="s">
        <v>8</v>
      </c>
      <c r="H86" s="185" t="s">
        <v>11</v>
      </c>
      <c r="I86" s="189"/>
    </row>
    <row r="87" ht="22.5" hidden="1" customHeight="1">
      <c r="A87" s="176" t="s">
        <v>2860</v>
      </c>
      <c r="B87" s="177" t="s">
        <v>966</v>
      </c>
      <c r="C87" s="211">
        <v>1.0</v>
      </c>
      <c r="D87" s="185" t="s">
        <v>1602</v>
      </c>
      <c r="E87" s="188">
        <v>119.25</v>
      </c>
      <c r="F87" s="183">
        <v>46097.0</v>
      </c>
      <c r="G87" s="185" t="s">
        <v>8</v>
      </c>
      <c r="H87" s="185" t="s">
        <v>12</v>
      </c>
      <c r="I87" s="189"/>
    </row>
    <row r="88" ht="22.5" hidden="1" customHeight="1">
      <c r="A88" s="176" t="s">
        <v>2899</v>
      </c>
      <c r="B88" s="177" t="s">
        <v>478</v>
      </c>
      <c r="C88" s="211">
        <v>1.0</v>
      </c>
      <c r="D88" s="185" t="s">
        <v>1602</v>
      </c>
      <c r="E88" s="188">
        <v>91.52</v>
      </c>
      <c r="F88" s="183">
        <v>46097.0</v>
      </c>
      <c r="G88" s="185" t="s">
        <v>8</v>
      </c>
      <c r="H88" s="185" t="s">
        <v>12</v>
      </c>
      <c r="I88" s="189"/>
    </row>
    <row r="89" ht="22.5" hidden="1" customHeight="1">
      <c r="A89" s="176" t="s">
        <v>2931</v>
      </c>
      <c r="B89" s="177" t="s">
        <v>2942</v>
      </c>
      <c r="C89" s="211">
        <v>1.0</v>
      </c>
      <c r="D89" s="179" t="s">
        <v>1602</v>
      </c>
      <c r="E89" s="188">
        <v>58.65</v>
      </c>
      <c r="F89" s="183">
        <v>46098.0</v>
      </c>
      <c r="G89" s="185" t="s">
        <v>9</v>
      </c>
      <c r="H89" s="185" t="s">
        <v>11</v>
      </c>
      <c r="I89" s="189"/>
    </row>
    <row r="90" ht="22.5" hidden="1" customHeight="1">
      <c r="A90" s="176" t="s">
        <v>2951</v>
      </c>
      <c r="B90" s="177" t="s">
        <v>254</v>
      </c>
      <c r="C90" s="211">
        <v>1.0</v>
      </c>
      <c r="D90" s="179" t="s">
        <v>1602</v>
      </c>
      <c r="E90" s="188">
        <v>156.29</v>
      </c>
      <c r="F90" s="183">
        <v>46098.0</v>
      </c>
      <c r="G90" s="185" t="s">
        <v>8</v>
      </c>
      <c r="H90" s="185" t="s">
        <v>53</v>
      </c>
      <c r="I90" s="189"/>
    </row>
    <row r="91" ht="22.5" hidden="1" customHeight="1">
      <c r="A91" s="193"/>
      <c r="B91" s="194"/>
      <c r="C91" s="195"/>
      <c r="D91" s="194"/>
      <c r="E91" s="196">
        <f>SUM(Table8[Order Earnings])</f>
        <v>499.34</v>
      </c>
      <c r="F91" s="193"/>
      <c r="G91" s="193"/>
      <c r="H91" s="193"/>
      <c r="I91" s="193"/>
    </row>
    <row r="92" hidden="1">
      <c r="A92" s="199"/>
      <c r="B92" s="200"/>
      <c r="C92" s="201"/>
      <c r="D92" s="200"/>
      <c r="E92" s="202"/>
      <c r="F92" s="199"/>
      <c r="G92" s="199"/>
      <c r="H92" s="199"/>
      <c r="I92" s="199"/>
    </row>
    <row r="93" hidden="1">
      <c r="A93" s="199"/>
      <c r="B93" s="200"/>
      <c r="C93" s="201"/>
      <c r="D93" s="203">
        <v>46099.0</v>
      </c>
      <c r="E93" s="202"/>
      <c r="F93" s="199"/>
      <c r="G93" s="199"/>
      <c r="H93" s="199"/>
      <c r="I93" s="199"/>
    </row>
    <row r="94" ht="22.5" hidden="1" customHeight="1">
      <c r="A94" s="206" t="s">
        <v>1467</v>
      </c>
      <c r="B94" s="206" t="s">
        <v>1477</v>
      </c>
      <c r="C94" s="175" t="s">
        <v>1478</v>
      </c>
      <c r="D94" s="206" t="s">
        <v>1479</v>
      </c>
      <c r="E94" s="206" t="s">
        <v>1481</v>
      </c>
      <c r="F94" s="206" t="s">
        <v>1483</v>
      </c>
      <c r="G94" s="206" t="s">
        <v>1484</v>
      </c>
      <c r="H94" s="206" t="s">
        <v>1486</v>
      </c>
      <c r="I94" s="206" t="s">
        <v>1489</v>
      </c>
    </row>
    <row r="95" ht="22.5" hidden="1" customHeight="1">
      <c r="A95" s="176" t="s">
        <v>2982</v>
      </c>
      <c r="B95" s="177" t="s">
        <v>478</v>
      </c>
      <c r="C95" s="211">
        <v>1.0</v>
      </c>
      <c r="D95" s="185" t="s">
        <v>1602</v>
      </c>
      <c r="E95" s="188">
        <v>84.68</v>
      </c>
      <c r="F95" s="183">
        <v>46099.0</v>
      </c>
      <c r="G95" s="185" t="s">
        <v>8</v>
      </c>
      <c r="H95" s="185" t="s">
        <v>12</v>
      </c>
      <c r="I95" s="186"/>
    </row>
    <row r="96" ht="22.5" hidden="1" customHeight="1">
      <c r="A96" s="176" t="s">
        <v>2999</v>
      </c>
      <c r="B96" s="177" t="s">
        <v>1116</v>
      </c>
      <c r="C96" s="211">
        <v>1.0</v>
      </c>
      <c r="D96" s="185" t="s">
        <v>1602</v>
      </c>
      <c r="E96" s="188">
        <v>77.18</v>
      </c>
      <c r="F96" s="183">
        <v>46099.0</v>
      </c>
      <c r="G96" s="185" t="s">
        <v>8</v>
      </c>
      <c r="H96" s="185" t="s">
        <v>1356</v>
      </c>
      <c r="I96" s="189"/>
    </row>
    <row r="97" ht="22.5" hidden="1" customHeight="1">
      <c r="A97" s="193"/>
      <c r="B97" s="194"/>
      <c r="C97" s="195"/>
      <c r="D97" s="194"/>
      <c r="E97" s="196">
        <f>SUM(Table9[Order Earnings])</f>
        <v>161.86</v>
      </c>
      <c r="F97" s="193"/>
      <c r="G97" s="193"/>
      <c r="H97" s="193"/>
      <c r="I97" s="193"/>
    </row>
    <row r="98" hidden="1">
      <c r="A98" s="199"/>
      <c r="B98" s="200"/>
      <c r="C98" s="201"/>
      <c r="D98" s="200"/>
      <c r="E98" s="202"/>
      <c r="F98" s="199"/>
      <c r="G98" s="199"/>
      <c r="H98" s="199"/>
      <c r="I98" s="199"/>
    </row>
    <row r="99" hidden="1">
      <c r="A99" s="199"/>
      <c r="B99" s="200"/>
      <c r="C99" s="201"/>
      <c r="D99" s="203">
        <v>46100.0</v>
      </c>
      <c r="E99" s="202"/>
      <c r="F99" s="199"/>
      <c r="G99" s="199"/>
      <c r="H99" s="199"/>
      <c r="I99" s="199"/>
    </row>
    <row r="100" ht="22.5" hidden="1" customHeight="1">
      <c r="A100" s="206" t="s">
        <v>1467</v>
      </c>
      <c r="B100" s="206" t="s">
        <v>1477</v>
      </c>
      <c r="C100" s="175" t="s">
        <v>1478</v>
      </c>
      <c r="D100" s="206" t="s">
        <v>1479</v>
      </c>
      <c r="E100" s="206" t="s">
        <v>1481</v>
      </c>
      <c r="F100" s="206" t="s">
        <v>1483</v>
      </c>
      <c r="G100" s="206" t="s">
        <v>1484</v>
      </c>
      <c r="H100" s="206" t="s">
        <v>1486</v>
      </c>
      <c r="I100" s="206" t="s">
        <v>1489</v>
      </c>
    </row>
    <row r="101" ht="22.5" hidden="1" customHeight="1">
      <c r="A101" s="176" t="s">
        <v>3020</v>
      </c>
      <c r="B101" s="177" t="s">
        <v>1096</v>
      </c>
      <c r="C101" s="211">
        <v>1.0</v>
      </c>
      <c r="D101" s="185" t="s">
        <v>1602</v>
      </c>
      <c r="E101" s="188">
        <v>24.03</v>
      </c>
      <c r="F101" s="183">
        <v>46099.0</v>
      </c>
      <c r="G101" s="185" t="s">
        <v>8</v>
      </c>
      <c r="H101" s="185" t="s">
        <v>11</v>
      </c>
      <c r="I101" s="186"/>
    </row>
    <row r="102" ht="22.5" hidden="1" customHeight="1">
      <c r="A102" s="176" t="s">
        <v>3029</v>
      </c>
      <c r="B102" s="177" t="s">
        <v>1348</v>
      </c>
      <c r="C102" s="211">
        <v>1.0</v>
      </c>
      <c r="D102" s="185" t="s">
        <v>1602</v>
      </c>
      <c r="E102" s="188">
        <v>26.53</v>
      </c>
      <c r="F102" s="183">
        <v>46099.0</v>
      </c>
      <c r="G102" s="185" t="s">
        <v>8</v>
      </c>
      <c r="H102" s="185" t="s">
        <v>11</v>
      </c>
      <c r="I102" s="189"/>
    </row>
    <row r="103" ht="22.5" hidden="1" customHeight="1">
      <c r="A103" s="176" t="s">
        <v>3038</v>
      </c>
      <c r="B103" s="177" t="s">
        <v>464</v>
      </c>
      <c r="C103" s="211">
        <v>1.0</v>
      </c>
      <c r="D103" s="185" t="s">
        <v>1602</v>
      </c>
      <c r="E103" s="188">
        <v>9.44</v>
      </c>
      <c r="F103" s="183">
        <v>46100.0</v>
      </c>
      <c r="G103" s="185" t="s">
        <v>8</v>
      </c>
      <c r="H103" s="185" t="s">
        <v>12</v>
      </c>
      <c r="I103" s="189"/>
    </row>
    <row r="104" ht="22.5" hidden="1" customHeight="1">
      <c r="A104" s="176" t="s">
        <v>3049</v>
      </c>
      <c r="B104" s="177" t="s">
        <v>584</v>
      </c>
      <c r="C104" s="211">
        <v>1.0</v>
      </c>
      <c r="D104" s="179" t="s">
        <v>1875</v>
      </c>
      <c r="E104" s="188">
        <v>-63.97</v>
      </c>
      <c r="F104" s="183">
        <v>46100.0</v>
      </c>
      <c r="G104" s="185" t="s">
        <v>8</v>
      </c>
      <c r="H104" s="185" t="s">
        <v>12</v>
      </c>
      <c r="I104" s="186" t="s">
        <v>3056</v>
      </c>
    </row>
    <row r="105" ht="22.5" hidden="1" customHeight="1">
      <c r="A105" s="176" t="s">
        <v>3063</v>
      </c>
      <c r="B105" s="177" t="s">
        <v>178</v>
      </c>
      <c r="C105" s="211">
        <v>1.0</v>
      </c>
      <c r="D105" s="179" t="s">
        <v>1602</v>
      </c>
      <c r="E105" s="188">
        <v>46.26</v>
      </c>
      <c r="F105" s="183">
        <v>46100.0</v>
      </c>
      <c r="G105" s="185" t="s">
        <v>9</v>
      </c>
      <c r="H105" s="185" t="s">
        <v>11</v>
      </c>
      <c r="I105" s="189"/>
    </row>
    <row r="106" ht="22.5" hidden="1" customHeight="1">
      <c r="A106" s="193"/>
      <c r="B106" s="194"/>
      <c r="C106" s="195"/>
      <c r="D106" s="194"/>
      <c r="E106" s="196">
        <f>SUM(Table10[Order Earnings])</f>
        <v>42.29</v>
      </c>
      <c r="F106" s="193"/>
      <c r="G106" s="193"/>
      <c r="H106" s="193"/>
      <c r="I106" s="193"/>
    </row>
    <row r="107" hidden="1">
      <c r="A107" s="199"/>
      <c r="B107" s="200"/>
      <c r="C107" s="201"/>
      <c r="D107" s="200"/>
      <c r="E107" s="202"/>
      <c r="F107" s="199"/>
      <c r="G107" s="199"/>
      <c r="H107" s="199"/>
      <c r="I107" s="199"/>
    </row>
    <row r="108" hidden="1">
      <c r="A108" s="199"/>
      <c r="B108" s="200"/>
      <c r="C108" s="201"/>
      <c r="D108" s="203">
        <v>46101.0</v>
      </c>
      <c r="E108" s="202"/>
      <c r="F108" s="199"/>
      <c r="G108" s="199"/>
      <c r="H108" s="199"/>
      <c r="I108" s="199"/>
    </row>
    <row r="109" ht="22.5" hidden="1" customHeight="1">
      <c r="A109" s="206" t="s">
        <v>1467</v>
      </c>
      <c r="B109" s="206" t="s">
        <v>1477</v>
      </c>
      <c r="C109" s="175" t="s">
        <v>1478</v>
      </c>
      <c r="D109" s="206" t="s">
        <v>1479</v>
      </c>
      <c r="E109" s="206" t="s">
        <v>1481</v>
      </c>
      <c r="F109" s="206" t="s">
        <v>1483</v>
      </c>
      <c r="G109" s="206" t="s">
        <v>1484</v>
      </c>
      <c r="H109" s="206" t="s">
        <v>1486</v>
      </c>
      <c r="I109" s="206" t="s">
        <v>1489</v>
      </c>
    </row>
    <row r="110" ht="22.5" hidden="1" customHeight="1">
      <c r="A110" s="176" t="s">
        <v>3076</v>
      </c>
      <c r="B110" s="177" t="s">
        <v>3081</v>
      </c>
      <c r="C110" s="178"/>
      <c r="D110" s="185" t="s">
        <v>1602</v>
      </c>
      <c r="E110" s="188">
        <v>45.78</v>
      </c>
      <c r="F110" s="183">
        <v>46101.0</v>
      </c>
      <c r="G110" s="185" t="s">
        <v>8</v>
      </c>
      <c r="H110" s="185" t="s">
        <v>11</v>
      </c>
      <c r="I110" s="186"/>
    </row>
    <row r="111" ht="22.5" hidden="1" customHeight="1">
      <c r="A111" s="176" t="s">
        <v>3097</v>
      </c>
      <c r="B111" s="177">
        <v>5.304531112E9</v>
      </c>
      <c r="C111" s="178"/>
      <c r="D111" s="185" t="s">
        <v>1602</v>
      </c>
      <c r="E111" s="188">
        <v>74.01</v>
      </c>
      <c r="F111" s="183">
        <v>46100.0</v>
      </c>
      <c r="G111" s="185" t="s">
        <v>8</v>
      </c>
      <c r="H111" s="185" t="s">
        <v>11</v>
      </c>
      <c r="I111" s="189"/>
    </row>
    <row r="112" ht="22.5" hidden="1" customHeight="1">
      <c r="A112" s="193"/>
      <c r="B112" s="194"/>
      <c r="C112" s="195"/>
      <c r="D112" s="194"/>
      <c r="E112" s="196">
        <f>SUM(Table11[Order Earnings])</f>
        <v>119.79</v>
      </c>
      <c r="F112" s="193"/>
      <c r="G112" s="193"/>
      <c r="H112" s="193"/>
      <c r="I112" s="193"/>
    </row>
    <row r="113" hidden="1">
      <c r="A113" s="199"/>
      <c r="B113" s="200"/>
      <c r="C113" s="201"/>
      <c r="D113" s="200"/>
      <c r="E113" s="202"/>
      <c r="F113" s="199"/>
      <c r="G113" s="199"/>
      <c r="H113" s="199"/>
      <c r="I113" s="199"/>
    </row>
    <row r="114" hidden="1">
      <c r="A114" s="199"/>
      <c r="B114" s="200"/>
      <c r="C114" s="201"/>
      <c r="D114" s="200"/>
      <c r="E114" s="202"/>
      <c r="F114" s="199"/>
      <c r="G114" s="199"/>
      <c r="H114" s="199"/>
      <c r="I114" s="199"/>
    </row>
    <row r="115" hidden="1">
      <c r="A115" s="199"/>
      <c r="B115" s="200"/>
      <c r="C115" s="201"/>
      <c r="D115" s="203">
        <v>46104.0</v>
      </c>
      <c r="E115" s="202"/>
      <c r="F115" s="199"/>
      <c r="G115" s="199"/>
      <c r="H115" s="199"/>
      <c r="I115" s="199"/>
    </row>
    <row r="116" ht="22.5" hidden="1" customHeight="1">
      <c r="A116" s="206" t="s">
        <v>1467</v>
      </c>
      <c r="B116" s="206" t="s">
        <v>1477</v>
      </c>
      <c r="C116" s="175" t="s">
        <v>1478</v>
      </c>
      <c r="D116" s="206" t="s">
        <v>1479</v>
      </c>
      <c r="E116" s="206" t="s">
        <v>1481</v>
      </c>
      <c r="F116" s="206" t="s">
        <v>1483</v>
      </c>
      <c r="G116" s="206" t="s">
        <v>1484</v>
      </c>
      <c r="H116" s="206" t="s">
        <v>1486</v>
      </c>
      <c r="I116" s="206" t="s">
        <v>1489</v>
      </c>
    </row>
    <row r="117" ht="22.5" hidden="1" customHeight="1">
      <c r="A117" s="176" t="s">
        <v>3124</v>
      </c>
      <c r="B117" s="177">
        <v>5.304535821E9</v>
      </c>
      <c r="C117" s="178"/>
      <c r="D117" s="185" t="s">
        <v>1602</v>
      </c>
      <c r="E117" s="188">
        <v>13.38</v>
      </c>
      <c r="F117" s="183">
        <v>46101.0</v>
      </c>
      <c r="G117" s="185" t="s">
        <v>8</v>
      </c>
      <c r="H117" s="185" t="s">
        <v>11</v>
      </c>
      <c r="I117" s="186"/>
    </row>
    <row r="118" ht="22.5" hidden="1" customHeight="1">
      <c r="A118" s="176" t="s">
        <v>3138</v>
      </c>
      <c r="B118" s="177" t="s">
        <v>2035</v>
      </c>
      <c r="C118" s="178"/>
      <c r="D118" s="185" t="s">
        <v>1602</v>
      </c>
      <c r="E118" s="188">
        <v>44.24</v>
      </c>
      <c r="F118" s="183">
        <v>46100.0</v>
      </c>
      <c r="G118" s="185" t="s">
        <v>8</v>
      </c>
      <c r="H118" s="185" t="s">
        <v>11</v>
      </c>
      <c r="I118" s="189"/>
    </row>
    <row r="119" ht="22.5" hidden="1" customHeight="1">
      <c r="A119" s="176" t="s">
        <v>3152</v>
      </c>
      <c r="B119" s="177" t="s">
        <v>432</v>
      </c>
      <c r="C119" s="178"/>
      <c r="D119" s="185" t="s">
        <v>1602</v>
      </c>
      <c r="E119" s="188">
        <v>63.39</v>
      </c>
      <c r="F119" s="183">
        <v>46104.0</v>
      </c>
      <c r="G119" s="185" t="s">
        <v>8</v>
      </c>
      <c r="H119" s="185" t="s">
        <v>53</v>
      </c>
      <c r="I119" s="189"/>
    </row>
    <row r="120" ht="22.5" hidden="1" customHeight="1">
      <c r="A120" s="176" t="s">
        <v>3159</v>
      </c>
      <c r="B120" s="177" t="s">
        <v>417</v>
      </c>
      <c r="C120" s="178"/>
      <c r="D120" s="179" t="s">
        <v>1602</v>
      </c>
      <c r="E120" s="188">
        <v>99.97</v>
      </c>
      <c r="F120" s="183">
        <v>46103.0</v>
      </c>
      <c r="G120" s="185" t="s">
        <v>8</v>
      </c>
      <c r="H120" s="185" t="s">
        <v>53</v>
      </c>
      <c r="I120" s="189"/>
    </row>
    <row r="121" ht="22.5" hidden="1" customHeight="1">
      <c r="A121" s="176" t="s">
        <v>3170</v>
      </c>
      <c r="B121" s="177" t="s">
        <v>67</v>
      </c>
      <c r="C121" s="178"/>
      <c r="D121" s="179" t="s">
        <v>1602</v>
      </c>
      <c r="E121" s="188">
        <v>66.39</v>
      </c>
      <c r="F121" s="183">
        <v>46103.0</v>
      </c>
      <c r="G121" s="185" t="s">
        <v>8</v>
      </c>
      <c r="H121" s="185" t="s">
        <v>53</v>
      </c>
      <c r="I121" s="189"/>
    </row>
    <row r="122" ht="22.5" hidden="1" customHeight="1">
      <c r="A122" s="176" t="s">
        <v>3178</v>
      </c>
      <c r="B122" s="177" t="s">
        <v>385</v>
      </c>
      <c r="C122" s="178"/>
      <c r="D122" s="179" t="s">
        <v>1602</v>
      </c>
      <c r="E122" s="188">
        <v>143.79</v>
      </c>
      <c r="F122" s="183">
        <v>46102.0</v>
      </c>
      <c r="G122" s="185" t="s">
        <v>8</v>
      </c>
      <c r="H122" s="185" t="s">
        <v>53</v>
      </c>
      <c r="I122" s="189"/>
    </row>
    <row r="123" ht="22.5" hidden="1" customHeight="1">
      <c r="A123" s="176" t="s">
        <v>3181</v>
      </c>
      <c r="B123" s="177" t="s">
        <v>403</v>
      </c>
      <c r="C123" s="178"/>
      <c r="D123" s="179" t="s">
        <v>1602</v>
      </c>
      <c r="E123" s="188">
        <v>131.13</v>
      </c>
      <c r="F123" s="183">
        <v>46102.0</v>
      </c>
      <c r="G123" s="185" t="s">
        <v>8</v>
      </c>
      <c r="H123" s="185" t="s">
        <v>53</v>
      </c>
      <c r="I123" s="189"/>
    </row>
    <row r="124" ht="22.5" hidden="1" customHeight="1">
      <c r="A124" s="176" t="s">
        <v>3185</v>
      </c>
      <c r="B124" s="177" t="s">
        <v>3186</v>
      </c>
      <c r="C124" s="178"/>
      <c r="D124" s="179" t="s">
        <v>1602</v>
      </c>
      <c r="E124" s="188">
        <v>17.51</v>
      </c>
      <c r="F124" s="183">
        <v>46104.0</v>
      </c>
      <c r="G124" s="185" t="s">
        <v>8</v>
      </c>
      <c r="H124" s="185" t="s">
        <v>12</v>
      </c>
      <c r="I124" s="189"/>
    </row>
    <row r="125" ht="22.5" hidden="1" customHeight="1">
      <c r="A125" s="176" t="s">
        <v>3190</v>
      </c>
      <c r="B125" s="177">
        <v>5.304533595E9</v>
      </c>
      <c r="C125" s="178"/>
      <c r="D125" s="179" t="s">
        <v>1602</v>
      </c>
      <c r="E125" s="188">
        <v>28.63</v>
      </c>
      <c r="F125" s="183">
        <v>46104.0</v>
      </c>
      <c r="G125" s="185" t="s">
        <v>8</v>
      </c>
      <c r="H125" s="185" t="s">
        <v>53</v>
      </c>
      <c r="I125" s="189"/>
    </row>
    <row r="126" ht="22.5" hidden="1" customHeight="1">
      <c r="A126" s="176" t="s">
        <v>3196</v>
      </c>
      <c r="B126" s="177" t="s">
        <v>362</v>
      </c>
      <c r="C126" s="178"/>
      <c r="D126" s="179" t="s">
        <v>1875</v>
      </c>
      <c r="E126" s="188">
        <v>-103.15</v>
      </c>
      <c r="F126" s="183">
        <v>46091.0</v>
      </c>
      <c r="G126" s="185" t="s">
        <v>9</v>
      </c>
      <c r="H126" s="185" t="s">
        <v>12</v>
      </c>
      <c r="I126" s="186" t="s">
        <v>3201</v>
      </c>
    </row>
    <row r="127" ht="22.5" hidden="1" customHeight="1">
      <c r="A127" s="193"/>
      <c r="B127" s="194"/>
      <c r="C127" s="195"/>
      <c r="D127" s="194"/>
      <c r="E127" s="196">
        <f>SUM(Table12[Order Earnings])</f>
        <v>505.28</v>
      </c>
      <c r="F127" s="193"/>
      <c r="G127" s="193"/>
      <c r="H127" s="193"/>
      <c r="I127" s="193"/>
    </row>
    <row r="128" hidden="1">
      <c r="A128" s="199"/>
      <c r="B128" s="200"/>
      <c r="C128" s="201"/>
      <c r="D128" s="200"/>
      <c r="E128" s="202"/>
      <c r="F128" s="199"/>
      <c r="G128" s="199"/>
      <c r="H128" s="199"/>
      <c r="I128" s="199"/>
    </row>
    <row r="129" hidden="1">
      <c r="A129" s="199"/>
      <c r="B129" s="200"/>
      <c r="C129" s="201"/>
      <c r="D129" s="203">
        <v>46105.0</v>
      </c>
      <c r="E129" s="202"/>
      <c r="F129" s="199"/>
      <c r="G129" s="199"/>
      <c r="H129" s="199"/>
      <c r="I129" s="199"/>
    </row>
    <row r="130" ht="22.5" hidden="1" customHeight="1">
      <c r="A130" s="206" t="s">
        <v>1467</v>
      </c>
      <c r="B130" s="206" t="s">
        <v>1477</v>
      </c>
      <c r="C130" s="175" t="s">
        <v>1478</v>
      </c>
      <c r="D130" s="206" t="s">
        <v>1479</v>
      </c>
      <c r="E130" s="206" t="s">
        <v>1481</v>
      </c>
      <c r="F130" s="206" t="s">
        <v>1483</v>
      </c>
      <c r="G130" s="206" t="s">
        <v>1484</v>
      </c>
      <c r="H130" s="206" t="s">
        <v>1486</v>
      </c>
      <c r="I130" s="206" t="s">
        <v>1489</v>
      </c>
    </row>
    <row r="131" ht="22.5" hidden="1" customHeight="1">
      <c r="A131" s="176" t="s">
        <v>3214</v>
      </c>
      <c r="B131" s="177" t="s">
        <v>195</v>
      </c>
      <c r="C131" s="178"/>
      <c r="D131" s="185" t="s">
        <v>1602</v>
      </c>
      <c r="E131" s="188">
        <v>69.64</v>
      </c>
      <c r="F131" s="183">
        <v>46105.0</v>
      </c>
      <c r="G131" s="185" t="s">
        <v>8</v>
      </c>
      <c r="H131" s="185" t="s">
        <v>53</v>
      </c>
      <c r="I131" s="186"/>
    </row>
    <row r="132" ht="22.5" hidden="1" customHeight="1">
      <c r="A132" s="176" t="s">
        <v>3215</v>
      </c>
      <c r="B132" s="177" t="s">
        <v>424</v>
      </c>
      <c r="C132" s="178"/>
      <c r="D132" s="185" t="s">
        <v>1602</v>
      </c>
      <c r="E132" s="188">
        <v>49.58</v>
      </c>
      <c r="F132" s="183">
        <v>46104.0</v>
      </c>
      <c r="G132" s="185" t="s">
        <v>8</v>
      </c>
      <c r="H132" s="185" t="s">
        <v>53</v>
      </c>
      <c r="I132" s="189"/>
    </row>
    <row r="133" ht="22.5" hidden="1" customHeight="1">
      <c r="A133" s="176" t="s">
        <v>3216</v>
      </c>
      <c r="B133" s="177" t="s">
        <v>251</v>
      </c>
      <c r="C133" s="178"/>
      <c r="D133" s="185" t="s">
        <v>1602</v>
      </c>
      <c r="E133" s="188">
        <v>164.24</v>
      </c>
      <c r="F133" s="183">
        <v>46104.0</v>
      </c>
      <c r="G133" s="185" t="s">
        <v>8</v>
      </c>
      <c r="H133" s="185" t="s">
        <v>53</v>
      </c>
      <c r="I133" s="189"/>
    </row>
    <row r="134" ht="22.5" hidden="1" customHeight="1">
      <c r="A134" s="176" t="s">
        <v>3217</v>
      </c>
      <c r="B134" s="177" t="s">
        <v>2186</v>
      </c>
      <c r="C134" s="178"/>
      <c r="D134" s="179" t="s">
        <v>1875</v>
      </c>
      <c r="E134" s="188">
        <v>-164.77</v>
      </c>
      <c r="F134" s="183">
        <v>46092.0</v>
      </c>
      <c r="G134" s="185" t="s">
        <v>9</v>
      </c>
      <c r="H134" s="185" t="s">
        <v>11</v>
      </c>
      <c r="I134" s="186" t="s">
        <v>3218</v>
      </c>
    </row>
    <row r="135" ht="22.5" hidden="1" customHeight="1">
      <c r="A135" s="176" t="s">
        <v>3219</v>
      </c>
      <c r="B135" s="177" t="s">
        <v>3220</v>
      </c>
      <c r="C135" s="178"/>
      <c r="D135" s="179" t="s">
        <v>1532</v>
      </c>
      <c r="E135" s="188"/>
      <c r="F135" s="183">
        <v>46105.0</v>
      </c>
      <c r="G135" s="185" t="s">
        <v>9</v>
      </c>
      <c r="H135" s="185" t="s">
        <v>11</v>
      </c>
      <c r="I135" s="186" t="s">
        <v>3221</v>
      </c>
    </row>
    <row r="136" ht="22.5" hidden="1" customHeight="1">
      <c r="A136" s="193"/>
      <c r="B136" s="194"/>
      <c r="C136" s="195"/>
      <c r="D136" s="194"/>
      <c r="E136" s="196">
        <f>SUM(Table13[Order Earnings])</f>
        <v>118.69</v>
      </c>
      <c r="F136" s="193"/>
      <c r="G136" s="193"/>
      <c r="H136" s="193"/>
      <c r="I136" s="193"/>
    </row>
    <row r="137" hidden="1">
      <c r="A137" s="199"/>
      <c r="B137" s="200"/>
      <c r="C137" s="201"/>
      <c r="D137" s="200"/>
      <c r="E137" s="202"/>
      <c r="F137" s="199"/>
      <c r="G137" s="199"/>
      <c r="H137" s="199"/>
      <c r="I137" s="199"/>
    </row>
    <row r="138" hidden="1">
      <c r="A138" s="199"/>
      <c r="B138" s="200"/>
      <c r="C138" s="201"/>
      <c r="D138" s="203">
        <v>46106.0</v>
      </c>
      <c r="E138" s="202"/>
      <c r="F138" s="199"/>
      <c r="G138" s="199"/>
      <c r="H138" s="199"/>
      <c r="I138" s="199"/>
    </row>
    <row r="139" ht="22.5" hidden="1" customHeight="1">
      <c r="A139" s="206" t="s">
        <v>1467</v>
      </c>
      <c r="B139" s="206" t="s">
        <v>1477</v>
      </c>
      <c r="C139" s="175" t="s">
        <v>1478</v>
      </c>
      <c r="D139" s="206" t="s">
        <v>1479</v>
      </c>
      <c r="E139" s="206" t="s">
        <v>1481</v>
      </c>
      <c r="F139" s="206" t="s">
        <v>1483</v>
      </c>
      <c r="G139" s="206" t="s">
        <v>1484</v>
      </c>
      <c r="H139" s="206" t="s">
        <v>1486</v>
      </c>
      <c r="I139" s="206" t="s">
        <v>1489</v>
      </c>
    </row>
    <row r="140" ht="22.5" hidden="1" customHeight="1">
      <c r="A140" s="176" t="s">
        <v>3222</v>
      </c>
      <c r="B140" s="177" t="s">
        <v>77</v>
      </c>
      <c r="C140" s="178"/>
      <c r="D140" s="179" t="s">
        <v>1875</v>
      </c>
      <c r="E140" s="188">
        <v>-14.66</v>
      </c>
      <c r="F140" s="183">
        <v>46087.0</v>
      </c>
      <c r="G140" s="185" t="s">
        <v>8</v>
      </c>
      <c r="H140" s="185" t="s">
        <v>11</v>
      </c>
      <c r="I140" s="186" t="s">
        <v>3201</v>
      </c>
    </row>
    <row r="141" ht="22.5" hidden="1" customHeight="1">
      <c r="A141" s="176" t="s">
        <v>3223</v>
      </c>
      <c r="B141" s="177" t="s">
        <v>940</v>
      </c>
      <c r="C141" s="178"/>
      <c r="D141" s="185" t="s">
        <v>1602</v>
      </c>
      <c r="E141" s="188">
        <v>20.61</v>
      </c>
      <c r="F141" s="183">
        <v>46106.0</v>
      </c>
      <c r="G141" s="185" t="s">
        <v>9</v>
      </c>
      <c r="H141" s="185" t="s">
        <v>11</v>
      </c>
      <c r="I141" s="189"/>
    </row>
    <row r="142" ht="22.5" hidden="1" customHeight="1">
      <c r="A142" s="176" t="s">
        <v>3224</v>
      </c>
      <c r="B142" s="177" t="s">
        <v>1676</v>
      </c>
      <c r="C142" s="178"/>
      <c r="D142" s="179" t="s">
        <v>1875</v>
      </c>
      <c r="E142" s="188">
        <v>-131.22</v>
      </c>
      <c r="F142" s="183">
        <v>46085.0</v>
      </c>
      <c r="G142" s="185" t="s">
        <v>9</v>
      </c>
      <c r="H142" s="185" t="s">
        <v>11</v>
      </c>
      <c r="I142" s="186" t="s">
        <v>3056</v>
      </c>
    </row>
    <row r="143" ht="22.5" hidden="1" customHeight="1">
      <c r="A143" s="176" t="s">
        <v>3225</v>
      </c>
      <c r="B143" s="177" t="s">
        <v>661</v>
      </c>
      <c r="C143" s="178"/>
      <c r="D143" s="179" t="s">
        <v>1602</v>
      </c>
      <c r="E143" s="188">
        <v>29.96</v>
      </c>
      <c r="F143" s="183">
        <v>46106.0</v>
      </c>
      <c r="G143" s="185" t="s">
        <v>9</v>
      </c>
      <c r="H143" s="185" t="s">
        <v>11</v>
      </c>
      <c r="I143" s="186"/>
    </row>
    <row r="144" ht="22.5" hidden="1" customHeight="1">
      <c r="A144" s="176" t="s">
        <v>3226</v>
      </c>
      <c r="B144" s="177" t="s">
        <v>2035</v>
      </c>
      <c r="C144" s="178"/>
      <c r="D144" s="179" t="s">
        <v>1875</v>
      </c>
      <c r="E144" s="188">
        <v>-44.24</v>
      </c>
      <c r="F144" s="183">
        <v>46100.0</v>
      </c>
      <c r="G144" s="185" t="s">
        <v>8</v>
      </c>
      <c r="H144" s="185" t="s">
        <v>11</v>
      </c>
      <c r="I144" s="186" t="s">
        <v>3056</v>
      </c>
    </row>
    <row r="145" ht="22.5" hidden="1" customHeight="1">
      <c r="A145" s="176" t="s">
        <v>3227</v>
      </c>
      <c r="B145" s="177" t="s">
        <v>1108</v>
      </c>
      <c r="C145" s="178"/>
      <c r="D145" s="179" t="s">
        <v>1602</v>
      </c>
      <c r="E145" s="188">
        <v>21.85</v>
      </c>
      <c r="F145" s="183">
        <v>46106.0</v>
      </c>
      <c r="G145" s="185" t="s">
        <v>9</v>
      </c>
      <c r="H145" s="185" t="s">
        <v>11</v>
      </c>
      <c r="I145" s="186"/>
    </row>
    <row r="146" ht="22.5" hidden="1" customHeight="1">
      <c r="A146" s="176" t="s">
        <v>3228</v>
      </c>
      <c r="B146" s="177" t="s">
        <v>3229</v>
      </c>
      <c r="C146" s="178"/>
      <c r="D146" s="179" t="s">
        <v>1532</v>
      </c>
      <c r="E146" s="188"/>
      <c r="F146" s="183">
        <v>46106.0</v>
      </c>
      <c r="G146" s="185" t="s">
        <v>9</v>
      </c>
      <c r="H146" s="185" t="s">
        <v>11</v>
      </c>
      <c r="I146" s="186" t="s">
        <v>3230</v>
      </c>
    </row>
    <row r="147" ht="22.5" hidden="1" customHeight="1">
      <c r="A147" s="193"/>
      <c r="B147" s="194"/>
      <c r="C147" s="195"/>
      <c r="D147" s="194"/>
      <c r="E147" s="196">
        <f>SUM(Table14[Order Earnings])</f>
        <v>-117.7</v>
      </c>
      <c r="F147" s="193"/>
      <c r="G147" s="193"/>
      <c r="H147" s="193"/>
      <c r="I147" s="193"/>
    </row>
    <row r="148" hidden="1">
      <c r="A148" s="199"/>
      <c r="B148" s="200"/>
      <c r="C148" s="201"/>
      <c r="D148" s="200"/>
      <c r="E148" s="202"/>
      <c r="F148" s="199"/>
      <c r="G148" s="199"/>
      <c r="H148" s="199"/>
      <c r="I148" s="199"/>
    </row>
    <row r="149" hidden="1">
      <c r="A149" s="199"/>
      <c r="B149" s="200"/>
      <c r="C149" s="201"/>
      <c r="D149" s="203">
        <v>46107.0</v>
      </c>
      <c r="E149" s="202"/>
      <c r="F149" s="199"/>
      <c r="G149" s="199"/>
      <c r="H149" s="199"/>
      <c r="I149" s="199"/>
    </row>
    <row r="150" ht="22.5" hidden="1" customHeight="1">
      <c r="A150" s="206" t="s">
        <v>1467</v>
      </c>
      <c r="B150" s="206" t="s">
        <v>1477</v>
      </c>
      <c r="C150" s="175" t="s">
        <v>1478</v>
      </c>
      <c r="D150" s="206" t="s">
        <v>1479</v>
      </c>
      <c r="E150" s="206" t="s">
        <v>1481</v>
      </c>
      <c r="F150" s="206" t="s">
        <v>1483</v>
      </c>
      <c r="G150" s="206" t="s">
        <v>1484</v>
      </c>
      <c r="H150" s="206" t="s">
        <v>1486</v>
      </c>
      <c r="I150" s="206" t="s">
        <v>1489</v>
      </c>
    </row>
    <row r="151" ht="22.5" hidden="1" customHeight="1">
      <c r="A151" s="176" t="s">
        <v>3231</v>
      </c>
      <c r="B151" s="177" t="s">
        <v>2500</v>
      </c>
      <c r="C151" s="178"/>
      <c r="D151" s="179" t="s">
        <v>1602</v>
      </c>
      <c r="E151" s="188">
        <v>33.23</v>
      </c>
      <c r="F151" s="183">
        <v>46106.0</v>
      </c>
      <c r="G151" s="185" t="s">
        <v>8</v>
      </c>
      <c r="H151" s="185" t="s">
        <v>12</v>
      </c>
      <c r="I151" s="186"/>
    </row>
    <row r="152" ht="22.5" hidden="1" customHeight="1">
      <c r="A152" s="176" t="s">
        <v>3232</v>
      </c>
      <c r="B152" s="177" t="s">
        <v>3233</v>
      </c>
      <c r="C152" s="178"/>
      <c r="D152" s="185" t="s">
        <v>1602</v>
      </c>
      <c r="E152" s="188">
        <v>43.49</v>
      </c>
      <c r="F152" s="183">
        <v>46106.0</v>
      </c>
      <c r="G152" s="185" t="s">
        <v>8</v>
      </c>
      <c r="H152" s="185" t="s">
        <v>11</v>
      </c>
      <c r="I152" s="189"/>
    </row>
    <row r="153" ht="22.5" hidden="1" customHeight="1">
      <c r="A153" s="176" t="s">
        <v>3234</v>
      </c>
      <c r="B153" s="177" t="s">
        <v>1739</v>
      </c>
      <c r="C153" s="178"/>
      <c r="D153" s="179" t="s">
        <v>1602</v>
      </c>
      <c r="E153" s="188">
        <v>20.05</v>
      </c>
      <c r="F153" s="183">
        <v>46107.0</v>
      </c>
      <c r="G153" s="185" t="s">
        <v>8</v>
      </c>
      <c r="H153" s="185" t="s">
        <v>12</v>
      </c>
      <c r="I153" s="186"/>
    </row>
    <row r="154" ht="22.5" hidden="1" customHeight="1">
      <c r="A154" s="176" t="s">
        <v>3235</v>
      </c>
      <c r="B154" s="177" t="s">
        <v>195</v>
      </c>
      <c r="C154" s="178"/>
      <c r="D154" s="179" t="s">
        <v>1602</v>
      </c>
      <c r="E154" s="188">
        <v>60.34</v>
      </c>
      <c r="F154" s="183">
        <v>46107.0</v>
      </c>
      <c r="G154" s="185" t="s">
        <v>8</v>
      </c>
      <c r="H154" s="185" t="s">
        <v>53</v>
      </c>
      <c r="I154" s="186"/>
    </row>
    <row r="155" ht="22.5" hidden="1" customHeight="1">
      <c r="A155" s="176" t="s">
        <v>3236</v>
      </c>
      <c r="B155" s="177" t="s">
        <v>1160</v>
      </c>
      <c r="C155" s="178"/>
      <c r="D155" s="179" t="s">
        <v>1602</v>
      </c>
      <c r="E155" s="188">
        <v>37.31</v>
      </c>
      <c r="F155" s="183">
        <v>46107.0</v>
      </c>
      <c r="G155" s="185" t="s">
        <v>8</v>
      </c>
      <c r="H155" s="185" t="s">
        <v>11</v>
      </c>
      <c r="I155" s="186"/>
    </row>
    <row r="156" ht="22.5" hidden="1" customHeight="1">
      <c r="A156" s="193"/>
      <c r="B156" s="194"/>
      <c r="C156" s="195"/>
      <c r="D156" s="194"/>
      <c r="E156" s="196">
        <f>SUM(Table15[Order Earnings])</f>
        <v>194.42</v>
      </c>
      <c r="F156" s="193"/>
      <c r="G156" s="193"/>
      <c r="H156" s="193"/>
      <c r="I156" s="193"/>
    </row>
    <row r="157" hidden="1">
      <c r="A157" s="199"/>
      <c r="B157" s="200"/>
      <c r="C157" s="201"/>
      <c r="D157" s="200"/>
      <c r="E157" s="202"/>
      <c r="F157" s="199"/>
      <c r="G157" s="199"/>
      <c r="H157" s="199"/>
      <c r="I157" s="199"/>
    </row>
    <row r="158" hidden="1">
      <c r="A158" s="199"/>
      <c r="B158" s="200"/>
      <c r="C158" s="201"/>
      <c r="D158" s="203">
        <v>46108.0</v>
      </c>
      <c r="E158" s="202"/>
      <c r="F158" s="199"/>
      <c r="G158" s="199"/>
      <c r="H158" s="199"/>
      <c r="I158" s="199"/>
    </row>
    <row r="159" ht="22.5" hidden="1" customHeight="1">
      <c r="A159" s="206" t="s">
        <v>1467</v>
      </c>
      <c r="B159" s="206" t="s">
        <v>1477</v>
      </c>
      <c r="C159" s="175" t="s">
        <v>1478</v>
      </c>
      <c r="D159" s="206" t="s">
        <v>1479</v>
      </c>
      <c r="E159" s="206" t="s">
        <v>1481</v>
      </c>
      <c r="F159" s="206" t="s">
        <v>1483</v>
      </c>
      <c r="G159" s="206" t="s">
        <v>1484</v>
      </c>
      <c r="H159" s="206" t="s">
        <v>1486</v>
      </c>
      <c r="I159" s="206" t="s">
        <v>1489</v>
      </c>
    </row>
    <row r="160" ht="22.5" hidden="1" customHeight="1">
      <c r="A160" s="176" t="s">
        <v>3237</v>
      </c>
      <c r="B160" s="177" t="s">
        <v>3238</v>
      </c>
      <c r="C160" s="178"/>
      <c r="D160" s="179" t="s">
        <v>1602</v>
      </c>
      <c r="E160" s="188">
        <v>84.12</v>
      </c>
      <c r="F160" s="183">
        <v>46108.0</v>
      </c>
      <c r="G160" s="185" t="s">
        <v>9</v>
      </c>
      <c r="H160" s="185" t="s">
        <v>11</v>
      </c>
      <c r="I160" s="186"/>
    </row>
    <row r="161" ht="22.5" hidden="1" customHeight="1">
      <c r="A161" s="176" t="s">
        <v>3239</v>
      </c>
      <c r="B161" s="177" t="s">
        <v>67</v>
      </c>
      <c r="C161" s="178"/>
      <c r="D161" s="185" t="s">
        <v>1602</v>
      </c>
      <c r="E161" s="188">
        <v>46.94</v>
      </c>
      <c r="F161" s="183">
        <v>46108.0</v>
      </c>
      <c r="G161" s="185" t="s">
        <v>8</v>
      </c>
      <c r="H161" s="185" t="s">
        <v>53</v>
      </c>
      <c r="I161" s="189"/>
    </row>
    <row r="162" ht="22.5" hidden="1" customHeight="1">
      <c r="A162" s="176" t="s">
        <v>3240</v>
      </c>
      <c r="B162" s="177" t="s">
        <v>3241</v>
      </c>
      <c r="C162" s="178"/>
      <c r="D162" s="179" t="s">
        <v>1602</v>
      </c>
      <c r="E162" s="188">
        <v>62.18</v>
      </c>
      <c r="F162" s="183">
        <v>46108.0</v>
      </c>
      <c r="G162" s="185" t="s">
        <v>8</v>
      </c>
      <c r="H162" s="185" t="s">
        <v>11</v>
      </c>
      <c r="I162" s="186"/>
    </row>
    <row r="163" ht="22.5" hidden="1" customHeight="1">
      <c r="A163" s="176" t="s">
        <v>3242</v>
      </c>
      <c r="B163" s="177" t="s">
        <v>966</v>
      </c>
      <c r="C163" s="178"/>
      <c r="D163" s="179" t="s">
        <v>1602</v>
      </c>
      <c r="E163" s="188">
        <v>112.93</v>
      </c>
      <c r="F163" s="183">
        <v>46107.0</v>
      </c>
      <c r="G163" s="185" t="s">
        <v>8</v>
      </c>
      <c r="H163" s="185" t="s">
        <v>12</v>
      </c>
      <c r="I163" s="186"/>
    </row>
    <row r="164" ht="22.5" hidden="1" customHeight="1">
      <c r="A164" s="176" t="s">
        <v>3243</v>
      </c>
      <c r="B164" s="177" t="s">
        <v>49</v>
      </c>
      <c r="C164" s="178"/>
      <c r="D164" s="179" t="s">
        <v>1602</v>
      </c>
      <c r="E164" s="188">
        <v>50.02</v>
      </c>
      <c r="F164" s="183">
        <v>46108.0</v>
      </c>
      <c r="G164" s="185" t="s">
        <v>8</v>
      </c>
      <c r="H164" s="185" t="s">
        <v>12</v>
      </c>
      <c r="I164" s="186"/>
    </row>
    <row r="165" ht="22.5" hidden="1" customHeight="1">
      <c r="A165" s="176" t="s">
        <v>3244</v>
      </c>
      <c r="B165" s="177" t="s">
        <v>236</v>
      </c>
      <c r="C165" s="178"/>
      <c r="D165" s="179" t="s">
        <v>1602</v>
      </c>
      <c r="E165" s="188">
        <v>53.01</v>
      </c>
      <c r="F165" s="183">
        <v>46108.0</v>
      </c>
      <c r="G165" s="185" t="s">
        <v>8</v>
      </c>
      <c r="H165" s="185" t="s">
        <v>53</v>
      </c>
      <c r="I165" s="186"/>
    </row>
    <row r="166" ht="22.5" hidden="1" customHeight="1">
      <c r="A166" s="176" t="s">
        <v>3245</v>
      </c>
      <c r="B166" s="177" t="s">
        <v>3246</v>
      </c>
      <c r="C166" s="178"/>
      <c r="D166" s="179" t="s">
        <v>1602</v>
      </c>
      <c r="E166" s="188">
        <v>29.73</v>
      </c>
      <c r="F166" s="183">
        <v>46108.0</v>
      </c>
      <c r="G166" s="185" t="s">
        <v>8</v>
      </c>
      <c r="H166" s="185" t="s">
        <v>12</v>
      </c>
      <c r="I166" s="186"/>
    </row>
    <row r="167" ht="22.5" hidden="1" customHeight="1">
      <c r="A167" s="193"/>
      <c r="B167" s="194"/>
      <c r="C167" s="195"/>
      <c r="D167" s="194"/>
      <c r="E167" s="196">
        <f>SUM(Table16[Order Earnings])</f>
        <v>438.93</v>
      </c>
      <c r="F167" s="193"/>
      <c r="G167" s="193"/>
      <c r="H167" s="193"/>
      <c r="I167" s="193"/>
    </row>
    <row r="168" hidden="1">
      <c r="A168" s="199"/>
      <c r="B168" s="200"/>
      <c r="C168" s="201"/>
      <c r="D168" s="200"/>
      <c r="E168" s="202"/>
      <c r="F168" s="199"/>
      <c r="G168" s="199"/>
      <c r="H168" s="199"/>
      <c r="I168" s="199"/>
    </row>
    <row r="169" hidden="1">
      <c r="A169" s="199"/>
      <c r="B169" s="200"/>
      <c r="C169" s="201"/>
      <c r="D169" s="203">
        <v>46111.0</v>
      </c>
      <c r="E169" s="202"/>
      <c r="F169" s="199"/>
      <c r="G169" s="199"/>
      <c r="H169" s="199"/>
      <c r="I169" s="199"/>
    </row>
    <row r="170" ht="22.5" hidden="1" customHeight="1">
      <c r="A170" s="206" t="s">
        <v>1467</v>
      </c>
      <c r="B170" s="206" t="s">
        <v>1477</v>
      </c>
      <c r="C170" s="175" t="s">
        <v>1478</v>
      </c>
      <c r="D170" s="206" t="s">
        <v>1479</v>
      </c>
      <c r="E170" s="206" t="s">
        <v>1481</v>
      </c>
      <c r="F170" s="206" t="s">
        <v>1483</v>
      </c>
      <c r="G170" s="206" t="s">
        <v>1484</v>
      </c>
      <c r="H170" s="206" t="s">
        <v>1486</v>
      </c>
      <c r="I170" s="206" t="s">
        <v>1489</v>
      </c>
    </row>
    <row r="171" ht="22.5" hidden="1" customHeight="1">
      <c r="A171" s="176" t="s">
        <v>3247</v>
      </c>
      <c r="B171" s="177" t="s">
        <v>3248</v>
      </c>
      <c r="C171" s="178"/>
      <c r="D171" s="179" t="s">
        <v>1602</v>
      </c>
      <c r="E171" s="188">
        <v>15.54</v>
      </c>
      <c r="F171" s="183">
        <v>46111.0</v>
      </c>
      <c r="G171" s="185" t="s">
        <v>9</v>
      </c>
      <c r="H171" s="185" t="s">
        <v>12</v>
      </c>
      <c r="I171" s="186"/>
    </row>
    <row r="172" ht="22.5" hidden="1" customHeight="1">
      <c r="A172" s="291" t="s">
        <v>3249</v>
      </c>
      <c r="B172" s="177" t="s">
        <v>526</v>
      </c>
      <c r="C172" s="178"/>
      <c r="D172" s="185" t="s">
        <v>1532</v>
      </c>
      <c r="E172" s="188"/>
      <c r="F172" s="183">
        <v>46109.0</v>
      </c>
      <c r="G172" s="185" t="s">
        <v>9</v>
      </c>
      <c r="H172" s="185" t="s">
        <v>11</v>
      </c>
      <c r="I172" s="313" t="s">
        <v>3250</v>
      </c>
    </row>
    <row r="173" ht="22.5" hidden="1" customHeight="1">
      <c r="A173" s="176" t="s">
        <v>3251</v>
      </c>
      <c r="B173" s="177" t="s">
        <v>295</v>
      </c>
      <c r="C173" s="178"/>
      <c r="D173" s="179" t="s">
        <v>1602</v>
      </c>
      <c r="E173" s="188">
        <v>14.71</v>
      </c>
      <c r="F173" s="183">
        <v>46111.0</v>
      </c>
      <c r="G173" s="185" t="s">
        <v>9</v>
      </c>
      <c r="H173" s="185" t="s">
        <v>11</v>
      </c>
      <c r="I173" s="186"/>
    </row>
    <row r="174" ht="22.5" hidden="1" customHeight="1">
      <c r="A174" s="176" t="s">
        <v>3252</v>
      </c>
      <c r="B174" s="177" t="s">
        <v>492</v>
      </c>
      <c r="C174" s="178"/>
      <c r="D174" s="179" t="s">
        <v>1602</v>
      </c>
      <c r="E174" s="188">
        <v>31.58</v>
      </c>
      <c r="F174" s="183">
        <v>46108.0</v>
      </c>
      <c r="G174" s="185" t="s">
        <v>8</v>
      </c>
      <c r="H174" s="185" t="s">
        <v>12</v>
      </c>
      <c r="I174" s="186"/>
    </row>
    <row r="175" ht="22.5" hidden="1" customHeight="1">
      <c r="A175" s="176" t="s">
        <v>3253</v>
      </c>
      <c r="B175" s="177" t="s">
        <v>3254</v>
      </c>
      <c r="C175" s="178"/>
      <c r="D175" s="179" t="s">
        <v>1602</v>
      </c>
      <c r="E175" s="188">
        <v>33.21</v>
      </c>
      <c r="F175" s="183">
        <v>46110.0</v>
      </c>
      <c r="G175" s="185" t="s">
        <v>8</v>
      </c>
      <c r="H175" s="185" t="s">
        <v>53</v>
      </c>
      <c r="I175" s="186"/>
    </row>
    <row r="176" ht="22.5" hidden="1" customHeight="1">
      <c r="A176" s="176" t="s">
        <v>3255</v>
      </c>
      <c r="B176" s="177" t="s">
        <v>408</v>
      </c>
      <c r="C176" s="178"/>
      <c r="D176" s="179" t="s">
        <v>1602</v>
      </c>
      <c r="E176" s="188">
        <v>181.13</v>
      </c>
      <c r="F176" s="183">
        <v>46111.0</v>
      </c>
      <c r="G176" s="185" t="s">
        <v>8</v>
      </c>
      <c r="H176" s="185" t="s">
        <v>53</v>
      </c>
      <c r="I176" s="186"/>
    </row>
    <row r="177" ht="22.5" hidden="1" customHeight="1">
      <c r="A177" s="176" t="s">
        <v>3256</v>
      </c>
      <c r="B177" s="177" t="s">
        <v>261</v>
      </c>
      <c r="C177" s="178"/>
      <c r="D177" s="179" t="s">
        <v>1602</v>
      </c>
      <c r="E177" s="188">
        <v>76.36</v>
      </c>
      <c r="F177" s="183">
        <v>46109.0</v>
      </c>
      <c r="G177" s="185" t="s">
        <v>8</v>
      </c>
      <c r="H177" s="185" t="s">
        <v>53</v>
      </c>
      <c r="I177" s="186"/>
    </row>
    <row r="178" ht="22.5" hidden="1" customHeight="1">
      <c r="A178" s="176" t="s">
        <v>3257</v>
      </c>
      <c r="B178" s="177" t="s">
        <v>195</v>
      </c>
      <c r="C178" s="178"/>
      <c r="D178" s="179" t="s">
        <v>1602</v>
      </c>
      <c r="E178" s="188">
        <v>61.12</v>
      </c>
      <c r="F178" s="183">
        <v>46109.0</v>
      </c>
      <c r="G178" s="185" t="s">
        <v>8</v>
      </c>
      <c r="H178" s="185" t="s">
        <v>53</v>
      </c>
      <c r="I178" s="186"/>
    </row>
    <row r="179" ht="22.5" hidden="1" customHeight="1">
      <c r="A179" s="176" t="s">
        <v>3258</v>
      </c>
      <c r="B179" s="177">
        <v>1.195776E7</v>
      </c>
      <c r="C179" s="178"/>
      <c r="D179" s="179" t="s">
        <v>1602</v>
      </c>
      <c r="E179" s="188">
        <v>96.82</v>
      </c>
      <c r="F179" s="183">
        <v>46111.0</v>
      </c>
      <c r="G179" s="185" t="s">
        <v>9</v>
      </c>
      <c r="H179" s="185" t="s">
        <v>12</v>
      </c>
      <c r="I179" s="186"/>
    </row>
    <row r="180" ht="22.5" hidden="1" customHeight="1">
      <c r="A180" s="193"/>
      <c r="B180" s="194"/>
      <c r="C180" s="195"/>
      <c r="D180" s="194"/>
      <c r="E180" s="196">
        <f>SUM(Table17[Order Earnings])</f>
        <v>510.47</v>
      </c>
      <c r="F180" s="193"/>
      <c r="G180" s="193"/>
      <c r="H180" s="193"/>
      <c r="I180" s="193"/>
    </row>
    <row r="181" hidden="1">
      <c r="A181" s="199"/>
      <c r="B181" s="200"/>
      <c r="C181" s="201"/>
      <c r="D181" s="200"/>
      <c r="E181" s="202"/>
      <c r="F181" s="199"/>
      <c r="G181" s="199"/>
      <c r="H181" s="199"/>
      <c r="I181" s="199"/>
    </row>
    <row r="182" hidden="1">
      <c r="A182" s="199"/>
      <c r="B182" s="200"/>
      <c r="C182" s="201"/>
      <c r="D182" s="203">
        <v>46112.0</v>
      </c>
      <c r="E182" s="202"/>
      <c r="F182" s="199"/>
      <c r="G182" s="199"/>
      <c r="H182" s="199"/>
      <c r="I182" s="199"/>
    </row>
    <row r="183" ht="22.5" hidden="1" customHeight="1">
      <c r="A183" s="206" t="s">
        <v>1467</v>
      </c>
      <c r="B183" s="206" t="s">
        <v>1477</v>
      </c>
      <c r="C183" s="175" t="s">
        <v>1478</v>
      </c>
      <c r="D183" s="206" t="s">
        <v>1479</v>
      </c>
      <c r="E183" s="206" t="s">
        <v>1481</v>
      </c>
      <c r="F183" s="206" t="s">
        <v>1483</v>
      </c>
      <c r="G183" s="206" t="s">
        <v>1484</v>
      </c>
      <c r="H183" s="206" t="s">
        <v>1486</v>
      </c>
      <c r="I183" s="206" t="s">
        <v>1489</v>
      </c>
    </row>
    <row r="184" ht="22.5" hidden="1" customHeight="1">
      <c r="A184" s="176" t="s">
        <v>3259</v>
      </c>
      <c r="B184" s="177" t="s">
        <v>3260</v>
      </c>
      <c r="C184" s="178"/>
      <c r="D184" s="179" t="s">
        <v>1602</v>
      </c>
      <c r="E184" s="188">
        <v>37.78</v>
      </c>
      <c r="F184" s="183">
        <v>46112.0</v>
      </c>
      <c r="G184" s="185" t="s">
        <v>8</v>
      </c>
      <c r="H184" s="185" t="s">
        <v>12</v>
      </c>
      <c r="I184" s="186"/>
    </row>
    <row r="185" ht="22.5" hidden="1" customHeight="1">
      <c r="A185" s="291" t="s">
        <v>3261</v>
      </c>
      <c r="B185" s="177" t="s">
        <v>1096</v>
      </c>
      <c r="C185" s="178"/>
      <c r="D185" s="185" t="s">
        <v>1875</v>
      </c>
      <c r="E185" s="188">
        <v>-24.03</v>
      </c>
      <c r="F185" s="183">
        <v>46099.0</v>
      </c>
      <c r="G185" s="185" t="s">
        <v>9</v>
      </c>
      <c r="H185" s="185" t="s">
        <v>11</v>
      </c>
      <c r="I185" s="313" t="s">
        <v>3262</v>
      </c>
    </row>
    <row r="186" ht="22.5" hidden="1" customHeight="1">
      <c r="A186" s="176" t="s">
        <v>3263</v>
      </c>
      <c r="B186" s="177" t="s">
        <v>478</v>
      </c>
      <c r="C186" s="178"/>
      <c r="D186" s="185" t="s">
        <v>1875</v>
      </c>
      <c r="E186" s="188">
        <v>-84.68</v>
      </c>
      <c r="F186" s="183">
        <v>46099.0</v>
      </c>
      <c r="G186" s="185" t="s">
        <v>8</v>
      </c>
      <c r="H186" s="185" t="s">
        <v>12</v>
      </c>
      <c r="I186" s="313" t="s">
        <v>3264</v>
      </c>
    </row>
    <row r="187" ht="22.5" hidden="1" customHeight="1">
      <c r="A187" s="176" t="s">
        <v>3265</v>
      </c>
      <c r="B187" s="177" t="s">
        <v>3266</v>
      </c>
      <c r="C187" s="178"/>
      <c r="D187" s="179" t="s">
        <v>1602</v>
      </c>
      <c r="E187" s="188">
        <v>14.61</v>
      </c>
      <c r="F187" s="183">
        <v>46112.0</v>
      </c>
      <c r="G187" s="185" t="s">
        <v>9</v>
      </c>
      <c r="H187" s="185" t="s">
        <v>11</v>
      </c>
      <c r="I187" s="186"/>
    </row>
    <row r="188" ht="22.5" hidden="1" customHeight="1">
      <c r="A188" s="193"/>
      <c r="B188" s="194"/>
      <c r="C188" s="195"/>
      <c r="D188" s="194"/>
      <c r="E188" s="196">
        <f>SUM(Table18[Order Earnings])</f>
        <v>-56.32</v>
      </c>
      <c r="F188" s="193"/>
      <c r="G188" s="193"/>
      <c r="H188" s="193"/>
      <c r="I188" s="193"/>
    </row>
    <row r="189" hidden="1">
      <c r="A189" s="199"/>
      <c r="B189" s="200"/>
      <c r="C189" s="201"/>
      <c r="D189" s="200"/>
      <c r="E189" s="202"/>
      <c r="F189" s="199"/>
      <c r="G189" s="199"/>
      <c r="H189" s="199"/>
      <c r="I189" s="199"/>
    </row>
    <row r="190" hidden="1">
      <c r="A190" s="199"/>
      <c r="B190" s="200"/>
      <c r="C190" s="201"/>
      <c r="D190" s="203">
        <v>46113.0</v>
      </c>
      <c r="E190" s="202"/>
      <c r="F190" s="199"/>
      <c r="G190" s="199"/>
      <c r="H190" s="199"/>
      <c r="I190" s="199"/>
    </row>
    <row r="191" ht="22.5" hidden="1" customHeight="1">
      <c r="A191" s="206" t="s">
        <v>1467</v>
      </c>
      <c r="B191" s="206" t="s">
        <v>1477</v>
      </c>
      <c r="C191" s="175" t="s">
        <v>1478</v>
      </c>
      <c r="D191" s="206" t="s">
        <v>1479</v>
      </c>
      <c r="E191" s="206" t="s">
        <v>1481</v>
      </c>
      <c r="F191" s="206" t="s">
        <v>1483</v>
      </c>
      <c r="G191" s="206" t="s">
        <v>1484</v>
      </c>
      <c r="H191" s="206" t="s">
        <v>1486</v>
      </c>
      <c r="I191" s="206" t="s">
        <v>1489</v>
      </c>
    </row>
    <row r="192" ht="22.5" hidden="1" customHeight="1">
      <c r="A192" s="176" t="s">
        <v>3267</v>
      </c>
      <c r="B192" s="177" t="s">
        <v>3268</v>
      </c>
      <c r="C192" s="178"/>
      <c r="D192" s="179" t="s">
        <v>1602</v>
      </c>
      <c r="E192" s="188">
        <v>57.48</v>
      </c>
      <c r="F192" s="183">
        <v>46112.0</v>
      </c>
      <c r="G192" s="185" t="s">
        <v>9</v>
      </c>
      <c r="H192" s="185" t="s">
        <v>12</v>
      </c>
      <c r="I192" s="186"/>
    </row>
    <row r="193" ht="22.5" hidden="1" customHeight="1">
      <c r="A193" s="176" t="s">
        <v>3269</v>
      </c>
      <c r="B193" s="177" t="s">
        <v>539</v>
      </c>
      <c r="C193" s="178"/>
      <c r="D193" s="185" t="s">
        <v>1602</v>
      </c>
      <c r="E193" s="188">
        <v>22.77</v>
      </c>
      <c r="F193" s="183">
        <v>46112.0</v>
      </c>
      <c r="G193" s="185" t="s">
        <v>8</v>
      </c>
      <c r="H193" s="185" t="s">
        <v>12</v>
      </c>
      <c r="I193" s="313"/>
    </row>
    <row r="194" ht="22.5" hidden="1" customHeight="1">
      <c r="A194" s="176" t="s">
        <v>3270</v>
      </c>
      <c r="B194" s="177" t="s">
        <v>3271</v>
      </c>
      <c r="C194" s="178"/>
      <c r="D194" s="185" t="s">
        <v>1532</v>
      </c>
      <c r="E194" s="188"/>
      <c r="F194" s="183">
        <v>46113.0</v>
      </c>
      <c r="G194" s="185" t="s">
        <v>8</v>
      </c>
      <c r="H194" s="185" t="s">
        <v>11</v>
      </c>
      <c r="I194" s="313" t="s">
        <v>3250</v>
      </c>
    </row>
    <row r="195" ht="22.5" hidden="1" customHeight="1">
      <c r="A195" s="176" t="s">
        <v>3272</v>
      </c>
      <c r="B195" s="177" t="s">
        <v>3273</v>
      </c>
      <c r="C195" s="178"/>
      <c r="D195" s="179" t="s">
        <v>1602</v>
      </c>
      <c r="E195" s="188">
        <v>35.52</v>
      </c>
      <c r="F195" s="183">
        <v>46112.0</v>
      </c>
      <c r="G195" s="185" t="s">
        <v>8</v>
      </c>
      <c r="H195" s="185" t="s">
        <v>11</v>
      </c>
      <c r="I195" s="186"/>
    </row>
    <row r="196" ht="22.5" hidden="1" customHeight="1">
      <c r="A196" s="176" t="s">
        <v>3274</v>
      </c>
      <c r="B196" s="177">
        <v>1.1473117E7</v>
      </c>
      <c r="C196" s="178"/>
      <c r="D196" s="179" t="s">
        <v>1602</v>
      </c>
      <c r="E196" s="188">
        <v>21.45</v>
      </c>
      <c r="F196" s="183">
        <v>46112.0</v>
      </c>
      <c r="G196" s="185" t="s">
        <v>9</v>
      </c>
      <c r="H196" s="185" t="s">
        <v>11</v>
      </c>
      <c r="I196" s="186"/>
    </row>
    <row r="197" ht="22.5" hidden="1" customHeight="1">
      <c r="A197" s="176" t="s">
        <v>3275</v>
      </c>
      <c r="B197" s="177" t="s">
        <v>3276</v>
      </c>
      <c r="C197" s="211">
        <v>2.0</v>
      </c>
      <c r="D197" s="179" t="s">
        <v>1602</v>
      </c>
      <c r="E197" s="188">
        <v>31.15</v>
      </c>
      <c r="F197" s="183">
        <v>46112.0</v>
      </c>
      <c r="G197" s="185" t="s">
        <v>9</v>
      </c>
      <c r="H197" s="185" t="s">
        <v>11</v>
      </c>
      <c r="I197" s="186"/>
    </row>
    <row r="198" ht="22.5" hidden="1" customHeight="1">
      <c r="A198" s="176" t="s">
        <v>3277</v>
      </c>
      <c r="B198" s="177" t="s">
        <v>3278</v>
      </c>
      <c r="C198" s="178"/>
      <c r="D198" s="179" t="s">
        <v>1602</v>
      </c>
      <c r="E198" s="188">
        <v>23.01</v>
      </c>
      <c r="F198" s="183">
        <v>46112.0</v>
      </c>
      <c r="G198" s="185" t="s">
        <v>9</v>
      </c>
      <c r="H198" s="185" t="s">
        <v>11</v>
      </c>
      <c r="I198" s="186"/>
    </row>
    <row r="199" ht="22.5" hidden="1" customHeight="1">
      <c r="A199" s="176" t="s">
        <v>3279</v>
      </c>
      <c r="B199" s="177" t="s">
        <v>3280</v>
      </c>
      <c r="C199" s="211">
        <v>2.0</v>
      </c>
      <c r="D199" s="179" t="s">
        <v>1602</v>
      </c>
      <c r="E199" s="188">
        <v>14.57</v>
      </c>
      <c r="F199" s="183">
        <v>46112.0</v>
      </c>
      <c r="G199" s="185" t="s">
        <v>9</v>
      </c>
      <c r="H199" s="185" t="s">
        <v>11</v>
      </c>
      <c r="I199" s="186" t="s">
        <v>3281</v>
      </c>
    </row>
    <row r="200" ht="22.5" hidden="1" customHeight="1">
      <c r="A200" s="176" t="s">
        <v>3282</v>
      </c>
      <c r="B200" s="177">
        <v>5.304513303E9</v>
      </c>
      <c r="C200" s="211"/>
      <c r="D200" s="179" t="s">
        <v>1602</v>
      </c>
      <c r="E200" s="188">
        <v>101.95</v>
      </c>
      <c r="F200" s="183">
        <v>46113.0</v>
      </c>
      <c r="G200" s="185" t="s">
        <v>8</v>
      </c>
      <c r="H200" s="185" t="s">
        <v>11</v>
      </c>
      <c r="I200" s="186"/>
    </row>
    <row r="201" ht="22.5" hidden="1" customHeight="1">
      <c r="A201" s="176" t="s">
        <v>3283</v>
      </c>
      <c r="B201" s="177">
        <v>5.304533595E9</v>
      </c>
      <c r="C201" s="178"/>
      <c r="D201" s="179" t="s">
        <v>1875</v>
      </c>
      <c r="E201" s="188">
        <v>-28.63</v>
      </c>
      <c r="F201" s="183">
        <v>46104.0</v>
      </c>
      <c r="G201" s="185" t="s">
        <v>8</v>
      </c>
      <c r="H201" s="185" t="s">
        <v>53</v>
      </c>
      <c r="I201" s="186" t="s">
        <v>3056</v>
      </c>
    </row>
    <row r="202" ht="22.5" hidden="1" customHeight="1">
      <c r="A202" s="193"/>
      <c r="B202" s="194"/>
      <c r="C202" s="195"/>
      <c r="D202" s="194"/>
      <c r="E202" s="196">
        <f>SUM(Table19[Order Earnings])</f>
        <v>279.27</v>
      </c>
      <c r="F202" s="193"/>
      <c r="G202" s="193"/>
      <c r="H202" s="193"/>
      <c r="I202" s="193"/>
    </row>
    <row r="203" hidden="1">
      <c r="A203" s="199"/>
      <c r="B203" s="200"/>
      <c r="C203" s="201"/>
      <c r="D203" s="200"/>
      <c r="E203" s="202"/>
      <c r="F203" s="199"/>
      <c r="G203" s="199"/>
      <c r="H203" s="199"/>
      <c r="I203" s="199"/>
    </row>
    <row r="204" hidden="1">
      <c r="A204" s="199"/>
      <c r="B204" s="200"/>
      <c r="C204" s="201"/>
      <c r="D204" s="203">
        <v>46114.0</v>
      </c>
      <c r="E204" s="202"/>
      <c r="F204" s="199"/>
      <c r="G204" s="199"/>
      <c r="H204" s="199"/>
      <c r="I204" s="199"/>
    </row>
    <row r="205" ht="22.5" hidden="1" customHeight="1">
      <c r="A205" s="206" t="s">
        <v>1467</v>
      </c>
      <c r="B205" s="206" t="s">
        <v>1477</v>
      </c>
      <c r="C205" s="175" t="s">
        <v>1478</v>
      </c>
      <c r="D205" s="206" t="s">
        <v>1479</v>
      </c>
      <c r="E205" s="206" t="s">
        <v>1481</v>
      </c>
      <c r="F205" s="206" t="s">
        <v>1483</v>
      </c>
      <c r="G205" s="206" t="s">
        <v>1484</v>
      </c>
      <c r="H205" s="206" t="s">
        <v>1486</v>
      </c>
      <c r="I205" s="206" t="s">
        <v>1489</v>
      </c>
    </row>
    <row r="206" ht="22.5" hidden="1" customHeight="1">
      <c r="A206" s="176" t="s">
        <v>3284</v>
      </c>
      <c r="B206" s="177" t="s">
        <v>54</v>
      </c>
      <c r="C206" s="178"/>
      <c r="D206" s="179" t="s">
        <v>1602</v>
      </c>
      <c r="E206" s="188">
        <v>18.28</v>
      </c>
      <c r="F206" s="183">
        <v>46114.0</v>
      </c>
      <c r="G206" s="185" t="s">
        <v>9</v>
      </c>
      <c r="H206" s="185" t="s">
        <v>12</v>
      </c>
      <c r="I206" s="186"/>
    </row>
    <row r="207" ht="22.5" hidden="1" customHeight="1">
      <c r="A207" s="176" t="s">
        <v>3285</v>
      </c>
      <c r="B207" s="177" t="s">
        <v>720</v>
      </c>
      <c r="C207" s="178"/>
      <c r="D207" s="185" t="s">
        <v>1602</v>
      </c>
      <c r="E207" s="188">
        <v>23.79</v>
      </c>
      <c r="F207" s="183">
        <v>46114.0</v>
      </c>
      <c r="G207" s="185" t="s">
        <v>9</v>
      </c>
      <c r="H207" s="185" t="s">
        <v>12</v>
      </c>
      <c r="I207" s="313"/>
    </row>
    <row r="208" ht="22.5" hidden="1" customHeight="1">
      <c r="A208" s="176" t="s">
        <v>3286</v>
      </c>
      <c r="B208" s="177" t="s">
        <v>3287</v>
      </c>
      <c r="C208" s="178"/>
      <c r="D208" s="185" t="s">
        <v>1602</v>
      </c>
      <c r="E208" s="188">
        <v>14.88</v>
      </c>
      <c r="F208" s="183">
        <v>46114.0</v>
      </c>
      <c r="G208" s="185" t="s">
        <v>9</v>
      </c>
      <c r="H208" s="185" t="s">
        <v>11</v>
      </c>
      <c r="I208" s="313"/>
    </row>
    <row r="209" ht="22.5" hidden="1" customHeight="1">
      <c r="A209" s="193"/>
      <c r="B209" s="194"/>
      <c r="C209" s="195"/>
      <c r="D209" s="194"/>
      <c r="E209" s="196">
        <f>SUM(Table20[Order Earnings])</f>
        <v>56.95</v>
      </c>
      <c r="F209" s="193"/>
      <c r="G209" s="193"/>
      <c r="H209" s="193"/>
      <c r="I209" s="193"/>
    </row>
    <row r="210" hidden="1">
      <c r="A210" s="199"/>
      <c r="B210" s="200"/>
      <c r="C210" s="201"/>
      <c r="D210" s="200"/>
      <c r="E210" s="202"/>
      <c r="F210" s="199"/>
      <c r="G210" s="199"/>
      <c r="H210" s="199"/>
      <c r="I210" s="199"/>
    </row>
    <row r="211" hidden="1">
      <c r="A211" s="199"/>
      <c r="B211" s="200"/>
      <c r="C211" s="201"/>
      <c r="D211" s="203">
        <v>46115.0</v>
      </c>
      <c r="E211" s="202"/>
      <c r="F211" s="199"/>
      <c r="G211" s="199"/>
      <c r="H211" s="199"/>
      <c r="I211" s="199"/>
    </row>
    <row r="212" ht="22.5" hidden="1" customHeight="1">
      <c r="A212" s="206" t="s">
        <v>1467</v>
      </c>
      <c r="B212" s="206" t="s">
        <v>1477</v>
      </c>
      <c r="C212" s="175" t="s">
        <v>1478</v>
      </c>
      <c r="D212" s="206" t="s">
        <v>1479</v>
      </c>
      <c r="E212" s="206" t="s">
        <v>1481</v>
      </c>
      <c r="F212" s="206" t="s">
        <v>1483</v>
      </c>
      <c r="G212" s="206" t="s">
        <v>1484</v>
      </c>
      <c r="H212" s="206" t="s">
        <v>1486</v>
      </c>
      <c r="I212" s="206" t="s">
        <v>1489</v>
      </c>
    </row>
    <row r="213" ht="22.5" hidden="1" customHeight="1">
      <c r="A213" s="176" t="s">
        <v>3288</v>
      </c>
      <c r="B213" s="177" t="s">
        <v>823</v>
      </c>
      <c r="C213" s="178"/>
      <c r="D213" s="179" t="s">
        <v>1602</v>
      </c>
      <c r="E213" s="188">
        <v>61.46</v>
      </c>
      <c r="F213" s="183">
        <v>46114.0</v>
      </c>
      <c r="G213" s="185" t="s">
        <v>9</v>
      </c>
      <c r="H213" s="185" t="s">
        <v>12</v>
      </c>
      <c r="I213" s="186"/>
    </row>
    <row r="214" ht="22.5" hidden="1" customHeight="1">
      <c r="A214" s="176" t="s">
        <v>3289</v>
      </c>
      <c r="B214" s="177">
        <v>2.41853801E8</v>
      </c>
      <c r="C214" s="178"/>
      <c r="D214" s="179" t="s">
        <v>1602</v>
      </c>
      <c r="E214" s="188">
        <v>32.85</v>
      </c>
      <c r="F214" s="183">
        <v>46114.0</v>
      </c>
      <c r="G214" s="185" t="s">
        <v>8</v>
      </c>
      <c r="H214" s="185" t="s">
        <v>12</v>
      </c>
      <c r="I214" s="186"/>
    </row>
    <row r="215" ht="22.5" hidden="1" customHeight="1">
      <c r="A215" s="176" t="s">
        <v>3290</v>
      </c>
      <c r="B215" s="177" t="s">
        <v>3291</v>
      </c>
      <c r="C215" s="178"/>
      <c r="D215" s="185" t="s">
        <v>1602</v>
      </c>
      <c r="E215" s="188">
        <v>37.5</v>
      </c>
      <c r="F215" s="183">
        <v>46114.0</v>
      </c>
      <c r="G215" s="185" t="s">
        <v>9</v>
      </c>
      <c r="H215" s="185" t="s">
        <v>11</v>
      </c>
      <c r="I215" s="313"/>
    </row>
    <row r="216" ht="22.5" hidden="1" customHeight="1">
      <c r="A216" s="176" t="s">
        <v>3292</v>
      </c>
      <c r="B216" s="177" t="s">
        <v>178</v>
      </c>
      <c r="C216" s="178"/>
      <c r="D216" s="179" t="s">
        <v>1875</v>
      </c>
      <c r="E216" s="188">
        <v>-46.26</v>
      </c>
      <c r="F216" s="183">
        <v>46100.0</v>
      </c>
      <c r="G216" s="185" t="s">
        <v>9</v>
      </c>
      <c r="H216" s="185" t="s">
        <v>11</v>
      </c>
      <c r="I216" s="186" t="s">
        <v>3056</v>
      </c>
    </row>
    <row r="217" ht="22.5" hidden="1" customHeight="1">
      <c r="A217" s="193"/>
      <c r="B217" s="194"/>
      <c r="C217" s="195"/>
      <c r="D217" s="194"/>
      <c r="E217" s="196">
        <f>SUM(Table21[Order Earnings])</f>
        <v>85.55</v>
      </c>
      <c r="F217" s="193"/>
      <c r="G217" s="193"/>
      <c r="H217" s="193"/>
      <c r="I217" s="193"/>
    </row>
    <row r="218" hidden="1">
      <c r="A218" s="199"/>
      <c r="B218" s="200"/>
      <c r="C218" s="201"/>
      <c r="D218" s="200"/>
      <c r="E218" s="202"/>
      <c r="F218" s="199"/>
      <c r="G218" s="199"/>
      <c r="H218" s="199"/>
      <c r="I218" s="199"/>
    </row>
    <row r="219" hidden="1">
      <c r="A219" s="199"/>
      <c r="B219" s="200"/>
      <c r="C219" s="201"/>
      <c r="D219" s="203">
        <v>46118.0</v>
      </c>
      <c r="E219" s="202"/>
      <c r="F219" s="199"/>
      <c r="G219" s="199"/>
      <c r="H219" s="199"/>
      <c r="I219" s="199"/>
    </row>
    <row r="220" ht="22.5" hidden="1" customHeight="1">
      <c r="A220" s="206" t="s">
        <v>1467</v>
      </c>
      <c r="B220" s="206" t="s">
        <v>1477</v>
      </c>
      <c r="C220" s="175" t="s">
        <v>1478</v>
      </c>
      <c r="D220" s="206" t="s">
        <v>1479</v>
      </c>
      <c r="E220" s="206" t="s">
        <v>1481</v>
      </c>
      <c r="F220" s="206" t="s">
        <v>1483</v>
      </c>
      <c r="G220" s="206" t="s">
        <v>1484</v>
      </c>
      <c r="H220" s="206" t="s">
        <v>1486</v>
      </c>
      <c r="I220" s="206" t="s">
        <v>1489</v>
      </c>
    </row>
    <row r="221" ht="22.5" hidden="1" customHeight="1">
      <c r="A221" s="176" t="s">
        <v>3293</v>
      </c>
      <c r="B221" s="314" t="s">
        <v>1475</v>
      </c>
      <c r="C221" s="211">
        <v>1.0</v>
      </c>
      <c r="D221" s="179" t="s">
        <v>1532</v>
      </c>
      <c r="E221" s="188"/>
      <c r="F221" s="183">
        <v>46118.0</v>
      </c>
      <c r="G221" s="185" t="s">
        <v>9</v>
      </c>
      <c r="H221" s="185" t="s">
        <v>11</v>
      </c>
      <c r="I221" s="315" t="s">
        <v>3294</v>
      </c>
    </row>
    <row r="222" ht="22.5" hidden="1" customHeight="1">
      <c r="A222" s="176" t="s">
        <v>3295</v>
      </c>
      <c r="B222" s="177" t="s">
        <v>823</v>
      </c>
      <c r="C222" s="211">
        <v>1.0</v>
      </c>
      <c r="D222" s="179" t="s">
        <v>1602</v>
      </c>
      <c r="E222" s="188">
        <v>62.31</v>
      </c>
      <c r="F222" s="183">
        <v>46115.0</v>
      </c>
      <c r="G222" s="185" t="s">
        <v>9</v>
      </c>
      <c r="H222" s="185" t="s">
        <v>12</v>
      </c>
      <c r="I222" s="186"/>
    </row>
    <row r="223" ht="22.5" hidden="1" customHeight="1">
      <c r="A223" s="176" t="s">
        <v>3296</v>
      </c>
      <c r="B223" s="316" t="s">
        <v>178</v>
      </c>
      <c r="C223" s="211">
        <v>1.0</v>
      </c>
      <c r="D223" s="179" t="s">
        <v>1875</v>
      </c>
      <c r="E223" s="188">
        <v>-68.8</v>
      </c>
      <c r="F223" s="183">
        <v>46118.0</v>
      </c>
      <c r="G223" s="185" t="s">
        <v>9</v>
      </c>
      <c r="H223" s="185" t="s">
        <v>12</v>
      </c>
      <c r="I223" s="186" t="s">
        <v>3056</v>
      </c>
    </row>
    <row r="224" ht="22.5" hidden="1" customHeight="1">
      <c r="A224" s="176" t="s">
        <v>3297</v>
      </c>
      <c r="B224" s="177">
        <v>6918581.0</v>
      </c>
      <c r="C224" s="211">
        <v>1.0</v>
      </c>
      <c r="D224" s="179" t="s">
        <v>1602</v>
      </c>
      <c r="E224" s="188">
        <v>14.63</v>
      </c>
      <c r="F224" s="183">
        <v>46118.0</v>
      </c>
      <c r="G224" s="185" t="s">
        <v>9</v>
      </c>
      <c r="H224" s="185" t="s">
        <v>11</v>
      </c>
      <c r="I224" s="186"/>
    </row>
    <row r="225" ht="22.5" hidden="1" customHeight="1">
      <c r="A225" s="193"/>
      <c r="B225" s="194"/>
      <c r="C225" s="195"/>
      <c r="D225" s="194"/>
      <c r="E225" s="196">
        <f>SUM(Table22[Order Earnings])</f>
        <v>8.14</v>
      </c>
      <c r="F225" s="193"/>
      <c r="G225" s="193"/>
      <c r="H225" s="193"/>
      <c r="I225" s="193"/>
    </row>
    <row r="226" hidden="1">
      <c r="A226" s="199"/>
      <c r="B226" s="200"/>
      <c r="C226" s="201"/>
      <c r="D226" s="200"/>
      <c r="E226" s="202"/>
      <c r="F226" s="199"/>
      <c r="G226" s="199"/>
      <c r="H226" s="199"/>
      <c r="I226" s="199"/>
    </row>
    <row r="227" hidden="1">
      <c r="A227" s="199"/>
      <c r="B227" s="200"/>
      <c r="C227" s="201"/>
      <c r="D227" s="203">
        <v>46119.0</v>
      </c>
      <c r="E227" s="202"/>
      <c r="F227" s="199"/>
      <c r="G227" s="199"/>
      <c r="H227" s="199"/>
      <c r="I227" s="199"/>
    </row>
    <row r="228" ht="22.5" hidden="1" customHeight="1">
      <c r="A228" s="175" t="s">
        <v>1467</v>
      </c>
      <c r="B228" s="175" t="s">
        <v>1477</v>
      </c>
      <c r="C228" s="175" t="s">
        <v>1478</v>
      </c>
      <c r="D228" s="175" t="s">
        <v>1479</v>
      </c>
      <c r="E228" s="175" t="s">
        <v>1481</v>
      </c>
      <c r="F228" s="175" t="s">
        <v>1483</v>
      </c>
      <c r="G228" s="175" t="s">
        <v>1484</v>
      </c>
      <c r="H228" s="175" t="s">
        <v>1486</v>
      </c>
      <c r="I228" s="175" t="s">
        <v>1489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2.5" hidden="1" customHeight="1">
      <c r="A229" s="176" t="s">
        <v>3298</v>
      </c>
      <c r="B229" s="314" t="s">
        <v>3299</v>
      </c>
      <c r="C229" s="211">
        <v>1.0</v>
      </c>
      <c r="D229" s="179" t="s">
        <v>1602</v>
      </c>
      <c r="E229" s="188">
        <v>140.39</v>
      </c>
      <c r="F229" s="183">
        <v>46119.0</v>
      </c>
      <c r="G229" s="185" t="s">
        <v>9</v>
      </c>
      <c r="H229" s="185" t="s">
        <v>11</v>
      </c>
      <c r="I229" s="315"/>
    </row>
    <row r="230" ht="22.5" hidden="1" customHeight="1">
      <c r="A230" s="176" t="s">
        <v>3300</v>
      </c>
      <c r="B230" s="177">
        <v>3.16203301E8</v>
      </c>
      <c r="C230" s="211">
        <v>1.0</v>
      </c>
      <c r="D230" s="179" t="s">
        <v>1602</v>
      </c>
      <c r="E230" s="188">
        <v>23.61</v>
      </c>
      <c r="F230" s="183">
        <v>46118.0</v>
      </c>
      <c r="G230" s="185" t="s">
        <v>9</v>
      </c>
      <c r="H230" s="185" t="s">
        <v>1087</v>
      </c>
      <c r="I230" s="186"/>
    </row>
    <row r="231" ht="22.5" hidden="1" customHeight="1">
      <c r="A231" s="176" t="s">
        <v>3301</v>
      </c>
      <c r="B231" s="177" t="s">
        <v>3291</v>
      </c>
      <c r="C231" s="211">
        <v>1.0</v>
      </c>
      <c r="D231" s="185" t="s">
        <v>1875</v>
      </c>
      <c r="E231" s="188">
        <v>-37.5</v>
      </c>
      <c r="F231" s="183">
        <v>46114.0</v>
      </c>
      <c r="G231" s="185" t="s">
        <v>9</v>
      </c>
      <c r="H231" s="185" t="s">
        <v>11</v>
      </c>
      <c r="I231" s="317" t="s">
        <v>3262</v>
      </c>
    </row>
    <row r="232" ht="22.5" hidden="1" customHeight="1">
      <c r="A232" s="176" t="s">
        <v>3302</v>
      </c>
      <c r="B232" s="177" t="s">
        <v>1238</v>
      </c>
      <c r="C232" s="211">
        <v>9.0</v>
      </c>
      <c r="D232" s="185" t="s">
        <v>1602</v>
      </c>
      <c r="E232" s="188">
        <v>165.74</v>
      </c>
      <c r="F232" s="183">
        <v>46119.0</v>
      </c>
      <c r="G232" s="185" t="s">
        <v>8</v>
      </c>
      <c r="H232" s="185" t="s">
        <v>12</v>
      </c>
      <c r="I232" s="317"/>
    </row>
    <row r="233" ht="22.5" hidden="1" customHeight="1">
      <c r="A233" s="176" t="s">
        <v>3303</v>
      </c>
      <c r="B233" s="177" t="s">
        <v>966</v>
      </c>
      <c r="C233" s="211">
        <v>1.0</v>
      </c>
      <c r="D233" s="185" t="s">
        <v>1602</v>
      </c>
      <c r="E233" s="188">
        <v>11.74</v>
      </c>
      <c r="F233" s="183">
        <v>46118.0</v>
      </c>
      <c r="G233" s="185" t="s">
        <v>8</v>
      </c>
      <c r="H233" s="185" t="s">
        <v>12</v>
      </c>
      <c r="I233" s="317"/>
    </row>
    <row r="234" ht="22.5" hidden="1" customHeight="1">
      <c r="A234" s="176" t="s">
        <v>3304</v>
      </c>
      <c r="B234" s="177" t="s">
        <v>966</v>
      </c>
      <c r="C234" s="211">
        <v>1.0</v>
      </c>
      <c r="D234" s="185" t="s">
        <v>1602</v>
      </c>
      <c r="E234" s="188">
        <v>113.04</v>
      </c>
      <c r="F234" s="183">
        <v>46118.0</v>
      </c>
      <c r="G234" s="185" t="s">
        <v>8</v>
      </c>
      <c r="H234" s="185" t="s">
        <v>12</v>
      </c>
      <c r="I234" s="317"/>
    </row>
    <row r="235" ht="22.5" hidden="1" customHeight="1">
      <c r="A235" s="176" t="s">
        <v>3305</v>
      </c>
      <c r="B235" s="177" t="s">
        <v>23</v>
      </c>
      <c r="C235" s="211">
        <v>1.0</v>
      </c>
      <c r="D235" s="185" t="s">
        <v>1602</v>
      </c>
      <c r="E235" s="188">
        <v>11.6</v>
      </c>
      <c r="F235" s="183">
        <v>46118.0</v>
      </c>
      <c r="G235" s="185" t="s">
        <v>8</v>
      </c>
      <c r="H235" s="185" t="s">
        <v>12</v>
      </c>
      <c r="I235" s="317"/>
    </row>
    <row r="236" ht="22.5" hidden="1" customHeight="1">
      <c r="A236" s="176" t="s">
        <v>3306</v>
      </c>
      <c r="B236" s="177" t="s">
        <v>975</v>
      </c>
      <c r="C236" s="211">
        <v>1.0</v>
      </c>
      <c r="D236" s="185" t="s">
        <v>1602</v>
      </c>
      <c r="E236" s="188">
        <v>58.15</v>
      </c>
      <c r="F236" s="183">
        <v>46118.0</v>
      </c>
      <c r="G236" s="185" t="s">
        <v>8</v>
      </c>
      <c r="H236" s="185" t="s">
        <v>12</v>
      </c>
      <c r="I236" s="317"/>
    </row>
    <row r="237" ht="22.5" hidden="1" customHeight="1">
      <c r="A237" s="176" t="s">
        <v>3307</v>
      </c>
      <c r="B237" s="177">
        <v>2.41853801E8</v>
      </c>
      <c r="C237" s="211">
        <v>1.0</v>
      </c>
      <c r="D237" s="185" t="s">
        <v>1602</v>
      </c>
      <c r="E237" s="188">
        <v>32.85</v>
      </c>
      <c r="F237" s="183">
        <v>46118.0</v>
      </c>
      <c r="G237" s="185" t="s">
        <v>8</v>
      </c>
      <c r="H237" s="185" t="s">
        <v>12</v>
      </c>
      <c r="I237" s="317"/>
    </row>
    <row r="238" ht="22.5" hidden="1" customHeight="1">
      <c r="A238" s="318" t="s">
        <v>3308</v>
      </c>
      <c r="B238" s="177" t="s">
        <v>252</v>
      </c>
      <c r="C238" s="211">
        <v>1.0</v>
      </c>
      <c r="D238" s="179" t="s">
        <v>1602</v>
      </c>
      <c r="E238" s="188">
        <v>112.0</v>
      </c>
      <c r="F238" s="183">
        <v>46119.0</v>
      </c>
      <c r="G238" s="185" t="s">
        <v>8</v>
      </c>
      <c r="H238" s="185" t="s">
        <v>53</v>
      </c>
      <c r="I238" s="315"/>
    </row>
    <row r="239" ht="22.5" hidden="1" customHeight="1">
      <c r="A239" s="193"/>
      <c r="B239" s="194"/>
      <c r="C239" s="195"/>
      <c r="D239" s="194"/>
      <c r="E239" s="196">
        <f>SUM(Table23[Order Earnings])</f>
        <v>631.62</v>
      </c>
      <c r="F239" s="193"/>
      <c r="G239" s="193"/>
      <c r="H239" s="193"/>
      <c r="I239" s="193"/>
    </row>
    <row r="240" hidden="1">
      <c r="A240" s="199"/>
      <c r="B240" s="200"/>
      <c r="C240" s="201"/>
      <c r="D240" s="200"/>
      <c r="E240" s="202"/>
      <c r="F240" s="199"/>
      <c r="G240" s="199"/>
      <c r="H240" s="199"/>
      <c r="I240" s="199"/>
    </row>
    <row r="241" hidden="1">
      <c r="A241" s="199"/>
      <c r="B241" s="200"/>
      <c r="C241" s="201"/>
      <c r="D241" s="203">
        <v>46120.0</v>
      </c>
      <c r="E241" s="202"/>
      <c r="F241" s="199"/>
      <c r="G241" s="199"/>
      <c r="H241" s="199"/>
      <c r="I241" s="199"/>
    </row>
    <row r="242" ht="22.5" hidden="1" customHeight="1">
      <c r="A242" s="175" t="s">
        <v>1467</v>
      </c>
      <c r="B242" s="175" t="s">
        <v>1477</v>
      </c>
      <c r="C242" s="175" t="s">
        <v>1478</v>
      </c>
      <c r="D242" s="175" t="s">
        <v>1479</v>
      </c>
      <c r="E242" s="175" t="s">
        <v>1481</v>
      </c>
      <c r="F242" s="175" t="s">
        <v>1483</v>
      </c>
      <c r="G242" s="175" t="s">
        <v>1484</v>
      </c>
      <c r="H242" s="175" t="s">
        <v>1486</v>
      </c>
      <c r="I242" s="175" t="s">
        <v>1489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2.5" hidden="1" customHeight="1">
      <c r="A243" s="176" t="s">
        <v>3309</v>
      </c>
      <c r="B243" s="314" t="s">
        <v>1128</v>
      </c>
      <c r="C243" s="211">
        <v>1.0</v>
      </c>
      <c r="D243" s="179" t="s">
        <v>1602</v>
      </c>
      <c r="E243" s="188">
        <v>37.61</v>
      </c>
      <c r="F243" s="183">
        <v>46120.0</v>
      </c>
      <c r="G243" s="185" t="s">
        <v>9</v>
      </c>
      <c r="H243" s="185" t="s">
        <v>11</v>
      </c>
      <c r="I243" s="315"/>
    </row>
    <row r="244" ht="22.5" hidden="1" customHeight="1">
      <c r="A244" s="176" t="s">
        <v>3310</v>
      </c>
      <c r="B244" s="177" t="s">
        <v>3311</v>
      </c>
      <c r="C244" s="211">
        <v>1.0</v>
      </c>
      <c r="D244" s="179" t="s">
        <v>1602</v>
      </c>
      <c r="E244" s="188">
        <v>124.49</v>
      </c>
      <c r="F244" s="183">
        <v>46120.0</v>
      </c>
      <c r="G244" s="185" t="s">
        <v>8</v>
      </c>
      <c r="H244" s="185" t="s">
        <v>12</v>
      </c>
      <c r="I244" s="186"/>
    </row>
    <row r="245" ht="22.5" hidden="1" customHeight="1">
      <c r="A245" s="176" t="s">
        <v>3312</v>
      </c>
      <c r="B245" s="177" t="s">
        <v>3278</v>
      </c>
      <c r="C245" s="211">
        <v>1.0</v>
      </c>
      <c r="D245" s="179" t="s">
        <v>1875</v>
      </c>
      <c r="E245" s="188">
        <v>-30.87</v>
      </c>
      <c r="F245" s="183">
        <v>46112.0</v>
      </c>
      <c r="G245" s="185" t="s">
        <v>9</v>
      </c>
      <c r="H245" s="185" t="s">
        <v>11</v>
      </c>
      <c r="I245" s="317" t="s">
        <v>3313</v>
      </c>
    </row>
    <row r="246" ht="22.5" hidden="1" customHeight="1">
      <c r="A246" s="193"/>
      <c r="B246" s="194"/>
      <c r="C246" s="195"/>
      <c r="D246" s="194"/>
      <c r="E246" s="196">
        <f>SUM(Table25[Order Earnings])</f>
        <v>131.23</v>
      </c>
      <c r="F246" s="193"/>
      <c r="G246" s="193"/>
      <c r="H246" s="193"/>
      <c r="I246" s="193"/>
    </row>
    <row r="247" hidden="1">
      <c r="A247" s="199"/>
      <c r="B247" s="200"/>
      <c r="C247" s="201"/>
      <c r="D247" s="200"/>
      <c r="E247" s="202"/>
      <c r="F247" s="199"/>
      <c r="G247" s="199"/>
      <c r="H247" s="199"/>
      <c r="I247" s="199"/>
    </row>
    <row r="248" hidden="1">
      <c r="A248" s="199"/>
      <c r="B248" s="200"/>
      <c r="C248" s="201"/>
      <c r="D248" s="203">
        <v>46121.0</v>
      </c>
      <c r="E248" s="202"/>
      <c r="F248" s="199"/>
      <c r="G248" s="199"/>
      <c r="H248" s="199"/>
      <c r="I248" s="199"/>
    </row>
    <row r="249" ht="22.5" hidden="1" customHeight="1">
      <c r="A249" s="175" t="s">
        <v>1467</v>
      </c>
      <c r="B249" s="175" t="s">
        <v>1477</v>
      </c>
      <c r="C249" s="175" t="s">
        <v>1478</v>
      </c>
      <c r="D249" s="175" t="s">
        <v>1479</v>
      </c>
      <c r="E249" s="175" t="s">
        <v>1481</v>
      </c>
      <c r="F249" s="175" t="s">
        <v>1483</v>
      </c>
      <c r="G249" s="175" t="s">
        <v>1484</v>
      </c>
      <c r="H249" s="175" t="s">
        <v>1486</v>
      </c>
      <c r="I249" s="175" t="s">
        <v>1489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2.5" hidden="1" customHeight="1">
      <c r="A250" s="176" t="s">
        <v>3314</v>
      </c>
      <c r="B250" s="314">
        <v>1.2938000003642E13</v>
      </c>
      <c r="C250" s="211">
        <v>2.0</v>
      </c>
      <c r="D250" s="179" t="s">
        <v>1602</v>
      </c>
      <c r="E250" s="188">
        <v>31.19</v>
      </c>
      <c r="F250" s="183">
        <v>46120.0</v>
      </c>
      <c r="G250" s="185" t="s">
        <v>8</v>
      </c>
      <c r="H250" s="185" t="s">
        <v>11</v>
      </c>
      <c r="I250" s="315"/>
    </row>
    <row r="251" ht="22.5" hidden="1" customHeight="1">
      <c r="A251" s="176" t="s">
        <v>3315</v>
      </c>
      <c r="B251" s="177" t="s">
        <v>957</v>
      </c>
      <c r="C251" s="211">
        <v>1.0</v>
      </c>
      <c r="D251" s="179" t="s">
        <v>1602</v>
      </c>
      <c r="E251" s="188">
        <v>65.38</v>
      </c>
      <c r="F251" s="183">
        <v>46121.0</v>
      </c>
      <c r="G251" s="185" t="s">
        <v>8</v>
      </c>
      <c r="H251" s="185" t="s">
        <v>12</v>
      </c>
      <c r="I251" s="186" t="s">
        <v>3316</v>
      </c>
    </row>
    <row r="252" ht="22.5" hidden="1" customHeight="1">
      <c r="A252" s="176" t="s">
        <v>3317</v>
      </c>
      <c r="B252" s="177" t="s">
        <v>451</v>
      </c>
      <c r="C252" s="211">
        <v>1.0</v>
      </c>
      <c r="D252" s="179" t="s">
        <v>1602</v>
      </c>
      <c r="E252" s="188">
        <v>53.89</v>
      </c>
      <c r="F252" s="183">
        <v>46121.0</v>
      </c>
      <c r="G252" s="185" t="s">
        <v>8</v>
      </c>
      <c r="H252" s="185" t="s">
        <v>11</v>
      </c>
      <c r="I252" s="317"/>
    </row>
    <row r="253" ht="22.5" hidden="1" customHeight="1">
      <c r="A253" s="193"/>
      <c r="B253" s="194"/>
      <c r="C253" s="195"/>
      <c r="D253" s="194"/>
      <c r="E253" s="196">
        <f>SUM(Table26[Order Earnings])</f>
        <v>150.46</v>
      </c>
      <c r="F253" s="193"/>
      <c r="G253" s="193"/>
      <c r="H253" s="193"/>
      <c r="I253" s="193"/>
    </row>
    <row r="254" hidden="1">
      <c r="A254" s="319"/>
      <c r="B254" s="320"/>
      <c r="C254" s="321"/>
      <c r="D254" s="320"/>
      <c r="E254" s="322"/>
      <c r="F254" s="319"/>
      <c r="G254" s="319"/>
      <c r="H254" s="319"/>
      <c r="I254" s="319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</row>
    <row r="255" hidden="1">
      <c r="A255" s="199"/>
      <c r="B255" s="200"/>
      <c r="C255" s="201"/>
      <c r="D255" s="203">
        <v>46122.0</v>
      </c>
      <c r="E255" s="202"/>
      <c r="F255" s="199"/>
      <c r="G255" s="199"/>
      <c r="H255" s="199"/>
      <c r="I255" s="199"/>
    </row>
    <row r="256" ht="22.5" hidden="1" customHeight="1">
      <c r="A256" s="175" t="s">
        <v>1467</v>
      </c>
      <c r="B256" s="175" t="s">
        <v>1477</v>
      </c>
      <c r="C256" s="175" t="s">
        <v>1478</v>
      </c>
      <c r="D256" s="175" t="s">
        <v>1479</v>
      </c>
      <c r="E256" s="175" t="s">
        <v>1481</v>
      </c>
      <c r="F256" s="175" t="s">
        <v>1483</v>
      </c>
      <c r="G256" s="175" t="s">
        <v>1484</v>
      </c>
      <c r="H256" s="175" t="s">
        <v>1486</v>
      </c>
      <c r="I256" s="175" t="s">
        <v>1489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2.5" hidden="1" customHeight="1">
      <c r="A257" s="176" t="s">
        <v>3318</v>
      </c>
      <c r="B257" s="314" t="s">
        <v>478</v>
      </c>
      <c r="C257" s="211">
        <v>1.0</v>
      </c>
      <c r="D257" s="179" t="s">
        <v>1602</v>
      </c>
      <c r="E257" s="188">
        <v>89.41</v>
      </c>
      <c r="F257" s="183">
        <v>46121.0</v>
      </c>
      <c r="G257" s="185" t="s">
        <v>8</v>
      </c>
      <c r="H257" s="185" t="s">
        <v>12</v>
      </c>
      <c r="I257" s="315"/>
    </row>
    <row r="258" ht="22.5" hidden="1" customHeight="1">
      <c r="A258" s="176" t="s">
        <v>3319</v>
      </c>
      <c r="B258" s="177" t="s">
        <v>3320</v>
      </c>
      <c r="C258" s="211">
        <v>1.0</v>
      </c>
      <c r="D258" s="179" t="s">
        <v>1602</v>
      </c>
      <c r="E258" s="188">
        <v>15.72</v>
      </c>
      <c r="F258" s="183">
        <v>46122.0</v>
      </c>
      <c r="G258" s="185" t="s">
        <v>8</v>
      </c>
      <c r="H258" s="185" t="s">
        <v>11</v>
      </c>
      <c r="I258" s="186"/>
    </row>
    <row r="259" ht="22.5" hidden="1" customHeight="1">
      <c r="A259" s="176" t="s">
        <v>3321</v>
      </c>
      <c r="B259" s="177" t="s">
        <v>3322</v>
      </c>
      <c r="C259" s="211">
        <v>1.0</v>
      </c>
      <c r="D259" s="179" t="s">
        <v>1602</v>
      </c>
      <c r="E259" s="188">
        <v>37.9</v>
      </c>
      <c r="F259" s="183">
        <v>46122.0</v>
      </c>
      <c r="G259" s="185" t="s">
        <v>8</v>
      </c>
      <c r="H259" s="185" t="s">
        <v>12</v>
      </c>
      <c r="I259" s="317"/>
    </row>
    <row r="260" ht="22.5" hidden="1" customHeight="1">
      <c r="A260" s="176" t="s">
        <v>3323</v>
      </c>
      <c r="B260" s="177" t="s">
        <v>3324</v>
      </c>
      <c r="C260" s="211">
        <v>1.0</v>
      </c>
      <c r="D260" s="179" t="s">
        <v>1602</v>
      </c>
      <c r="E260" s="188">
        <v>16.39</v>
      </c>
      <c r="F260" s="183">
        <v>46122.0</v>
      </c>
      <c r="G260" s="185" t="s">
        <v>9</v>
      </c>
      <c r="H260" s="185" t="s">
        <v>11</v>
      </c>
      <c r="I260" s="317"/>
    </row>
    <row r="261" ht="22.5" hidden="1" customHeight="1">
      <c r="A261" s="323" t="s">
        <v>3325</v>
      </c>
      <c r="B261" s="324" t="s">
        <v>261</v>
      </c>
      <c r="C261" s="211">
        <v>1.0</v>
      </c>
      <c r="D261" s="185" t="s">
        <v>1875</v>
      </c>
      <c r="E261" s="188">
        <v>-76.36</v>
      </c>
      <c r="F261" s="183">
        <v>46122.0</v>
      </c>
      <c r="G261" s="185" t="s">
        <v>9</v>
      </c>
      <c r="H261" s="185" t="s">
        <v>53</v>
      </c>
      <c r="I261" s="315" t="s">
        <v>3326</v>
      </c>
    </row>
    <row r="262" ht="22.5" hidden="1" customHeight="1">
      <c r="A262" s="323" t="s">
        <v>3327</v>
      </c>
      <c r="B262" s="324">
        <v>5.304533595E9</v>
      </c>
      <c r="C262" s="211">
        <v>1.0</v>
      </c>
      <c r="D262" s="185" t="s">
        <v>1875</v>
      </c>
      <c r="E262" s="188">
        <v>-28.63</v>
      </c>
      <c r="F262" s="183">
        <v>46122.0</v>
      </c>
      <c r="G262" s="185" t="s">
        <v>9</v>
      </c>
      <c r="H262" s="185" t="s">
        <v>53</v>
      </c>
      <c r="I262" s="186" t="s">
        <v>3326</v>
      </c>
    </row>
    <row r="263" ht="22.5" hidden="1" customHeight="1">
      <c r="A263" s="193"/>
      <c r="B263" s="194"/>
      <c r="C263" s="195"/>
      <c r="D263" s="194"/>
      <c r="E263" s="196">
        <f>SUM(Table27[Order Earnings])</f>
        <v>54.43</v>
      </c>
      <c r="F263" s="193"/>
      <c r="G263" s="193"/>
      <c r="H263" s="193"/>
      <c r="I263" s="193"/>
    </row>
    <row r="264" hidden="1">
      <c r="A264" s="199"/>
      <c r="B264" s="200"/>
      <c r="C264" s="201"/>
      <c r="D264" s="200"/>
      <c r="E264" s="202"/>
      <c r="F264" s="199"/>
      <c r="G264" s="199"/>
      <c r="H264" s="199"/>
      <c r="I264" s="199"/>
    </row>
    <row r="265" hidden="1">
      <c r="A265" s="199"/>
      <c r="B265" s="200"/>
      <c r="C265" s="201"/>
      <c r="D265" s="203">
        <v>46125.0</v>
      </c>
      <c r="E265" s="202"/>
      <c r="F265" s="199"/>
      <c r="G265" s="199"/>
      <c r="H265" s="199"/>
      <c r="I265" s="199"/>
    </row>
    <row r="266" ht="22.5" hidden="1" customHeight="1">
      <c r="A266" s="175" t="s">
        <v>1467</v>
      </c>
      <c r="B266" s="175" t="s">
        <v>1477</v>
      </c>
      <c r="C266" s="175" t="s">
        <v>1478</v>
      </c>
      <c r="D266" s="175" t="s">
        <v>1479</v>
      </c>
      <c r="E266" s="175" t="s">
        <v>1481</v>
      </c>
      <c r="F266" s="175" t="s">
        <v>1483</v>
      </c>
      <c r="G266" s="175" t="s">
        <v>1484</v>
      </c>
      <c r="H266" s="175" t="s">
        <v>1486</v>
      </c>
      <c r="I266" s="175" t="s">
        <v>1489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2.5" hidden="1" customHeight="1">
      <c r="A267" s="325" t="s">
        <v>3328</v>
      </c>
      <c r="B267" s="326" t="s">
        <v>811</v>
      </c>
      <c r="C267" s="211">
        <v>1.0</v>
      </c>
      <c r="D267" s="179" t="s">
        <v>1602</v>
      </c>
      <c r="E267" s="188">
        <v>23.89</v>
      </c>
      <c r="F267" s="183">
        <v>46122.0</v>
      </c>
      <c r="G267" s="185" t="s">
        <v>9</v>
      </c>
      <c r="H267" s="185" t="s">
        <v>12</v>
      </c>
      <c r="I267" s="186"/>
      <c r="J267" s="327"/>
    </row>
    <row r="268" ht="22.5" hidden="1" customHeight="1">
      <c r="A268" s="318" t="s">
        <v>3329</v>
      </c>
      <c r="B268" s="177" t="s">
        <v>28</v>
      </c>
      <c r="C268" s="211">
        <v>1.0</v>
      </c>
      <c r="D268" s="179" t="s">
        <v>1602</v>
      </c>
      <c r="E268" s="188">
        <v>39.88</v>
      </c>
      <c r="F268" s="183">
        <v>46123.0</v>
      </c>
      <c r="G268" s="185" t="s">
        <v>9</v>
      </c>
      <c r="H268" s="185" t="s">
        <v>12</v>
      </c>
      <c r="I268" s="186"/>
    </row>
    <row r="269" ht="22.5" hidden="1" customHeight="1">
      <c r="A269" s="318" t="s">
        <v>3330</v>
      </c>
      <c r="B269" s="177" t="s">
        <v>826</v>
      </c>
      <c r="C269" s="211">
        <v>1.0</v>
      </c>
      <c r="D269" s="185" t="s">
        <v>1602</v>
      </c>
      <c r="E269" s="188">
        <v>32.89</v>
      </c>
      <c r="F269" s="183">
        <v>46123.0</v>
      </c>
      <c r="G269" s="185" t="s">
        <v>9</v>
      </c>
      <c r="H269" s="185" t="s">
        <v>12</v>
      </c>
      <c r="I269" s="313"/>
    </row>
    <row r="270" ht="25.5" hidden="1" customHeight="1">
      <c r="A270" s="328" t="s">
        <v>3331</v>
      </c>
      <c r="B270" s="329" t="s">
        <v>358</v>
      </c>
      <c r="C270" s="330">
        <v>1.0</v>
      </c>
      <c r="D270" s="331" t="s">
        <v>1602</v>
      </c>
      <c r="E270" s="332">
        <v>73.33</v>
      </c>
      <c r="F270" s="333">
        <v>46123.0</v>
      </c>
      <c r="G270" s="334" t="s">
        <v>8</v>
      </c>
      <c r="H270" s="334" t="s">
        <v>53</v>
      </c>
      <c r="I270" s="33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22.5" hidden="1" customHeight="1">
      <c r="A271" s="193"/>
      <c r="B271" s="194"/>
      <c r="C271" s="195"/>
      <c r="D271" s="194"/>
      <c r="E271" s="196">
        <f>SUM(Table28[Order Earnings])</f>
        <v>169.99</v>
      </c>
      <c r="F271" s="193"/>
      <c r="G271" s="193"/>
      <c r="H271" s="193"/>
      <c r="I271" s="193"/>
    </row>
    <row r="272" hidden="1">
      <c r="A272" s="199"/>
      <c r="B272" s="200"/>
      <c r="C272" s="201"/>
      <c r="D272" s="203"/>
      <c r="E272" s="202"/>
      <c r="F272" s="199"/>
      <c r="G272" s="199"/>
      <c r="H272" s="199"/>
      <c r="I272" s="199"/>
    </row>
    <row r="273" hidden="1">
      <c r="A273" s="199"/>
      <c r="B273" s="200"/>
      <c r="C273" s="201"/>
      <c r="D273" s="203">
        <v>46126.0</v>
      </c>
      <c r="E273" s="202"/>
      <c r="F273" s="199"/>
      <c r="G273" s="199"/>
      <c r="H273" s="199"/>
      <c r="I273" s="199"/>
    </row>
    <row r="274" ht="22.5" hidden="1" customHeight="1">
      <c r="A274" s="175" t="s">
        <v>1467</v>
      </c>
      <c r="B274" s="175" t="s">
        <v>1477</v>
      </c>
      <c r="C274" s="175" t="s">
        <v>1478</v>
      </c>
      <c r="D274" s="175" t="s">
        <v>1479</v>
      </c>
      <c r="E274" s="175" t="s">
        <v>1481</v>
      </c>
      <c r="F274" s="175" t="s">
        <v>1483</v>
      </c>
      <c r="G274" s="175" t="s">
        <v>1484</v>
      </c>
      <c r="H274" s="175" t="s">
        <v>1486</v>
      </c>
      <c r="I274" s="175" t="s">
        <v>1489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22.5" hidden="1" customHeight="1">
      <c r="A275" s="176" t="s">
        <v>3332</v>
      </c>
      <c r="B275" s="314" t="s">
        <v>3333</v>
      </c>
      <c r="C275" s="211">
        <v>1.0</v>
      </c>
      <c r="D275" s="179" t="s">
        <v>1602</v>
      </c>
      <c r="E275" s="188">
        <v>14.81</v>
      </c>
      <c r="F275" s="183">
        <v>46125.0</v>
      </c>
      <c r="G275" s="185" t="s">
        <v>9</v>
      </c>
      <c r="H275" s="185" t="s">
        <v>11</v>
      </c>
      <c r="I275" s="315"/>
    </row>
    <row r="276" ht="22.5" hidden="1" customHeight="1">
      <c r="A276" s="176" t="s">
        <v>3334</v>
      </c>
      <c r="B276" s="177" t="s">
        <v>77</v>
      </c>
      <c r="C276" s="211">
        <v>1.0</v>
      </c>
      <c r="D276" s="179" t="s">
        <v>1532</v>
      </c>
      <c r="E276" s="188"/>
      <c r="F276" s="183">
        <v>46125.0</v>
      </c>
      <c r="G276" s="185" t="s">
        <v>9</v>
      </c>
      <c r="H276" s="185" t="s">
        <v>11</v>
      </c>
      <c r="I276" s="317" t="s">
        <v>3335</v>
      </c>
    </row>
    <row r="277" ht="22.5" hidden="1" customHeight="1">
      <c r="A277" s="176" t="s">
        <v>3336</v>
      </c>
      <c r="B277" s="177" t="s">
        <v>3337</v>
      </c>
      <c r="C277" s="211">
        <v>1.0</v>
      </c>
      <c r="D277" s="179" t="s">
        <v>1602</v>
      </c>
      <c r="E277" s="188">
        <v>36.51</v>
      </c>
      <c r="F277" s="183">
        <v>46125.0</v>
      </c>
      <c r="G277" s="185" t="s">
        <v>9</v>
      </c>
      <c r="H277" s="185" t="s">
        <v>11</v>
      </c>
      <c r="I277" s="315"/>
    </row>
    <row r="278" ht="22.5" hidden="1" customHeight="1">
      <c r="A278" s="176" t="s">
        <v>3338</v>
      </c>
      <c r="B278" s="177">
        <v>1.2638100003002E13</v>
      </c>
      <c r="C278" s="211">
        <v>1.0</v>
      </c>
      <c r="D278" s="179" t="s">
        <v>1602</v>
      </c>
      <c r="E278" s="188">
        <v>81.07</v>
      </c>
      <c r="F278" s="183">
        <v>46125.0</v>
      </c>
      <c r="G278" s="185" t="s">
        <v>8</v>
      </c>
      <c r="H278" s="185" t="s">
        <v>11</v>
      </c>
      <c r="I278" s="317"/>
    </row>
    <row r="279" ht="22.5" hidden="1" customHeight="1">
      <c r="A279" s="176" t="s">
        <v>3339</v>
      </c>
      <c r="B279" s="177" t="s">
        <v>107</v>
      </c>
      <c r="C279" s="211">
        <v>1.0</v>
      </c>
      <c r="D279" s="179" t="s">
        <v>1602</v>
      </c>
      <c r="E279" s="188">
        <v>20.38</v>
      </c>
      <c r="F279" s="183">
        <v>46125.0</v>
      </c>
      <c r="G279" s="185" t="s">
        <v>8</v>
      </c>
      <c r="H279" s="185" t="s">
        <v>11</v>
      </c>
      <c r="I279" s="317"/>
    </row>
    <row r="280" ht="22.5" hidden="1" customHeight="1">
      <c r="A280" s="328" t="s">
        <v>3340</v>
      </c>
      <c r="B280" s="329" t="s">
        <v>636</v>
      </c>
      <c r="C280" s="330">
        <v>1.0</v>
      </c>
      <c r="D280" s="331" t="s">
        <v>1602</v>
      </c>
      <c r="E280" s="332">
        <v>21.15</v>
      </c>
      <c r="F280" s="333">
        <v>46126.0</v>
      </c>
      <c r="G280" s="334" t="s">
        <v>8</v>
      </c>
      <c r="H280" s="334" t="s">
        <v>53</v>
      </c>
      <c r="I280" s="335"/>
    </row>
    <row r="281" ht="22.5" hidden="1" customHeight="1">
      <c r="A281" s="336" t="s">
        <v>3341</v>
      </c>
      <c r="B281" s="329" t="s">
        <v>60</v>
      </c>
      <c r="C281" s="337">
        <v>1.0</v>
      </c>
      <c r="D281" s="334" t="s">
        <v>1602</v>
      </c>
      <c r="E281" s="338">
        <v>115.82</v>
      </c>
      <c r="F281" s="339">
        <v>46125.0</v>
      </c>
      <c r="G281" s="334" t="s">
        <v>8</v>
      </c>
      <c r="H281" s="334" t="s">
        <v>53</v>
      </c>
      <c r="I281" s="340"/>
    </row>
    <row r="282" ht="22.5" hidden="1" customHeight="1">
      <c r="A282" s="341" t="s">
        <v>3342</v>
      </c>
      <c r="B282" s="342" t="s">
        <v>248</v>
      </c>
      <c r="C282" s="343">
        <v>1.0</v>
      </c>
      <c r="D282" s="344" t="s">
        <v>1602</v>
      </c>
      <c r="E282" s="345">
        <v>93.73</v>
      </c>
      <c r="F282" s="346">
        <v>46125.0</v>
      </c>
      <c r="G282" s="334" t="s">
        <v>8</v>
      </c>
      <c r="H282" s="334" t="s">
        <v>53</v>
      </c>
      <c r="I282" s="335"/>
    </row>
    <row r="283" ht="22.5" hidden="1" customHeight="1">
      <c r="A283" s="193"/>
      <c r="B283" s="194"/>
      <c r="C283" s="195"/>
      <c r="D283" s="194"/>
      <c r="E283" s="196">
        <f>SUM(Table29[Order Earnings])</f>
        <v>383.47</v>
      </c>
      <c r="F283" s="193"/>
      <c r="G283" s="193"/>
      <c r="H283" s="193"/>
      <c r="I283" s="193"/>
    </row>
    <row r="284" hidden="1">
      <c r="A284" s="199"/>
      <c r="B284" s="200"/>
      <c r="C284" s="201"/>
      <c r="D284" s="200"/>
      <c r="E284" s="202"/>
      <c r="F284" s="199"/>
      <c r="G284" s="199"/>
      <c r="H284" s="199"/>
      <c r="I284" s="199"/>
    </row>
    <row r="285" hidden="1">
      <c r="A285" s="199"/>
      <c r="B285" s="200"/>
      <c r="C285" s="201"/>
      <c r="D285" s="203">
        <v>46127.0</v>
      </c>
      <c r="E285" s="202"/>
      <c r="F285" s="199"/>
      <c r="G285" s="199"/>
      <c r="H285" s="199"/>
      <c r="I285" s="199"/>
    </row>
    <row r="286" ht="22.5" hidden="1" customHeight="1">
      <c r="A286" s="175" t="s">
        <v>1467</v>
      </c>
      <c r="B286" s="175" t="s">
        <v>1477</v>
      </c>
      <c r="C286" s="175" t="s">
        <v>1478</v>
      </c>
      <c r="D286" s="175" t="s">
        <v>1479</v>
      </c>
      <c r="E286" s="175" t="s">
        <v>1481</v>
      </c>
      <c r="F286" s="175" t="s">
        <v>1483</v>
      </c>
      <c r="G286" s="175" t="s">
        <v>1484</v>
      </c>
      <c r="H286" s="175" t="s">
        <v>1486</v>
      </c>
      <c r="I286" s="175" t="s">
        <v>1489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22.5" hidden="1" customHeight="1">
      <c r="A287" s="176" t="s">
        <v>3343</v>
      </c>
      <c r="B287" s="314" t="s">
        <v>1128</v>
      </c>
      <c r="C287" s="211">
        <v>1.0</v>
      </c>
      <c r="D287" s="179" t="s">
        <v>1875</v>
      </c>
      <c r="E287" s="188">
        <v>-37.61</v>
      </c>
      <c r="F287" s="183">
        <v>46120.0</v>
      </c>
      <c r="G287" s="185" t="s">
        <v>9</v>
      </c>
      <c r="H287" s="185" t="s">
        <v>11</v>
      </c>
      <c r="I287" s="317" t="s">
        <v>3344</v>
      </c>
    </row>
    <row r="288" ht="22.5" hidden="1" customHeight="1">
      <c r="A288" s="328" t="s">
        <v>3345</v>
      </c>
      <c r="B288" s="329" t="s">
        <v>326</v>
      </c>
      <c r="C288" s="330">
        <v>1.0</v>
      </c>
      <c r="D288" s="331" t="s">
        <v>1602</v>
      </c>
      <c r="E288" s="332">
        <v>113.07</v>
      </c>
      <c r="F288" s="333">
        <v>46126.0</v>
      </c>
      <c r="G288" s="334" t="s">
        <v>8</v>
      </c>
      <c r="H288" s="334" t="s">
        <v>53</v>
      </c>
      <c r="I288" s="335"/>
    </row>
    <row r="289" ht="22.5" hidden="1" customHeight="1">
      <c r="A289" s="336" t="s">
        <v>3346</v>
      </c>
      <c r="B289" s="329" t="s">
        <v>651</v>
      </c>
      <c r="C289" s="337">
        <v>1.0</v>
      </c>
      <c r="D289" s="334" t="s">
        <v>1602</v>
      </c>
      <c r="E289" s="338">
        <v>36.38</v>
      </c>
      <c r="F289" s="339">
        <v>46127.0</v>
      </c>
      <c r="G289" s="334" t="s">
        <v>8</v>
      </c>
      <c r="H289" s="334" t="s">
        <v>53</v>
      </c>
      <c r="I289" s="340"/>
    </row>
    <row r="290" ht="22.5" hidden="1" customHeight="1">
      <c r="A290" s="193"/>
      <c r="B290" s="194"/>
      <c r="C290" s="195"/>
      <c r="D290" s="194"/>
      <c r="E290" s="196">
        <f>SUM(Table30[Order Earnings])</f>
        <v>111.84</v>
      </c>
      <c r="F290" s="193"/>
      <c r="G290" s="193"/>
      <c r="H290" s="193"/>
      <c r="I290" s="193"/>
    </row>
    <row r="291" hidden="1">
      <c r="A291" s="199"/>
      <c r="B291" s="200"/>
      <c r="C291" s="201"/>
      <c r="D291" s="200"/>
      <c r="E291" s="202"/>
      <c r="F291" s="199"/>
      <c r="G291" s="199"/>
      <c r="H291" s="199"/>
      <c r="I291" s="199"/>
    </row>
    <row r="292" hidden="1">
      <c r="A292" s="199"/>
      <c r="B292" s="200"/>
      <c r="C292" s="201"/>
      <c r="D292" s="203">
        <v>46128.0</v>
      </c>
      <c r="E292" s="202"/>
      <c r="F292" s="199"/>
      <c r="G292" s="199"/>
      <c r="H292" s="199"/>
      <c r="I292" s="199"/>
    </row>
    <row r="293" ht="22.5" hidden="1" customHeight="1">
      <c r="A293" s="175" t="s">
        <v>1467</v>
      </c>
      <c r="B293" s="175" t="s">
        <v>1477</v>
      </c>
      <c r="C293" s="175" t="s">
        <v>1478</v>
      </c>
      <c r="D293" s="175" t="s">
        <v>1479</v>
      </c>
      <c r="E293" s="175" t="s">
        <v>1481</v>
      </c>
      <c r="F293" s="175" t="s">
        <v>1483</v>
      </c>
      <c r="G293" s="175" t="s">
        <v>1484</v>
      </c>
      <c r="H293" s="175" t="s">
        <v>1486</v>
      </c>
      <c r="I293" s="175" t="s">
        <v>1489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2.5" hidden="1" customHeight="1">
      <c r="A294" s="347" t="s">
        <v>3347</v>
      </c>
      <c r="B294" s="177" t="s">
        <v>878</v>
      </c>
      <c r="C294" s="211">
        <v>1.0</v>
      </c>
      <c r="D294" s="179" t="s">
        <v>1602</v>
      </c>
      <c r="E294" s="188">
        <v>118.12</v>
      </c>
      <c r="F294" s="183">
        <v>46127.0</v>
      </c>
      <c r="G294" s="185" t="s">
        <v>8</v>
      </c>
      <c r="H294" s="185" t="s">
        <v>12</v>
      </c>
      <c r="I294" s="186"/>
      <c r="J294" s="327"/>
    </row>
    <row r="295" ht="22.5" hidden="1" customHeight="1">
      <c r="A295" s="347" t="s">
        <v>3348</v>
      </c>
      <c r="B295" s="177" t="s">
        <v>3349</v>
      </c>
      <c r="C295" s="211">
        <v>1.0</v>
      </c>
      <c r="D295" s="179" t="s">
        <v>1602</v>
      </c>
      <c r="E295" s="188">
        <v>90.22</v>
      </c>
      <c r="F295" s="183">
        <v>46128.0</v>
      </c>
      <c r="G295" s="185" t="s">
        <v>8</v>
      </c>
      <c r="H295" s="185" t="s">
        <v>12</v>
      </c>
      <c r="I295" s="186"/>
      <c r="J295" s="327"/>
    </row>
    <row r="296" ht="22.5" hidden="1" customHeight="1">
      <c r="A296" s="176" t="s">
        <v>3350</v>
      </c>
      <c r="B296" s="177">
        <v>5.304526011E9</v>
      </c>
      <c r="C296" s="211">
        <v>1.0</v>
      </c>
      <c r="D296" s="185" t="s">
        <v>1602</v>
      </c>
      <c r="E296" s="188">
        <v>57.52</v>
      </c>
      <c r="F296" s="183">
        <v>46128.0</v>
      </c>
      <c r="G296" s="185" t="s">
        <v>8</v>
      </c>
      <c r="H296" s="185" t="s">
        <v>12</v>
      </c>
      <c r="I296" s="313"/>
    </row>
    <row r="297" ht="22.5" hidden="1" customHeight="1">
      <c r="A297" s="176" t="s">
        <v>3351</v>
      </c>
      <c r="B297" s="314">
        <v>3.162159E8</v>
      </c>
      <c r="C297" s="211">
        <v>1.0</v>
      </c>
      <c r="D297" s="179" t="s">
        <v>1602</v>
      </c>
      <c r="E297" s="188">
        <v>18.07</v>
      </c>
      <c r="F297" s="183">
        <v>46128.0</v>
      </c>
      <c r="G297" s="185" t="s">
        <v>9</v>
      </c>
      <c r="H297" s="185" t="s">
        <v>1087</v>
      </c>
      <c r="I297" s="317"/>
    </row>
    <row r="298" ht="22.5" hidden="1" customHeight="1">
      <c r="A298" s="186" t="s">
        <v>3352</v>
      </c>
      <c r="B298" s="314" t="s">
        <v>3353</v>
      </c>
      <c r="C298" s="211">
        <v>1.0</v>
      </c>
      <c r="D298" s="179" t="s">
        <v>1532</v>
      </c>
      <c r="E298" s="188">
        <v>0.0</v>
      </c>
      <c r="F298" s="183">
        <v>46127.0</v>
      </c>
      <c r="G298" s="185" t="s">
        <v>8</v>
      </c>
      <c r="H298" s="185" t="s">
        <v>53</v>
      </c>
      <c r="I298" s="317"/>
    </row>
    <row r="299" ht="22.5" hidden="1" customHeight="1">
      <c r="A299" s="186" t="s">
        <v>3354</v>
      </c>
      <c r="B299" s="314" t="s">
        <v>256</v>
      </c>
      <c r="C299" s="211">
        <v>1.0</v>
      </c>
      <c r="D299" s="179" t="s">
        <v>1602</v>
      </c>
      <c r="E299" s="188">
        <v>135.87</v>
      </c>
      <c r="F299" s="183">
        <v>46127.0</v>
      </c>
      <c r="G299" s="185" t="s">
        <v>8</v>
      </c>
      <c r="H299" s="185" t="s">
        <v>53</v>
      </c>
      <c r="I299" s="317"/>
    </row>
    <row r="300" ht="22.5" hidden="1" customHeight="1">
      <c r="A300" s="348" t="s">
        <v>3355</v>
      </c>
      <c r="B300" s="314" t="s">
        <v>334</v>
      </c>
      <c r="C300" s="211">
        <v>1.0</v>
      </c>
      <c r="D300" s="179" t="s">
        <v>1602</v>
      </c>
      <c r="E300" s="188">
        <v>26.73</v>
      </c>
      <c r="F300" s="183">
        <v>46127.0</v>
      </c>
      <c r="G300" s="185" t="s">
        <v>8</v>
      </c>
      <c r="H300" s="185" t="s">
        <v>53</v>
      </c>
      <c r="I300" s="317"/>
    </row>
    <row r="301" ht="22.5" hidden="1" customHeight="1">
      <c r="A301" s="193"/>
      <c r="B301" s="194"/>
      <c r="C301" s="195"/>
      <c r="D301" s="194"/>
      <c r="E301" s="196">
        <f>SUM(Table31[Order Earnings])</f>
        <v>446.53</v>
      </c>
      <c r="F301" s="193"/>
      <c r="G301" s="193"/>
      <c r="H301" s="193"/>
      <c r="I301" s="193"/>
    </row>
    <row r="302" hidden="1">
      <c r="A302" s="199"/>
      <c r="B302" s="200"/>
      <c r="C302" s="201"/>
      <c r="D302" s="200"/>
      <c r="E302" s="202"/>
      <c r="F302" s="199"/>
      <c r="G302" s="199"/>
      <c r="H302" s="199"/>
      <c r="I302" s="199"/>
    </row>
    <row r="303" hidden="1">
      <c r="A303" s="199"/>
      <c r="B303" s="200"/>
      <c r="C303" s="201"/>
      <c r="D303" s="203">
        <v>46129.0</v>
      </c>
      <c r="E303" s="202"/>
      <c r="F303" s="199"/>
      <c r="G303" s="199"/>
      <c r="H303" s="199"/>
      <c r="I303" s="199"/>
    </row>
    <row r="304" ht="22.5" hidden="1" customHeight="1">
      <c r="A304" s="175" t="s">
        <v>1467</v>
      </c>
      <c r="B304" s="175" t="s">
        <v>1477</v>
      </c>
      <c r="C304" s="175" t="s">
        <v>1478</v>
      </c>
      <c r="D304" s="175" t="s">
        <v>1479</v>
      </c>
      <c r="E304" s="175" t="s">
        <v>1481</v>
      </c>
      <c r="F304" s="175" t="s">
        <v>1483</v>
      </c>
      <c r="G304" s="175" t="s">
        <v>1484</v>
      </c>
      <c r="H304" s="175" t="s">
        <v>1486</v>
      </c>
      <c r="I304" s="175" t="s">
        <v>1489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22.5" hidden="1" customHeight="1">
      <c r="A305" s="176" t="s">
        <v>3356</v>
      </c>
      <c r="B305" s="314" t="s">
        <v>3357</v>
      </c>
      <c r="C305" s="211">
        <v>1.0</v>
      </c>
      <c r="D305" s="179" t="s">
        <v>1532</v>
      </c>
      <c r="E305" s="188"/>
      <c r="F305" s="183">
        <v>46129.0</v>
      </c>
      <c r="G305" s="185" t="s">
        <v>8</v>
      </c>
      <c r="H305" s="185" t="s">
        <v>11</v>
      </c>
      <c r="I305" s="317" t="s">
        <v>3358</v>
      </c>
    </row>
    <row r="306" ht="22.5" hidden="1" customHeight="1">
      <c r="A306" s="186" t="s">
        <v>3347</v>
      </c>
      <c r="B306" s="349" t="s">
        <v>878</v>
      </c>
      <c r="C306" s="211">
        <v>1.0</v>
      </c>
      <c r="D306" s="179" t="s">
        <v>1532</v>
      </c>
      <c r="E306" s="188"/>
      <c r="F306" s="183">
        <v>46128.0</v>
      </c>
      <c r="G306" s="185" t="s">
        <v>8</v>
      </c>
      <c r="H306" s="185" t="s">
        <v>12</v>
      </c>
      <c r="I306" s="186" t="s">
        <v>3359</v>
      </c>
    </row>
    <row r="307" ht="22.5" hidden="1" customHeight="1">
      <c r="A307" s="347" t="s">
        <v>3360</v>
      </c>
      <c r="B307" s="177">
        <v>5.304526011E9</v>
      </c>
      <c r="C307" s="211">
        <v>1.0</v>
      </c>
      <c r="D307" s="185" t="s">
        <v>1602</v>
      </c>
      <c r="E307" s="188">
        <v>63.59</v>
      </c>
      <c r="F307" s="183">
        <v>46128.0</v>
      </c>
      <c r="G307" s="185" t="s">
        <v>8</v>
      </c>
      <c r="H307" s="185" t="s">
        <v>12</v>
      </c>
      <c r="I307" s="313"/>
    </row>
    <row r="308" ht="22.5" hidden="1" customHeight="1">
      <c r="A308" s="186" t="s">
        <v>3361</v>
      </c>
      <c r="B308" s="314" t="s">
        <v>79</v>
      </c>
      <c r="C308" s="211">
        <v>1.0</v>
      </c>
      <c r="D308" s="179" t="s">
        <v>1602</v>
      </c>
      <c r="E308" s="188">
        <v>60.93</v>
      </c>
      <c r="F308" s="183">
        <v>46129.0</v>
      </c>
      <c r="G308" s="185" t="s">
        <v>8</v>
      </c>
      <c r="H308" s="185" t="s">
        <v>53</v>
      </c>
      <c r="I308" s="317"/>
    </row>
    <row r="309" ht="22.5" hidden="1" customHeight="1">
      <c r="A309" s="186" t="s">
        <v>3362</v>
      </c>
      <c r="B309" s="314" t="s">
        <v>280</v>
      </c>
      <c r="C309" s="211">
        <v>1.0</v>
      </c>
      <c r="D309" s="179" t="s">
        <v>1602</v>
      </c>
      <c r="E309" s="188">
        <v>18.42</v>
      </c>
      <c r="F309" s="183">
        <v>46129.0</v>
      </c>
      <c r="G309" s="185" t="s">
        <v>9</v>
      </c>
      <c r="H309" s="185" t="s">
        <v>53</v>
      </c>
      <c r="I309" s="317"/>
    </row>
    <row r="310" ht="22.5" hidden="1" customHeight="1">
      <c r="A310" s="186" t="s">
        <v>3363</v>
      </c>
      <c r="B310" s="314" t="s">
        <v>2257</v>
      </c>
      <c r="C310" s="211">
        <v>1.0</v>
      </c>
      <c r="D310" s="179" t="s">
        <v>1602</v>
      </c>
      <c r="E310" s="188">
        <v>44.39</v>
      </c>
      <c r="F310" s="183">
        <v>46128.0</v>
      </c>
      <c r="G310" s="185" t="s">
        <v>9</v>
      </c>
      <c r="H310" s="185" t="s">
        <v>53</v>
      </c>
      <c r="I310" s="317"/>
    </row>
    <row r="311" ht="22.5" hidden="1" customHeight="1">
      <c r="A311" s="193"/>
      <c r="B311" s="194"/>
      <c r="C311" s="195"/>
      <c r="D311" s="194"/>
      <c r="E311" s="196">
        <f>SUM(Table32[Order Earnings])</f>
        <v>187.33</v>
      </c>
      <c r="F311" s="193"/>
      <c r="G311" s="193"/>
      <c r="H311" s="193"/>
      <c r="I311" s="193"/>
    </row>
    <row r="312" hidden="1">
      <c r="A312" s="199"/>
      <c r="B312" s="200"/>
      <c r="C312" s="201"/>
      <c r="D312" s="200"/>
      <c r="E312" s="202"/>
      <c r="F312" s="199"/>
      <c r="G312" s="199"/>
      <c r="H312" s="199"/>
      <c r="I312" s="199"/>
    </row>
    <row r="313" hidden="1">
      <c r="A313" s="199"/>
      <c r="B313" s="200"/>
      <c r="C313" s="201"/>
      <c r="D313" s="203">
        <v>46132.0</v>
      </c>
      <c r="E313" s="202"/>
      <c r="F313" s="199"/>
      <c r="G313" s="199"/>
      <c r="H313" s="199"/>
      <c r="I313" s="199"/>
    </row>
    <row r="314" ht="22.5" hidden="1" customHeight="1">
      <c r="A314" s="175" t="s">
        <v>1467</v>
      </c>
      <c r="B314" s="175" t="s">
        <v>1477</v>
      </c>
      <c r="C314" s="175" t="s">
        <v>1478</v>
      </c>
      <c r="D314" s="175" t="s">
        <v>1479</v>
      </c>
      <c r="E314" s="175" t="s">
        <v>1481</v>
      </c>
      <c r="F314" s="175" t="s">
        <v>1483</v>
      </c>
      <c r="G314" s="175" t="s">
        <v>1484</v>
      </c>
      <c r="H314" s="175" t="s">
        <v>1486</v>
      </c>
      <c r="I314" s="175" t="s">
        <v>1489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22.5" hidden="1" customHeight="1">
      <c r="A315" s="176" t="s">
        <v>3364</v>
      </c>
      <c r="B315" s="314" t="s">
        <v>3365</v>
      </c>
      <c r="C315" s="211">
        <v>1.0</v>
      </c>
      <c r="D315" s="179" t="s">
        <v>1602</v>
      </c>
      <c r="E315" s="188">
        <v>21.65</v>
      </c>
      <c r="F315" s="183">
        <v>46131.0</v>
      </c>
      <c r="G315" s="185" t="s">
        <v>8</v>
      </c>
      <c r="H315" s="185" t="s">
        <v>11</v>
      </c>
      <c r="I315" s="317"/>
    </row>
    <row r="316" ht="22.5" hidden="1" customHeight="1">
      <c r="A316" s="176" t="s">
        <v>3366</v>
      </c>
      <c r="B316" s="314">
        <v>8.09069206E8</v>
      </c>
      <c r="C316" s="211">
        <v>1.0</v>
      </c>
      <c r="D316" s="179" t="s">
        <v>1602</v>
      </c>
      <c r="E316" s="188">
        <v>18.68</v>
      </c>
      <c r="F316" s="183">
        <v>46130.0</v>
      </c>
      <c r="G316" s="185" t="s">
        <v>8</v>
      </c>
      <c r="H316" s="185" t="s">
        <v>11</v>
      </c>
      <c r="I316" s="317"/>
    </row>
    <row r="317" ht="22.5" hidden="1" customHeight="1">
      <c r="A317" s="176" t="s">
        <v>3367</v>
      </c>
      <c r="B317" s="314" t="s">
        <v>1172</v>
      </c>
      <c r="C317" s="211">
        <v>1.0</v>
      </c>
      <c r="D317" s="179" t="s">
        <v>1602</v>
      </c>
      <c r="E317" s="188">
        <v>14.76</v>
      </c>
      <c r="F317" s="183">
        <v>46131.0</v>
      </c>
      <c r="G317" s="185" t="s">
        <v>9</v>
      </c>
      <c r="H317" s="185" t="s">
        <v>11</v>
      </c>
      <c r="I317" s="317"/>
    </row>
    <row r="318" ht="22.5" hidden="1" customHeight="1">
      <c r="A318" s="176" t="s">
        <v>3368</v>
      </c>
      <c r="B318" s="177" t="s">
        <v>1231</v>
      </c>
      <c r="C318" s="211">
        <v>1.0</v>
      </c>
      <c r="D318" s="179" t="s">
        <v>1875</v>
      </c>
      <c r="E318" s="188">
        <v>-90.06</v>
      </c>
      <c r="F318" s="183">
        <v>46092.0</v>
      </c>
      <c r="G318" s="185" t="s">
        <v>9</v>
      </c>
      <c r="H318" s="185" t="s">
        <v>11</v>
      </c>
      <c r="I318" s="186" t="s">
        <v>3056</v>
      </c>
    </row>
    <row r="319" ht="22.5" hidden="1" customHeight="1">
      <c r="A319" s="176" t="s">
        <v>3369</v>
      </c>
      <c r="B319" s="177" t="s">
        <v>443</v>
      </c>
      <c r="C319" s="211">
        <v>1.0</v>
      </c>
      <c r="D319" s="179" t="s">
        <v>1602</v>
      </c>
      <c r="E319" s="188">
        <v>40.07</v>
      </c>
      <c r="F319" s="183">
        <v>46132.0</v>
      </c>
      <c r="G319" s="185" t="s">
        <v>8</v>
      </c>
      <c r="H319" s="185" t="s">
        <v>11</v>
      </c>
      <c r="I319" s="186"/>
    </row>
    <row r="320" ht="22.5" hidden="1" customHeight="1">
      <c r="A320" s="176" t="s">
        <v>3370</v>
      </c>
      <c r="B320" s="177" t="s">
        <v>89</v>
      </c>
      <c r="C320" s="211">
        <v>1.0</v>
      </c>
      <c r="D320" s="179" t="s">
        <v>1602</v>
      </c>
      <c r="E320" s="188">
        <v>62.28</v>
      </c>
      <c r="F320" s="183">
        <v>46132.0</v>
      </c>
      <c r="G320" s="185" t="s">
        <v>8</v>
      </c>
      <c r="H320" s="185" t="s">
        <v>11</v>
      </c>
      <c r="I320" s="186"/>
    </row>
    <row r="321" ht="22.5" hidden="1" customHeight="1">
      <c r="A321" s="176" t="s">
        <v>3371</v>
      </c>
      <c r="B321" s="177">
        <v>5.304528982E9</v>
      </c>
      <c r="C321" s="211">
        <v>1.0</v>
      </c>
      <c r="D321" s="179" t="s">
        <v>1602</v>
      </c>
      <c r="E321" s="188">
        <v>55.51</v>
      </c>
      <c r="F321" s="183">
        <v>46131.0</v>
      </c>
      <c r="G321" s="185" t="s">
        <v>8</v>
      </c>
      <c r="H321" s="185" t="s">
        <v>11</v>
      </c>
      <c r="I321" s="186"/>
    </row>
    <row r="322" ht="22.5" hidden="1" customHeight="1">
      <c r="A322" s="318" t="s">
        <v>3372</v>
      </c>
      <c r="B322" s="350" t="s">
        <v>850</v>
      </c>
      <c r="C322" s="211">
        <v>1.0</v>
      </c>
      <c r="D322" s="179" t="s">
        <v>1532</v>
      </c>
      <c r="E322" s="188"/>
      <c r="F322" s="183">
        <v>46130.0</v>
      </c>
      <c r="G322" s="185" t="s">
        <v>8</v>
      </c>
      <c r="H322" s="185" t="s">
        <v>12</v>
      </c>
      <c r="I322" s="186" t="s">
        <v>3373</v>
      </c>
      <c r="J322" s="327"/>
    </row>
    <row r="323" ht="22.5" hidden="1" customHeight="1">
      <c r="A323" s="186" t="s">
        <v>3374</v>
      </c>
      <c r="B323" s="177">
        <v>8.09069206E8</v>
      </c>
      <c r="C323" s="211">
        <v>1.0</v>
      </c>
      <c r="D323" s="179" t="s">
        <v>1602</v>
      </c>
      <c r="E323" s="188">
        <v>26.14</v>
      </c>
      <c r="F323" s="183">
        <v>46130.0</v>
      </c>
      <c r="G323" s="185" t="s">
        <v>8</v>
      </c>
      <c r="H323" s="185" t="s">
        <v>12</v>
      </c>
      <c r="I323" s="186"/>
    </row>
    <row r="324" ht="22.5" hidden="1" customHeight="1">
      <c r="A324" s="186" t="s">
        <v>3375</v>
      </c>
      <c r="B324" s="177" t="s">
        <v>539</v>
      </c>
      <c r="C324" s="211">
        <v>1.0</v>
      </c>
      <c r="D324" s="185" t="s">
        <v>1602</v>
      </c>
      <c r="E324" s="188">
        <v>29.49</v>
      </c>
      <c r="F324" s="183">
        <v>46130.0</v>
      </c>
      <c r="G324" s="185" t="s">
        <v>8</v>
      </c>
      <c r="H324" s="185" t="s">
        <v>12</v>
      </c>
      <c r="I324" s="313"/>
    </row>
    <row r="325" ht="22.5" hidden="1" customHeight="1">
      <c r="A325" s="351" t="s">
        <v>3376</v>
      </c>
      <c r="B325" s="177" t="s">
        <v>3377</v>
      </c>
      <c r="C325" s="211">
        <v>1.0</v>
      </c>
      <c r="D325" s="179" t="s">
        <v>1602</v>
      </c>
      <c r="E325" s="188">
        <v>125.28</v>
      </c>
      <c r="F325" s="183">
        <v>46132.0</v>
      </c>
      <c r="G325" s="185" t="s">
        <v>8</v>
      </c>
      <c r="H325" s="185" t="s">
        <v>12</v>
      </c>
      <c r="I325" s="186"/>
    </row>
    <row r="326" ht="22.5" hidden="1" customHeight="1">
      <c r="A326" s="351" t="s">
        <v>3378</v>
      </c>
      <c r="B326" s="177" t="s">
        <v>584</v>
      </c>
      <c r="C326" s="211">
        <v>1.0</v>
      </c>
      <c r="D326" s="179" t="s">
        <v>1602</v>
      </c>
      <c r="E326" s="188">
        <v>48.93</v>
      </c>
      <c r="F326" s="183">
        <v>46132.0</v>
      </c>
      <c r="G326" s="185" t="s">
        <v>8</v>
      </c>
      <c r="H326" s="185" t="s">
        <v>12</v>
      </c>
      <c r="I326" s="186"/>
    </row>
    <row r="327" ht="22.5" hidden="1" customHeight="1">
      <c r="A327" s="193"/>
      <c r="B327" s="194"/>
      <c r="C327" s="195"/>
      <c r="D327" s="194"/>
      <c r="E327" s="196">
        <f>SUM(Table33[Order Earnings])</f>
        <v>352.73</v>
      </c>
      <c r="F327" s="193"/>
      <c r="G327" s="193"/>
      <c r="H327" s="193"/>
      <c r="I327" s="193"/>
    </row>
    <row r="328" hidden="1">
      <c r="A328" s="199"/>
      <c r="B328" s="200"/>
      <c r="C328" s="201"/>
      <c r="D328" s="200"/>
      <c r="E328" s="202"/>
      <c r="F328" s="199"/>
      <c r="G328" s="199"/>
      <c r="H328" s="199"/>
      <c r="I328" s="199"/>
    </row>
    <row r="329" hidden="1">
      <c r="A329" s="9"/>
      <c r="B329" s="45"/>
      <c r="C329" s="31"/>
      <c r="D329" s="352">
        <v>46133.0</v>
      </c>
      <c r="E329" s="353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22.5" hidden="1" customHeight="1">
      <c r="A330" s="175" t="s">
        <v>1467</v>
      </c>
      <c r="B330" s="175" t="s">
        <v>1477</v>
      </c>
      <c r="C330" s="175" t="s">
        <v>1478</v>
      </c>
      <c r="D330" s="175" t="s">
        <v>1479</v>
      </c>
      <c r="E330" s="175" t="s">
        <v>1481</v>
      </c>
      <c r="F330" s="175" t="s">
        <v>1483</v>
      </c>
      <c r="G330" s="175" t="s">
        <v>1484</v>
      </c>
      <c r="H330" s="175" t="s">
        <v>1486</v>
      </c>
      <c r="I330" s="175" t="s">
        <v>1489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22.5" hidden="1" customHeight="1">
      <c r="A331" s="186" t="s">
        <v>3379</v>
      </c>
      <c r="B331" s="177" t="s">
        <v>432</v>
      </c>
      <c r="C331" s="211">
        <v>1.0</v>
      </c>
      <c r="D331" s="179" t="s">
        <v>1602</v>
      </c>
      <c r="E331" s="188">
        <v>61.52</v>
      </c>
      <c r="F331" s="183">
        <v>46132.0</v>
      </c>
      <c r="G331" s="185" t="s">
        <v>9</v>
      </c>
      <c r="H331" s="185" t="s">
        <v>3380</v>
      </c>
      <c r="I331" s="315"/>
    </row>
    <row r="332" ht="22.5" hidden="1" customHeight="1">
      <c r="A332" s="354"/>
      <c r="B332" s="355"/>
      <c r="C332" s="356"/>
      <c r="D332" s="357"/>
      <c r="E332" s="188" t="s">
        <v>3381</v>
      </c>
      <c r="F332" s="358"/>
      <c r="G332" s="358"/>
      <c r="H332" s="358"/>
      <c r="I332" s="35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idden="1">
      <c r="A333" s="199"/>
      <c r="B333" s="200"/>
      <c r="C333" s="201"/>
      <c r="D333" s="203"/>
      <c r="E333" s="202"/>
      <c r="F333" s="199"/>
      <c r="G333" s="199"/>
      <c r="H333" s="199"/>
      <c r="I333" s="199"/>
    </row>
    <row r="334" hidden="1">
      <c r="A334" s="199"/>
      <c r="B334" s="200"/>
      <c r="C334" s="201"/>
      <c r="D334" s="203">
        <v>46134.0</v>
      </c>
      <c r="E334" s="202"/>
      <c r="F334" s="199"/>
      <c r="G334" s="199"/>
      <c r="H334" s="199"/>
      <c r="I334" s="199"/>
    </row>
    <row r="335" ht="22.5" hidden="1" customHeight="1">
      <c r="A335" s="175" t="s">
        <v>1467</v>
      </c>
      <c r="B335" s="175" t="s">
        <v>1477</v>
      </c>
      <c r="C335" s="175" t="s">
        <v>1478</v>
      </c>
      <c r="D335" s="175" t="s">
        <v>1479</v>
      </c>
      <c r="E335" s="175" t="s">
        <v>1481</v>
      </c>
      <c r="F335" s="175" t="s">
        <v>1483</v>
      </c>
      <c r="G335" s="175" t="s">
        <v>1484</v>
      </c>
      <c r="H335" s="175" t="s">
        <v>1486</v>
      </c>
      <c r="I335" s="175" t="s">
        <v>1489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22.5" hidden="1" customHeight="1">
      <c r="A336" s="176" t="s">
        <v>3382</v>
      </c>
      <c r="B336" s="314" t="s">
        <v>1676</v>
      </c>
      <c r="C336" s="211">
        <v>1.0</v>
      </c>
      <c r="D336" s="179" t="s">
        <v>1602</v>
      </c>
      <c r="E336" s="188">
        <v>132.61</v>
      </c>
      <c r="F336" s="183">
        <v>46133.0</v>
      </c>
      <c r="G336" s="185" t="s">
        <v>9</v>
      </c>
      <c r="H336" s="185" t="s">
        <v>11</v>
      </c>
      <c r="I336" s="317"/>
    </row>
    <row r="337" ht="22.5" hidden="1" customHeight="1">
      <c r="A337" s="176" t="s">
        <v>3383</v>
      </c>
      <c r="B337" s="314">
        <v>1.54825001E8</v>
      </c>
      <c r="C337" s="211">
        <v>1.0</v>
      </c>
      <c r="D337" s="179" t="s">
        <v>1602</v>
      </c>
      <c r="E337" s="188">
        <v>14.41</v>
      </c>
      <c r="F337" s="183">
        <v>46133.0</v>
      </c>
      <c r="G337" s="185" t="s">
        <v>8</v>
      </c>
      <c r="H337" s="185" t="s">
        <v>11</v>
      </c>
      <c r="I337" s="317"/>
    </row>
    <row r="338" ht="22.5" hidden="1" customHeight="1">
      <c r="A338" s="176" t="s">
        <v>3384</v>
      </c>
      <c r="B338" s="314" t="s">
        <v>3385</v>
      </c>
      <c r="C338" s="211">
        <v>1.0</v>
      </c>
      <c r="D338" s="179" t="s">
        <v>1602</v>
      </c>
      <c r="E338" s="188">
        <v>14.61</v>
      </c>
      <c r="F338" s="183">
        <v>46134.0</v>
      </c>
      <c r="G338" s="185" t="s">
        <v>9</v>
      </c>
      <c r="H338" s="185" t="s">
        <v>11</v>
      </c>
      <c r="I338" s="317"/>
    </row>
    <row r="339" ht="22.5" hidden="1" customHeight="1">
      <c r="A339" s="176" t="s">
        <v>3386</v>
      </c>
      <c r="B339" s="177" t="s">
        <v>3387</v>
      </c>
      <c r="C339" s="211">
        <v>1.0</v>
      </c>
      <c r="D339" s="179" t="s">
        <v>1532</v>
      </c>
      <c r="E339" s="188"/>
      <c r="F339" s="183">
        <v>46133.0</v>
      </c>
      <c r="G339" s="185" t="s">
        <v>9</v>
      </c>
      <c r="H339" s="185" t="s">
        <v>11</v>
      </c>
      <c r="I339" s="186" t="s">
        <v>3388</v>
      </c>
    </row>
    <row r="340" ht="22.5" hidden="1" customHeight="1">
      <c r="A340" s="186" t="s">
        <v>3389</v>
      </c>
      <c r="B340" s="350" t="s">
        <v>983</v>
      </c>
      <c r="C340" s="211">
        <v>1.0</v>
      </c>
      <c r="D340" s="179" t="s">
        <v>1602</v>
      </c>
      <c r="E340" s="188">
        <v>68.93</v>
      </c>
      <c r="F340" s="183">
        <v>46133.0</v>
      </c>
      <c r="G340" s="185" t="s">
        <v>8</v>
      </c>
      <c r="H340" s="185" t="s">
        <v>12</v>
      </c>
      <c r="I340" s="186"/>
    </row>
    <row r="341" ht="22.5" hidden="1" customHeight="1">
      <c r="A341" s="186" t="s">
        <v>3390</v>
      </c>
      <c r="B341" s="177" t="s">
        <v>362</v>
      </c>
      <c r="C341" s="211">
        <v>1.0</v>
      </c>
      <c r="D341" s="179" t="s">
        <v>1602</v>
      </c>
      <c r="E341" s="188">
        <v>82.92</v>
      </c>
      <c r="F341" s="183">
        <v>46133.0</v>
      </c>
      <c r="G341" s="185" t="s">
        <v>8</v>
      </c>
      <c r="H341" s="185" t="s">
        <v>12</v>
      </c>
      <c r="I341" s="186"/>
    </row>
    <row r="342" ht="22.5" hidden="1" customHeight="1">
      <c r="A342" s="186" t="s">
        <v>3391</v>
      </c>
      <c r="B342" s="177">
        <v>5.304497786E9</v>
      </c>
      <c r="C342" s="211">
        <v>1.0</v>
      </c>
      <c r="D342" s="185" t="s">
        <v>1602</v>
      </c>
      <c r="E342" s="188">
        <v>113.21</v>
      </c>
      <c r="F342" s="183">
        <v>46132.0</v>
      </c>
      <c r="G342" s="185" t="s">
        <v>9</v>
      </c>
      <c r="H342" s="185" t="s">
        <v>12</v>
      </c>
      <c r="I342" s="313"/>
    </row>
    <row r="343" ht="22.5" hidden="1" customHeight="1">
      <c r="A343" s="186" t="s">
        <v>3392</v>
      </c>
      <c r="B343" s="177" t="s">
        <v>116</v>
      </c>
      <c r="C343" s="211">
        <v>1.0</v>
      </c>
      <c r="D343" s="179" t="s">
        <v>1602</v>
      </c>
      <c r="E343" s="188">
        <v>59.15</v>
      </c>
      <c r="F343" s="183">
        <v>46132.0</v>
      </c>
      <c r="G343" s="185" t="s">
        <v>9</v>
      </c>
      <c r="H343" s="185" t="s">
        <v>12</v>
      </c>
      <c r="I343" s="186"/>
    </row>
    <row r="344" ht="22.5" hidden="1" customHeight="1">
      <c r="A344" s="351" t="s">
        <v>3393</v>
      </c>
      <c r="B344" s="177" t="s">
        <v>472</v>
      </c>
      <c r="C344" s="211">
        <v>1.0</v>
      </c>
      <c r="D344" s="179" t="s">
        <v>1602</v>
      </c>
      <c r="E344" s="188">
        <v>41.35</v>
      </c>
      <c r="F344" s="183">
        <v>46132.0</v>
      </c>
      <c r="G344" s="185" t="s">
        <v>9</v>
      </c>
      <c r="H344" s="185" t="s">
        <v>12</v>
      </c>
      <c r="I344" s="186"/>
    </row>
    <row r="345" ht="22.5" hidden="1" customHeight="1">
      <c r="A345" s="291" t="s">
        <v>3394</v>
      </c>
      <c r="B345" s="177" t="s">
        <v>3395</v>
      </c>
      <c r="C345" s="211">
        <v>1.0</v>
      </c>
      <c r="D345" s="179" t="s">
        <v>1602</v>
      </c>
      <c r="E345" s="188">
        <v>53.0</v>
      </c>
      <c r="F345" s="183">
        <v>46134.0</v>
      </c>
      <c r="G345" s="185" t="s">
        <v>9</v>
      </c>
      <c r="H345" s="185" t="s">
        <v>18</v>
      </c>
      <c r="I345" s="186"/>
    </row>
    <row r="346" ht="22.5" hidden="1" customHeight="1">
      <c r="A346" s="186" t="s">
        <v>3396</v>
      </c>
      <c r="B346" s="177" t="s">
        <v>73</v>
      </c>
      <c r="C346" s="211">
        <v>1.0</v>
      </c>
      <c r="D346" s="179" t="s">
        <v>1602</v>
      </c>
      <c r="E346" s="188">
        <v>182.51</v>
      </c>
      <c r="F346" s="183">
        <v>46139.0</v>
      </c>
      <c r="G346" s="185" t="s">
        <v>9</v>
      </c>
      <c r="H346" s="185" t="s">
        <v>18</v>
      </c>
      <c r="I346" s="186"/>
    </row>
    <row r="347" ht="22.5" hidden="1" customHeight="1">
      <c r="A347" s="186" t="s">
        <v>3397</v>
      </c>
      <c r="B347" s="314" t="s">
        <v>2701</v>
      </c>
      <c r="C347" s="211">
        <v>1.0</v>
      </c>
      <c r="D347" s="179" t="s">
        <v>1602</v>
      </c>
      <c r="E347" s="188">
        <v>116.62</v>
      </c>
      <c r="F347" s="183">
        <v>46133.0</v>
      </c>
      <c r="G347" s="185" t="s">
        <v>9</v>
      </c>
      <c r="H347" s="185" t="s">
        <v>53</v>
      </c>
      <c r="I347" s="317"/>
    </row>
    <row r="348" ht="22.5" hidden="1" customHeight="1">
      <c r="A348" s="186" t="s">
        <v>3398</v>
      </c>
      <c r="B348" s="314" t="s">
        <v>2632</v>
      </c>
      <c r="C348" s="211">
        <v>1.0</v>
      </c>
      <c r="D348" s="179" t="s">
        <v>1602</v>
      </c>
      <c r="E348" s="188">
        <v>91.9</v>
      </c>
      <c r="F348" s="183">
        <v>46133.0</v>
      </c>
      <c r="G348" s="185" t="s">
        <v>9</v>
      </c>
      <c r="H348" s="185" t="s">
        <v>53</v>
      </c>
      <c r="I348" s="317"/>
    </row>
    <row r="349" ht="22.5" hidden="1" customHeight="1">
      <c r="A349" s="193"/>
      <c r="B349" s="194"/>
      <c r="C349" s="195"/>
      <c r="D349" s="194"/>
      <c r="E349" s="196">
        <f>SUM(Table35[Order Earnings])</f>
        <v>971.22</v>
      </c>
      <c r="F349" s="193"/>
      <c r="G349" s="193"/>
      <c r="H349" s="193"/>
      <c r="I349" s="193"/>
    </row>
    <row r="350" hidden="1">
      <c r="A350" s="199"/>
      <c r="B350" s="200"/>
      <c r="C350" s="201"/>
      <c r="D350" s="200"/>
      <c r="E350" s="202"/>
      <c r="F350" s="199"/>
      <c r="G350" s="199"/>
      <c r="H350" s="199"/>
      <c r="I350" s="199"/>
    </row>
    <row r="351" hidden="1">
      <c r="A351" s="199"/>
      <c r="B351" s="200"/>
      <c r="C351" s="201"/>
      <c r="D351" s="203">
        <v>46135.0</v>
      </c>
      <c r="E351" s="202"/>
      <c r="F351" s="199"/>
      <c r="G351" s="199"/>
      <c r="H351" s="199"/>
      <c r="I351" s="199"/>
    </row>
    <row r="352" ht="22.5" hidden="1" customHeight="1">
      <c r="A352" s="175" t="s">
        <v>1467</v>
      </c>
      <c r="B352" s="175" t="s">
        <v>1477</v>
      </c>
      <c r="C352" s="175" t="s">
        <v>1478</v>
      </c>
      <c r="D352" s="175" t="s">
        <v>1479</v>
      </c>
      <c r="E352" s="175" t="s">
        <v>1481</v>
      </c>
      <c r="F352" s="175" t="s">
        <v>1483</v>
      </c>
      <c r="G352" s="175" t="s">
        <v>1484</v>
      </c>
      <c r="H352" s="175" t="s">
        <v>1486</v>
      </c>
      <c r="I352" s="175" t="s">
        <v>1489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22.5" hidden="1" customHeight="1">
      <c r="A353" s="360" t="s">
        <v>3399</v>
      </c>
      <c r="B353" s="350" t="s">
        <v>636</v>
      </c>
      <c r="C353" s="211">
        <v>1.0</v>
      </c>
      <c r="D353" s="179" t="s">
        <v>1602</v>
      </c>
      <c r="E353" s="188">
        <v>30.04</v>
      </c>
      <c r="F353" s="183">
        <v>46134.0</v>
      </c>
      <c r="G353" s="185" t="s">
        <v>8</v>
      </c>
      <c r="H353" s="185" t="s">
        <v>12</v>
      </c>
      <c r="I353" s="186"/>
    </row>
    <row r="354" ht="22.5" hidden="1" customHeight="1">
      <c r="A354" s="186" t="s">
        <v>3400</v>
      </c>
      <c r="B354" s="350" t="s">
        <v>636</v>
      </c>
      <c r="C354" s="211">
        <v>1.0</v>
      </c>
      <c r="D354" s="179" t="s">
        <v>1602</v>
      </c>
      <c r="E354" s="188">
        <v>25.28</v>
      </c>
      <c r="F354" s="183">
        <v>46134.0</v>
      </c>
      <c r="G354" s="185" t="s">
        <v>8</v>
      </c>
      <c r="H354" s="185" t="s">
        <v>12</v>
      </c>
      <c r="I354" s="186"/>
    </row>
    <row r="355" ht="22.5" hidden="1" customHeight="1">
      <c r="A355" s="176" t="s">
        <v>3401</v>
      </c>
      <c r="B355" s="314" t="s">
        <v>3402</v>
      </c>
      <c r="C355" s="211">
        <v>1.0</v>
      </c>
      <c r="D355" s="179" t="s">
        <v>1532</v>
      </c>
      <c r="E355" s="188"/>
      <c r="F355" s="183">
        <v>46134.0</v>
      </c>
      <c r="G355" s="185" t="s">
        <v>9</v>
      </c>
      <c r="H355" s="185" t="s">
        <v>11</v>
      </c>
      <c r="I355" s="317" t="s">
        <v>3403</v>
      </c>
    </row>
    <row r="356" ht="22.5" hidden="1" customHeight="1">
      <c r="A356" s="186" t="s">
        <v>3404</v>
      </c>
      <c r="B356" s="177" t="s">
        <v>1922</v>
      </c>
      <c r="C356" s="211">
        <v>1.0</v>
      </c>
      <c r="D356" s="179" t="s">
        <v>1602</v>
      </c>
      <c r="E356" s="188">
        <v>53.76</v>
      </c>
      <c r="F356" s="183">
        <v>46135.0</v>
      </c>
      <c r="G356" s="185" t="s">
        <v>9</v>
      </c>
      <c r="H356" s="185" t="s">
        <v>3380</v>
      </c>
      <c r="I356" s="315"/>
    </row>
    <row r="357" ht="22.5" hidden="1" customHeight="1">
      <c r="A357" s="193"/>
      <c r="B357" s="194"/>
      <c r="C357" s="195"/>
      <c r="D357" s="194"/>
      <c r="E357" s="196">
        <f>SUM(Table36[Order Earnings])</f>
        <v>109.08</v>
      </c>
      <c r="F357" s="193"/>
      <c r="G357" s="193"/>
      <c r="H357" s="193"/>
      <c r="I357" s="193"/>
    </row>
    <row r="358" hidden="1">
      <c r="A358" s="199"/>
      <c r="B358" s="200"/>
      <c r="C358" s="201"/>
      <c r="D358" s="200"/>
      <c r="E358" s="202"/>
      <c r="F358" s="199"/>
      <c r="G358" s="199"/>
      <c r="H358" s="199"/>
      <c r="I358" s="199"/>
    </row>
    <row r="359" hidden="1">
      <c r="A359" s="199"/>
      <c r="B359" s="200"/>
      <c r="C359" s="201"/>
      <c r="D359" s="203">
        <v>46136.0</v>
      </c>
      <c r="E359" s="202"/>
      <c r="F359" s="199"/>
      <c r="G359" s="199"/>
      <c r="H359" s="199"/>
      <c r="I359" s="199"/>
    </row>
    <row r="360" ht="22.5" hidden="1" customHeight="1">
      <c r="A360" s="175" t="s">
        <v>1467</v>
      </c>
      <c r="B360" s="175" t="s">
        <v>1477</v>
      </c>
      <c r="C360" s="175" t="s">
        <v>1478</v>
      </c>
      <c r="D360" s="175" t="s">
        <v>1479</v>
      </c>
      <c r="E360" s="175" t="s">
        <v>1481</v>
      </c>
      <c r="F360" s="175" t="s">
        <v>1483</v>
      </c>
      <c r="G360" s="175" t="s">
        <v>1484</v>
      </c>
      <c r="H360" s="175" t="s">
        <v>1486</v>
      </c>
      <c r="I360" s="175" t="s">
        <v>1489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22.5" hidden="1" customHeight="1">
      <c r="A361" s="176" t="s">
        <v>3405</v>
      </c>
      <c r="B361" s="314">
        <v>5.304535023E9</v>
      </c>
      <c r="C361" s="211">
        <v>1.0</v>
      </c>
      <c r="D361" s="179" t="s">
        <v>1602</v>
      </c>
      <c r="E361" s="188">
        <v>49.09</v>
      </c>
      <c r="F361" s="183">
        <v>46135.0</v>
      </c>
      <c r="G361" s="185" t="s">
        <v>9</v>
      </c>
      <c r="H361" s="185" t="s">
        <v>1087</v>
      </c>
      <c r="I361" s="317"/>
    </row>
    <row r="362" ht="22.5" hidden="1" customHeight="1">
      <c r="A362" s="176" t="s">
        <v>3406</v>
      </c>
      <c r="B362" s="314" t="s">
        <v>3407</v>
      </c>
      <c r="C362" s="211">
        <v>1.0</v>
      </c>
      <c r="D362" s="179" t="s">
        <v>1602</v>
      </c>
      <c r="E362" s="188">
        <v>14.36</v>
      </c>
      <c r="F362" s="183">
        <v>46135.0</v>
      </c>
      <c r="G362" s="185" t="s">
        <v>9</v>
      </c>
      <c r="H362" s="185" t="s">
        <v>11</v>
      </c>
      <c r="I362" s="317"/>
    </row>
    <row r="363" ht="22.5" hidden="1" customHeight="1">
      <c r="A363" s="176" t="s">
        <v>3408</v>
      </c>
      <c r="B363" s="314" t="s">
        <v>3409</v>
      </c>
      <c r="C363" s="211">
        <v>1.0</v>
      </c>
      <c r="D363" s="179" t="s">
        <v>1602</v>
      </c>
      <c r="E363" s="188">
        <v>79.4</v>
      </c>
      <c r="F363" s="183">
        <v>46135.0</v>
      </c>
      <c r="G363" s="185" t="s">
        <v>9</v>
      </c>
      <c r="H363" s="185" t="s">
        <v>11</v>
      </c>
      <c r="I363" s="317" t="s">
        <v>3410</v>
      </c>
    </row>
    <row r="364" ht="22.5" hidden="1" customHeight="1">
      <c r="A364" s="176" t="s">
        <v>3411</v>
      </c>
      <c r="B364" s="177">
        <v>5.304538605E9</v>
      </c>
      <c r="C364" s="211">
        <v>1.0</v>
      </c>
      <c r="D364" s="179" t="s">
        <v>1602</v>
      </c>
      <c r="E364" s="188">
        <v>69.68</v>
      </c>
      <c r="F364" s="183">
        <v>46135.0</v>
      </c>
      <c r="G364" s="185" t="s">
        <v>9</v>
      </c>
      <c r="H364" s="185" t="s">
        <v>1087</v>
      </c>
      <c r="I364" s="186"/>
    </row>
    <row r="365" ht="22.5" hidden="1" customHeight="1">
      <c r="A365" s="176" t="s">
        <v>3412</v>
      </c>
      <c r="B365" s="177" t="s">
        <v>3287</v>
      </c>
      <c r="C365" s="211">
        <v>1.0</v>
      </c>
      <c r="D365" s="179" t="s">
        <v>1602</v>
      </c>
      <c r="E365" s="188">
        <v>14.91</v>
      </c>
      <c r="F365" s="183">
        <v>46135.0</v>
      </c>
      <c r="G365" s="185" t="s">
        <v>9</v>
      </c>
      <c r="H365" s="185" t="s">
        <v>11</v>
      </c>
      <c r="I365" s="186"/>
    </row>
    <row r="366" ht="22.5" hidden="1" customHeight="1">
      <c r="A366" s="176" t="s">
        <v>3413</v>
      </c>
      <c r="B366" s="177" t="s">
        <v>19</v>
      </c>
      <c r="C366" s="211">
        <v>1.0</v>
      </c>
      <c r="D366" s="179" t="s">
        <v>1602</v>
      </c>
      <c r="E366" s="188">
        <v>60.4</v>
      </c>
      <c r="F366" s="183">
        <v>46136.0</v>
      </c>
      <c r="G366" s="185" t="s">
        <v>9</v>
      </c>
      <c r="H366" s="185" t="s">
        <v>11</v>
      </c>
      <c r="I366" s="317" t="s">
        <v>3410</v>
      </c>
    </row>
    <row r="367" ht="22.5" hidden="1" customHeight="1">
      <c r="A367" s="361" t="s">
        <v>3414</v>
      </c>
      <c r="B367" s="350" t="s">
        <v>636</v>
      </c>
      <c r="C367" s="211">
        <v>1.0</v>
      </c>
      <c r="D367" s="179" t="s">
        <v>1602</v>
      </c>
      <c r="E367" s="188">
        <v>21.3</v>
      </c>
      <c r="F367" s="183">
        <v>46135.0</v>
      </c>
      <c r="G367" s="185" t="s">
        <v>8</v>
      </c>
      <c r="H367" s="185" t="s">
        <v>12</v>
      </c>
      <c r="I367" s="186"/>
    </row>
    <row r="368" ht="22.5" hidden="1" customHeight="1">
      <c r="A368" s="186" t="s">
        <v>3415</v>
      </c>
      <c r="B368" s="314" t="s">
        <v>248</v>
      </c>
      <c r="C368" s="211">
        <v>1.0</v>
      </c>
      <c r="D368" s="179" t="s">
        <v>1602</v>
      </c>
      <c r="E368" s="188">
        <v>92.26</v>
      </c>
      <c r="F368" s="183">
        <v>46136.0</v>
      </c>
      <c r="G368" s="185" t="s">
        <v>8</v>
      </c>
      <c r="H368" s="185" t="s">
        <v>53</v>
      </c>
      <c r="I368" s="317"/>
    </row>
    <row r="369" ht="22.5" hidden="1" customHeight="1">
      <c r="A369" s="193"/>
      <c r="B369" s="194"/>
      <c r="C369" s="195"/>
      <c r="D369" s="194"/>
      <c r="E369" s="196">
        <f>SUM(Table37[Order Earnings])</f>
        <v>401.4</v>
      </c>
      <c r="F369" s="193"/>
      <c r="G369" s="193"/>
      <c r="H369" s="193"/>
      <c r="I369" s="193"/>
    </row>
    <row r="370" hidden="1">
      <c r="A370" s="199"/>
      <c r="B370" s="200"/>
      <c r="C370" s="201"/>
      <c r="D370" s="200"/>
      <c r="E370" s="202"/>
      <c r="F370" s="199"/>
      <c r="G370" s="199"/>
      <c r="H370" s="199"/>
      <c r="I370" s="199"/>
    </row>
    <row r="371" hidden="1">
      <c r="A371" s="199"/>
      <c r="B371" s="200"/>
      <c r="C371" s="201"/>
      <c r="D371" s="203">
        <v>46139.0</v>
      </c>
      <c r="E371" s="202"/>
      <c r="F371" s="199"/>
      <c r="G371" s="199"/>
      <c r="H371" s="199"/>
      <c r="I371" s="199"/>
    </row>
    <row r="372" ht="22.5" hidden="1" customHeight="1">
      <c r="A372" s="175" t="s">
        <v>1467</v>
      </c>
      <c r="B372" s="175" t="s">
        <v>1477</v>
      </c>
      <c r="C372" s="175" t="s">
        <v>1478</v>
      </c>
      <c r="D372" s="175" t="s">
        <v>1479</v>
      </c>
      <c r="E372" s="175" t="s">
        <v>1481</v>
      </c>
      <c r="F372" s="175" t="s">
        <v>1483</v>
      </c>
      <c r="G372" s="175" t="s">
        <v>1484</v>
      </c>
      <c r="H372" s="175" t="s">
        <v>1486</v>
      </c>
      <c r="I372" s="175" t="s">
        <v>1489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22.5" hidden="1" customHeight="1">
      <c r="A373" s="176" t="s">
        <v>3416</v>
      </c>
      <c r="B373" s="314" t="s">
        <v>3273</v>
      </c>
      <c r="C373" s="211">
        <v>1.0</v>
      </c>
      <c r="D373" s="185" t="s">
        <v>1602</v>
      </c>
      <c r="E373" s="188">
        <v>28.08</v>
      </c>
      <c r="F373" s="183">
        <v>46137.0</v>
      </c>
      <c r="G373" s="185" t="s">
        <v>8</v>
      </c>
      <c r="H373" s="185" t="s">
        <v>11</v>
      </c>
      <c r="I373" s="317"/>
    </row>
    <row r="374" ht="22.5" hidden="1" customHeight="1">
      <c r="A374" s="176" t="s">
        <v>3417</v>
      </c>
      <c r="B374" s="314" t="s">
        <v>3418</v>
      </c>
      <c r="C374" s="211">
        <v>1.0</v>
      </c>
      <c r="D374" s="185" t="s">
        <v>1602</v>
      </c>
      <c r="E374" s="188">
        <v>42.91</v>
      </c>
      <c r="F374" s="183">
        <v>46139.0</v>
      </c>
      <c r="G374" s="185" t="s">
        <v>9</v>
      </c>
      <c r="H374" s="185" t="s">
        <v>11</v>
      </c>
      <c r="I374" s="317"/>
    </row>
    <row r="375" ht="22.5" hidden="1" customHeight="1">
      <c r="A375" s="176" t="s">
        <v>3419</v>
      </c>
      <c r="B375" s="314" t="s">
        <v>3420</v>
      </c>
      <c r="C375" s="211">
        <v>1.0</v>
      </c>
      <c r="D375" s="185" t="s">
        <v>1602</v>
      </c>
      <c r="E375" s="188">
        <v>45.62</v>
      </c>
      <c r="F375" s="183">
        <v>46138.0</v>
      </c>
      <c r="G375" s="185" t="s">
        <v>9</v>
      </c>
      <c r="H375" s="185" t="s">
        <v>11</v>
      </c>
      <c r="I375" s="317"/>
    </row>
    <row r="376" ht="22.5" hidden="1" customHeight="1">
      <c r="A376" s="176" t="s">
        <v>3421</v>
      </c>
      <c r="B376" s="177" t="s">
        <v>3422</v>
      </c>
      <c r="C376" s="211">
        <v>1.0</v>
      </c>
      <c r="D376" s="185" t="s">
        <v>1602</v>
      </c>
      <c r="E376" s="188">
        <v>21.86</v>
      </c>
      <c r="F376" s="183">
        <v>46137.0</v>
      </c>
      <c r="G376" s="185" t="s">
        <v>9</v>
      </c>
      <c r="H376" s="185" t="s">
        <v>11</v>
      </c>
      <c r="I376" s="186"/>
    </row>
    <row r="377" ht="22.5" hidden="1" customHeight="1">
      <c r="A377" s="176" t="s">
        <v>3423</v>
      </c>
      <c r="B377" s="177" t="s">
        <v>3424</v>
      </c>
      <c r="C377" s="211">
        <v>1.0</v>
      </c>
      <c r="D377" s="185" t="s">
        <v>1602</v>
      </c>
      <c r="E377" s="188">
        <v>13.96</v>
      </c>
      <c r="F377" s="183">
        <v>46137.0</v>
      </c>
      <c r="G377" s="185" t="s">
        <v>9</v>
      </c>
      <c r="H377" s="185" t="s">
        <v>11</v>
      </c>
      <c r="I377" s="186"/>
    </row>
    <row r="378" ht="22.5" hidden="1" customHeight="1">
      <c r="A378" s="176" t="s">
        <v>3425</v>
      </c>
      <c r="B378" s="314">
        <v>3.162159E8</v>
      </c>
      <c r="C378" s="211">
        <v>1.0</v>
      </c>
      <c r="D378" s="185" t="s">
        <v>1875</v>
      </c>
      <c r="E378" s="188">
        <v>-18.07</v>
      </c>
      <c r="F378" s="183">
        <v>46128.0</v>
      </c>
      <c r="G378" s="185" t="s">
        <v>9</v>
      </c>
      <c r="H378" s="185" t="s">
        <v>1087</v>
      </c>
      <c r="I378" s="186" t="s">
        <v>3426</v>
      </c>
    </row>
    <row r="379" ht="22.5" hidden="1" customHeight="1">
      <c r="A379" s="176" t="s">
        <v>3427</v>
      </c>
      <c r="B379" s="177" t="s">
        <v>3280</v>
      </c>
      <c r="C379" s="211">
        <v>2.0</v>
      </c>
      <c r="D379" s="185" t="s">
        <v>1875</v>
      </c>
      <c r="E379" s="188">
        <v>-42.91</v>
      </c>
      <c r="F379" s="183">
        <v>46112.0</v>
      </c>
      <c r="G379" s="185" t="s">
        <v>9</v>
      </c>
      <c r="H379" s="185" t="s">
        <v>11</v>
      </c>
      <c r="I379" s="313" t="s">
        <v>3428</v>
      </c>
    </row>
    <row r="380" ht="22.5" hidden="1" customHeight="1">
      <c r="A380" s="361" t="s">
        <v>3376</v>
      </c>
      <c r="B380" s="350" t="s">
        <v>3377</v>
      </c>
      <c r="C380" s="211">
        <v>1.0</v>
      </c>
      <c r="D380" s="185" t="s">
        <v>1875</v>
      </c>
      <c r="E380" s="188">
        <v>-35.0</v>
      </c>
      <c r="F380" s="183">
        <v>46139.0</v>
      </c>
      <c r="G380" s="185" t="s">
        <v>8</v>
      </c>
      <c r="H380" s="185" t="s">
        <v>12</v>
      </c>
      <c r="I380" s="313" t="s">
        <v>3429</v>
      </c>
    </row>
    <row r="381" ht="22.5" hidden="1" customHeight="1">
      <c r="A381" s="186" t="s">
        <v>3430</v>
      </c>
      <c r="B381" s="350" t="s">
        <v>3431</v>
      </c>
      <c r="C381" s="211">
        <v>1.0</v>
      </c>
      <c r="D381" s="185" t="s">
        <v>1602</v>
      </c>
      <c r="E381" s="188">
        <v>54.93</v>
      </c>
      <c r="F381" s="183">
        <v>46139.0</v>
      </c>
      <c r="G381" s="185" t="s">
        <v>9</v>
      </c>
      <c r="H381" s="185" t="s">
        <v>12</v>
      </c>
      <c r="I381" s="186"/>
    </row>
    <row r="382" ht="22.5" hidden="1" customHeight="1">
      <c r="A382" s="186" t="s">
        <v>3432</v>
      </c>
      <c r="B382" s="314">
        <v>5.304537408E9</v>
      </c>
      <c r="C382" s="211">
        <v>1.0</v>
      </c>
      <c r="D382" s="179" t="s">
        <v>1602</v>
      </c>
      <c r="E382" s="188">
        <v>27.97</v>
      </c>
      <c r="F382" s="183">
        <v>46137.0</v>
      </c>
      <c r="G382" s="185" t="s">
        <v>9</v>
      </c>
      <c r="H382" s="185" t="s">
        <v>53</v>
      </c>
      <c r="I382" s="317"/>
    </row>
    <row r="383" ht="22.5" hidden="1" customHeight="1">
      <c r="A383" s="186" t="s">
        <v>3433</v>
      </c>
      <c r="B383" s="314" t="s">
        <v>1118</v>
      </c>
      <c r="C383" s="211">
        <v>1.0</v>
      </c>
      <c r="D383" s="179" t="s">
        <v>1602</v>
      </c>
      <c r="E383" s="188">
        <v>19.5</v>
      </c>
      <c r="F383" s="183">
        <v>46139.0</v>
      </c>
      <c r="G383" s="185" t="s">
        <v>9</v>
      </c>
      <c r="H383" s="185" t="s">
        <v>53</v>
      </c>
      <c r="I383" s="317"/>
    </row>
    <row r="384" ht="22.5" hidden="1" customHeight="1">
      <c r="A384" s="186" t="s">
        <v>3434</v>
      </c>
      <c r="B384" s="177" t="s">
        <v>2268</v>
      </c>
      <c r="C384" s="211">
        <v>1.0</v>
      </c>
      <c r="D384" s="179" t="s">
        <v>1602</v>
      </c>
      <c r="E384" s="188">
        <v>75.77</v>
      </c>
      <c r="F384" s="183">
        <v>46137.0</v>
      </c>
      <c r="G384" s="185" t="s">
        <v>9</v>
      </c>
      <c r="H384" s="185" t="s">
        <v>3380</v>
      </c>
      <c r="I384" s="315"/>
    </row>
    <row r="385" ht="22.5" hidden="1" customHeight="1">
      <c r="A385" s="193"/>
      <c r="B385" s="194"/>
      <c r="C385" s="195"/>
      <c r="D385" s="194"/>
      <c r="E385" s="196">
        <f>SUM(Table38[Order Earnings])</f>
        <v>234.62</v>
      </c>
      <c r="F385" s="193"/>
      <c r="G385" s="193"/>
      <c r="H385" s="193"/>
      <c r="I385" s="193"/>
    </row>
    <row r="386" hidden="1">
      <c r="A386" s="199"/>
      <c r="B386" s="200"/>
      <c r="C386" s="201"/>
      <c r="D386" s="200"/>
      <c r="E386" s="202"/>
      <c r="F386" s="199"/>
      <c r="G386" s="199"/>
      <c r="H386" s="199"/>
      <c r="I386" s="199"/>
    </row>
    <row r="387" hidden="1">
      <c r="A387" s="199"/>
      <c r="B387" s="200"/>
      <c r="C387" s="201"/>
      <c r="D387" s="203">
        <v>46140.0</v>
      </c>
      <c r="E387" s="202"/>
      <c r="F387" s="199"/>
      <c r="G387" s="199"/>
      <c r="H387" s="199"/>
      <c r="I387" s="199"/>
    </row>
    <row r="388" ht="22.5" hidden="1" customHeight="1">
      <c r="A388" s="175" t="s">
        <v>1467</v>
      </c>
      <c r="B388" s="175" t="s">
        <v>1477</v>
      </c>
      <c r="C388" s="175" t="s">
        <v>1478</v>
      </c>
      <c r="D388" s="175" t="s">
        <v>1479</v>
      </c>
      <c r="E388" s="175" t="s">
        <v>1481</v>
      </c>
      <c r="F388" s="175" t="s">
        <v>1483</v>
      </c>
      <c r="G388" s="175" t="s">
        <v>1484</v>
      </c>
      <c r="H388" s="175" t="s">
        <v>1486</v>
      </c>
      <c r="I388" s="175" t="s">
        <v>1489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22.5" hidden="1" customHeight="1">
      <c r="A389" s="176" t="s">
        <v>3435</v>
      </c>
      <c r="B389" s="314">
        <v>3.16489403E8</v>
      </c>
      <c r="C389" s="211">
        <v>1.0</v>
      </c>
      <c r="D389" s="179" t="s">
        <v>1602</v>
      </c>
      <c r="E389" s="188">
        <v>14.29</v>
      </c>
      <c r="F389" s="183">
        <v>46140.0</v>
      </c>
      <c r="G389" s="185" t="s">
        <v>8</v>
      </c>
      <c r="H389" s="185" t="s">
        <v>11</v>
      </c>
      <c r="I389" s="317"/>
    </row>
    <row r="390" ht="22.5" hidden="1" customHeight="1">
      <c r="A390" s="176" t="s">
        <v>3436</v>
      </c>
      <c r="B390" s="314" t="s">
        <v>1124</v>
      </c>
      <c r="C390" s="211">
        <v>1.0</v>
      </c>
      <c r="D390" s="179" t="s">
        <v>1602</v>
      </c>
      <c r="E390" s="188">
        <v>14.48</v>
      </c>
      <c r="F390" s="183">
        <v>46139.0</v>
      </c>
      <c r="G390" s="185" t="s">
        <v>9</v>
      </c>
      <c r="H390" s="185" t="s">
        <v>11</v>
      </c>
      <c r="I390" s="317"/>
    </row>
    <row r="391" ht="22.5" hidden="1" customHeight="1">
      <c r="A391" s="176" t="s">
        <v>3437</v>
      </c>
      <c r="B391" s="314" t="s">
        <v>1676</v>
      </c>
      <c r="C391" s="211">
        <v>1.0</v>
      </c>
      <c r="D391" s="179" t="s">
        <v>1875</v>
      </c>
      <c r="E391" s="188">
        <v>-132.61</v>
      </c>
      <c r="F391" s="183">
        <v>46133.0</v>
      </c>
      <c r="G391" s="185" t="s">
        <v>9</v>
      </c>
      <c r="H391" s="185" t="s">
        <v>11</v>
      </c>
      <c r="I391" s="317" t="s">
        <v>3344</v>
      </c>
    </row>
    <row r="392" ht="22.5" hidden="1" customHeight="1">
      <c r="A392" s="361" t="s">
        <v>3438</v>
      </c>
      <c r="B392" s="350" t="s">
        <v>1699</v>
      </c>
      <c r="C392" s="211">
        <v>1.0</v>
      </c>
      <c r="D392" s="179" t="s">
        <v>1602</v>
      </c>
      <c r="E392" s="188">
        <v>42.2</v>
      </c>
      <c r="F392" s="183">
        <v>46139.0</v>
      </c>
      <c r="G392" s="185" t="s">
        <v>8</v>
      </c>
      <c r="H392" s="185" t="s">
        <v>12</v>
      </c>
      <c r="I392" s="186"/>
    </row>
    <row r="393" ht="22.5" hidden="1" customHeight="1">
      <c r="A393" s="186" t="s">
        <v>3439</v>
      </c>
      <c r="B393" s="314" t="s">
        <v>3440</v>
      </c>
      <c r="C393" s="211">
        <v>1.0</v>
      </c>
      <c r="D393" s="179" t="s">
        <v>1602</v>
      </c>
      <c r="E393" s="188">
        <v>139.77</v>
      </c>
      <c r="F393" s="183">
        <v>46140.0</v>
      </c>
      <c r="G393" s="185" t="s">
        <v>9</v>
      </c>
      <c r="H393" s="185" t="s">
        <v>53</v>
      </c>
      <c r="I393" s="317"/>
    </row>
    <row r="394" ht="22.5" hidden="1" customHeight="1">
      <c r="A394" s="186" t="s">
        <v>3441</v>
      </c>
      <c r="B394" s="314" t="s">
        <v>432</v>
      </c>
      <c r="C394" s="211">
        <v>1.0</v>
      </c>
      <c r="D394" s="179" t="s">
        <v>1602</v>
      </c>
      <c r="E394" s="188">
        <v>55.27</v>
      </c>
      <c r="F394" s="183">
        <v>46140.0</v>
      </c>
      <c r="G394" s="185" t="s">
        <v>8</v>
      </c>
      <c r="H394" s="185" t="s">
        <v>53</v>
      </c>
      <c r="I394" s="317"/>
    </row>
    <row r="395" ht="22.5" hidden="1" customHeight="1">
      <c r="A395" s="193"/>
      <c r="B395" s="194"/>
      <c r="C395" s="195"/>
      <c r="D395" s="194"/>
      <c r="E395" s="196">
        <f>SUM(Table39[Order Earnings])</f>
        <v>133.4</v>
      </c>
      <c r="F395" s="193"/>
      <c r="G395" s="193"/>
      <c r="H395" s="193"/>
      <c r="I395" s="193"/>
    </row>
    <row r="396" hidden="1">
      <c r="A396" s="199"/>
      <c r="B396" s="200"/>
      <c r="C396" s="201"/>
      <c r="D396" s="200"/>
      <c r="E396" s="202"/>
      <c r="F396" s="199"/>
      <c r="G396" s="199"/>
      <c r="H396" s="199"/>
      <c r="I396" s="199"/>
    </row>
    <row r="397" hidden="1">
      <c r="A397" s="199"/>
      <c r="B397" s="200"/>
      <c r="C397" s="201"/>
      <c r="D397" s="203">
        <v>46141.0</v>
      </c>
      <c r="E397" s="202"/>
      <c r="F397" s="199"/>
      <c r="G397" s="199"/>
      <c r="H397" s="199"/>
      <c r="I397" s="199"/>
    </row>
    <row r="398" ht="22.5" hidden="1" customHeight="1">
      <c r="A398" s="175" t="s">
        <v>1467</v>
      </c>
      <c r="B398" s="175" t="s">
        <v>1477</v>
      </c>
      <c r="C398" s="175" t="s">
        <v>1478</v>
      </c>
      <c r="D398" s="175" t="s">
        <v>1479</v>
      </c>
      <c r="E398" s="175" t="s">
        <v>1481</v>
      </c>
      <c r="F398" s="175" t="s">
        <v>1483</v>
      </c>
      <c r="G398" s="175" t="s">
        <v>1484</v>
      </c>
      <c r="H398" s="175" t="s">
        <v>1486</v>
      </c>
      <c r="I398" s="175" t="s">
        <v>1489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22.5" hidden="1" customHeight="1">
      <c r="A399" s="176" t="s">
        <v>3442</v>
      </c>
      <c r="B399" s="314" t="s">
        <v>3443</v>
      </c>
      <c r="C399" s="211">
        <v>1.0</v>
      </c>
      <c r="D399" s="179" t="s">
        <v>1532</v>
      </c>
      <c r="E399" s="188"/>
      <c r="F399" s="183">
        <v>46141.0</v>
      </c>
      <c r="G399" s="185" t="s">
        <v>8</v>
      </c>
      <c r="H399" s="185" t="s">
        <v>11</v>
      </c>
      <c r="I399" s="317" t="s">
        <v>3403</v>
      </c>
    </row>
    <row r="400" ht="22.5" hidden="1" customHeight="1">
      <c r="A400" s="186" t="s">
        <v>3444</v>
      </c>
      <c r="B400" s="177" t="s">
        <v>66</v>
      </c>
      <c r="C400" s="211">
        <v>1.0</v>
      </c>
      <c r="D400" s="179" t="s">
        <v>1602</v>
      </c>
      <c r="E400" s="188">
        <v>64.21</v>
      </c>
      <c r="F400" s="183">
        <v>46141.0</v>
      </c>
      <c r="G400" s="185" t="s">
        <v>9</v>
      </c>
      <c r="H400" s="185" t="s">
        <v>3380</v>
      </c>
      <c r="I400" s="315"/>
    </row>
    <row r="401" ht="22.5" hidden="1" customHeight="1">
      <c r="A401" s="193"/>
      <c r="B401" s="194"/>
      <c r="C401" s="195"/>
      <c r="D401" s="194"/>
      <c r="E401" s="196">
        <f>SUM(Table40[Order Earnings])</f>
        <v>64.21</v>
      </c>
      <c r="F401" s="193"/>
      <c r="G401" s="193"/>
      <c r="H401" s="193"/>
      <c r="I401" s="193"/>
    </row>
    <row r="402" hidden="1">
      <c r="A402" s="199"/>
      <c r="B402" s="200"/>
      <c r="C402" s="201"/>
      <c r="D402" s="200"/>
      <c r="E402" s="202"/>
      <c r="F402" s="199"/>
      <c r="G402" s="199"/>
      <c r="H402" s="199"/>
      <c r="I402" s="199"/>
    </row>
    <row r="403" hidden="1">
      <c r="A403" s="199"/>
      <c r="B403" s="200"/>
      <c r="C403" s="201"/>
      <c r="D403" s="203">
        <v>46142.0</v>
      </c>
      <c r="E403" s="202"/>
      <c r="F403" s="199"/>
      <c r="G403" s="199"/>
      <c r="H403" s="199"/>
      <c r="I403" s="199"/>
    </row>
    <row r="404" ht="22.5" hidden="1" customHeight="1">
      <c r="A404" s="175" t="s">
        <v>1467</v>
      </c>
      <c r="B404" s="175" t="s">
        <v>1477</v>
      </c>
      <c r="C404" s="175" t="s">
        <v>1478</v>
      </c>
      <c r="D404" s="175" t="s">
        <v>1479</v>
      </c>
      <c r="E404" s="175" t="s">
        <v>1481</v>
      </c>
      <c r="F404" s="175" t="s">
        <v>1483</v>
      </c>
      <c r="G404" s="175" t="s">
        <v>1484</v>
      </c>
      <c r="H404" s="175" t="s">
        <v>1486</v>
      </c>
      <c r="I404" s="175" t="s">
        <v>1489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22.5" hidden="1" customHeight="1">
      <c r="A405" s="361" t="s">
        <v>3445</v>
      </c>
      <c r="B405" s="350">
        <v>2.42193213E8</v>
      </c>
      <c r="C405" s="211">
        <v>1.0</v>
      </c>
      <c r="D405" s="179" t="s">
        <v>1602</v>
      </c>
      <c r="E405" s="188">
        <v>53.2</v>
      </c>
      <c r="F405" s="183">
        <v>46141.0</v>
      </c>
      <c r="G405" s="185" t="s">
        <v>9</v>
      </c>
      <c r="H405" s="185" t="s">
        <v>12</v>
      </c>
      <c r="I405" s="186"/>
    </row>
    <row r="406" ht="22.5" hidden="1" customHeight="1">
      <c r="A406" s="186" t="s">
        <v>3348</v>
      </c>
      <c r="B406" s="350" t="s">
        <v>3446</v>
      </c>
      <c r="C406" s="211">
        <v>1.0</v>
      </c>
      <c r="D406" s="179" t="s">
        <v>1875</v>
      </c>
      <c r="E406" s="188">
        <v>-89.27</v>
      </c>
      <c r="F406" s="183">
        <v>46141.0</v>
      </c>
      <c r="G406" s="185" t="s">
        <v>8</v>
      </c>
      <c r="H406" s="185" t="s">
        <v>12</v>
      </c>
      <c r="I406" s="186"/>
    </row>
    <row r="407" ht="22.5" hidden="1" customHeight="1">
      <c r="A407" s="186" t="s">
        <v>3447</v>
      </c>
      <c r="B407" s="314" t="s">
        <v>3448</v>
      </c>
      <c r="C407" s="211">
        <v>1.0</v>
      </c>
      <c r="D407" s="179" t="s">
        <v>1602</v>
      </c>
      <c r="E407" s="188">
        <v>35.85</v>
      </c>
      <c r="F407" s="183">
        <v>46142.0</v>
      </c>
      <c r="G407" s="185" t="s">
        <v>9</v>
      </c>
      <c r="H407" s="185" t="s">
        <v>53</v>
      </c>
      <c r="I407" s="317"/>
    </row>
    <row r="408" ht="22.5" hidden="1" customHeight="1">
      <c r="A408" s="186" t="s">
        <v>3449</v>
      </c>
      <c r="B408" s="314" t="s">
        <v>2017</v>
      </c>
      <c r="C408" s="211">
        <v>1.0</v>
      </c>
      <c r="D408" s="179" t="s">
        <v>1602</v>
      </c>
      <c r="E408" s="188">
        <v>28.59</v>
      </c>
      <c r="F408" s="183">
        <v>46142.0</v>
      </c>
      <c r="G408" s="185" t="s">
        <v>9</v>
      </c>
      <c r="H408" s="185" t="s">
        <v>53</v>
      </c>
      <c r="I408" s="317"/>
    </row>
    <row r="409" ht="22.5" hidden="1" customHeight="1">
      <c r="A409" s="186" t="s">
        <v>3450</v>
      </c>
      <c r="B409" s="177">
        <v>5.304535682E9</v>
      </c>
      <c r="C409" s="211">
        <v>1.0</v>
      </c>
      <c r="D409" s="179" t="s">
        <v>1602</v>
      </c>
      <c r="E409" s="188">
        <v>74.57</v>
      </c>
      <c r="F409" s="183">
        <v>46141.0</v>
      </c>
      <c r="G409" s="185" t="s">
        <v>9</v>
      </c>
      <c r="H409" s="185" t="s">
        <v>3380</v>
      </c>
      <c r="I409" s="315"/>
    </row>
    <row r="410" ht="22.5" hidden="1" customHeight="1">
      <c r="A410" s="186" t="s">
        <v>3379</v>
      </c>
      <c r="B410" s="177" t="s">
        <v>432</v>
      </c>
      <c r="C410" s="211">
        <v>1.0</v>
      </c>
      <c r="D410" s="179" t="s">
        <v>1875</v>
      </c>
      <c r="E410" s="188">
        <v>-70.79</v>
      </c>
      <c r="F410" s="183">
        <v>46142.0</v>
      </c>
      <c r="G410" s="185" t="s">
        <v>9</v>
      </c>
      <c r="H410" s="185" t="s">
        <v>3380</v>
      </c>
      <c r="I410" s="186"/>
    </row>
    <row r="411" ht="22.5" hidden="1" customHeight="1">
      <c r="A411" s="193"/>
      <c r="B411" s="194"/>
      <c r="C411" s="195"/>
      <c r="D411" s="194"/>
      <c r="E411" s="196">
        <f>SUM(Table41[Order Earnings])</f>
        <v>32.15</v>
      </c>
      <c r="F411" s="193"/>
      <c r="G411" s="193"/>
      <c r="H411" s="193"/>
      <c r="I411" s="193"/>
    </row>
    <row r="412" hidden="1">
      <c r="A412" s="199"/>
      <c r="B412" s="200"/>
      <c r="C412" s="201"/>
      <c r="D412" s="200"/>
      <c r="E412" s="202"/>
      <c r="F412" s="199"/>
      <c r="G412" s="199"/>
      <c r="H412" s="199"/>
      <c r="I412" s="199"/>
    </row>
    <row r="413" hidden="1">
      <c r="A413" s="199"/>
      <c r="B413" s="200"/>
      <c r="C413" s="201"/>
      <c r="D413" s="203">
        <v>46143.0</v>
      </c>
      <c r="E413" s="202"/>
      <c r="F413" s="199"/>
      <c r="G413" s="199"/>
      <c r="H413" s="199"/>
      <c r="I413" s="199"/>
    </row>
    <row r="414" ht="22.5" hidden="1" customHeight="1">
      <c r="A414" s="175" t="s">
        <v>1467</v>
      </c>
      <c r="B414" s="175" t="s">
        <v>1477</v>
      </c>
      <c r="C414" s="175" t="s">
        <v>1478</v>
      </c>
      <c r="D414" s="175" t="s">
        <v>1479</v>
      </c>
      <c r="E414" s="175" t="s">
        <v>1481</v>
      </c>
      <c r="F414" s="175" t="s">
        <v>1483</v>
      </c>
      <c r="G414" s="175" t="s">
        <v>1484</v>
      </c>
      <c r="H414" s="175" t="s">
        <v>1486</v>
      </c>
      <c r="I414" s="175" t="s">
        <v>1489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22.5" hidden="1" customHeight="1">
      <c r="A415" s="323" t="s">
        <v>3451</v>
      </c>
      <c r="B415" s="350" t="s">
        <v>483</v>
      </c>
      <c r="C415" s="211">
        <v>1.0</v>
      </c>
      <c r="D415" s="179" t="s">
        <v>1602</v>
      </c>
      <c r="E415" s="188">
        <v>14.85</v>
      </c>
      <c r="F415" s="183">
        <v>46143.0</v>
      </c>
      <c r="G415" s="185" t="s">
        <v>8</v>
      </c>
      <c r="H415" s="185" t="s">
        <v>11</v>
      </c>
      <c r="I415" s="186"/>
    </row>
    <row r="416" ht="22.5" hidden="1" customHeight="1">
      <c r="A416" s="318" t="s">
        <v>3452</v>
      </c>
      <c r="B416" s="350" t="s">
        <v>539</v>
      </c>
      <c r="C416" s="211">
        <v>1.0</v>
      </c>
      <c r="D416" s="179" t="s">
        <v>1602</v>
      </c>
      <c r="E416" s="188">
        <v>28.7</v>
      </c>
      <c r="F416" s="183">
        <v>46142.0</v>
      </c>
      <c r="G416" s="185" t="s">
        <v>8</v>
      </c>
      <c r="H416" s="185" t="s">
        <v>12</v>
      </c>
      <c r="I416" s="186"/>
    </row>
    <row r="417" ht="22.5" hidden="1" customHeight="1">
      <c r="A417" s="186" t="s">
        <v>3453</v>
      </c>
      <c r="B417" s="314">
        <v>5.304531885E9</v>
      </c>
      <c r="C417" s="211">
        <v>1.0</v>
      </c>
      <c r="D417" s="179" t="s">
        <v>1602</v>
      </c>
      <c r="E417" s="188">
        <v>106.99</v>
      </c>
      <c r="F417" s="183">
        <v>46142.0</v>
      </c>
      <c r="G417" s="185" t="s">
        <v>9</v>
      </c>
      <c r="H417" s="185" t="s">
        <v>12</v>
      </c>
      <c r="I417" s="317"/>
    </row>
    <row r="418" ht="22.5" hidden="1" customHeight="1">
      <c r="A418" s="186" t="s">
        <v>3454</v>
      </c>
      <c r="B418" s="314">
        <v>1.4015300429E11</v>
      </c>
      <c r="C418" s="211">
        <v>1.0</v>
      </c>
      <c r="D418" s="179" t="s">
        <v>1602</v>
      </c>
      <c r="E418" s="188">
        <v>72.75</v>
      </c>
      <c r="F418" s="183">
        <v>46142.0</v>
      </c>
      <c r="G418" s="185" t="s">
        <v>9</v>
      </c>
      <c r="H418" s="185" t="s">
        <v>12</v>
      </c>
      <c r="I418" s="317"/>
    </row>
    <row r="419" ht="22.5" hidden="1" customHeight="1">
      <c r="A419" s="176" t="s">
        <v>3455</v>
      </c>
      <c r="B419" s="314" t="s">
        <v>1237</v>
      </c>
      <c r="C419" s="211">
        <v>1.0</v>
      </c>
      <c r="D419" s="179" t="s">
        <v>1602</v>
      </c>
      <c r="E419" s="188">
        <v>32.85</v>
      </c>
      <c r="F419" s="183">
        <v>46142.0</v>
      </c>
      <c r="G419" s="185" t="s">
        <v>9</v>
      </c>
      <c r="H419" s="185" t="s">
        <v>53</v>
      </c>
      <c r="I419" s="317"/>
    </row>
    <row r="420" ht="22.5" hidden="1" customHeight="1">
      <c r="A420" s="186" t="s">
        <v>3456</v>
      </c>
      <c r="B420" s="318" t="s">
        <v>362</v>
      </c>
      <c r="C420" s="211">
        <v>1.0</v>
      </c>
      <c r="D420" s="179" t="s">
        <v>1602</v>
      </c>
      <c r="E420" s="188">
        <v>85.51</v>
      </c>
      <c r="F420" s="183">
        <v>46143.0</v>
      </c>
      <c r="G420" s="185" t="s">
        <v>9</v>
      </c>
      <c r="H420" s="185" t="s">
        <v>3380</v>
      </c>
      <c r="I420" s="315"/>
    </row>
    <row r="421" ht="22.5" hidden="1" customHeight="1">
      <c r="A421" s="186" t="s">
        <v>3457</v>
      </c>
      <c r="B421" s="177" t="s">
        <v>2303</v>
      </c>
      <c r="C421" s="211">
        <v>1.0</v>
      </c>
      <c r="D421" s="179" t="s">
        <v>1602</v>
      </c>
      <c r="E421" s="188">
        <v>48.54</v>
      </c>
      <c r="F421" s="183">
        <v>46143.0</v>
      </c>
      <c r="G421" s="185" t="s">
        <v>9</v>
      </c>
      <c r="H421" s="185" t="s">
        <v>3380</v>
      </c>
      <c r="I421" s="186"/>
    </row>
    <row r="422" ht="22.5" hidden="1" customHeight="1">
      <c r="A422" s="176" t="s">
        <v>3458</v>
      </c>
      <c r="B422" s="177" t="s">
        <v>434</v>
      </c>
      <c r="C422" s="211">
        <v>1.0</v>
      </c>
      <c r="D422" s="179" t="s">
        <v>1602</v>
      </c>
      <c r="E422" s="188">
        <v>38.58</v>
      </c>
      <c r="F422" s="183">
        <v>46143.0</v>
      </c>
      <c r="G422" s="185" t="s">
        <v>9</v>
      </c>
      <c r="H422" s="185" t="s">
        <v>351</v>
      </c>
      <c r="I422" s="186"/>
    </row>
    <row r="423" ht="22.5" hidden="1" customHeight="1">
      <c r="A423" s="193"/>
      <c r="B423" s="194"/>
      <c r="C423" s="195"/>
      <c r="D423" s="194"/>
      <c r="E423" s="196">
        <f>SUM(Table42[Order Earnings])</f>
        <v>428.77</v>
      </c>
      <c r="F423" s="193"/>
      <c r="G423" s="193"/>
      <c r="H423" s="193"/>
      <c r="I423" s="193"/>
    </row>
    <row r="424" hidden="1">
      <c r="A424" s="199"/>
      <c r="B424" s="200"/>
      <c r="C424" s="201"/>
      <c r="D424" s="200"/>
      <c r="E424" s="202"/>
      <c r="F424" s="199"/>
      <c r="G424" s="199"/>
      <c r="H424" s="199"/>
      <c r="I424" s="199"/>
    </row>
    <row r="425" hidden="1">
      <c r="A425" s="199"/>
      <c r="B425" s="200"/>
      <c r="C425" s="201"/>
      <c r="D425" s="203">
        <v>46146.0</v>
      </c>
      <c r="E425" s="202"/>
      <c r="F425" s="199"/>
      <c r="G425" s="199"/>
      <c r="H425" s="199"/>
      <c r="I425" s="199"/>
    </row>
    <row r="426" ht="22.5" hidden="1" customHeight="1">
      <c r="A426" s="175" t="s">
        <v>1467</v>
      </c>
      <c r="B426" s="175" t="s">
        <v>1477</v>
      </c>
      <c r="C426" s="175" t="s">
        <v>1478</v>
      </c>
      <c r="D426" s="175" t="s">
        <v>1479</v>
      </c>
      <c r="E426" s="175" t="s">
        <v>1481</v>
      </c>
      <c r="F426" s="175" t="s">
        <v>1483</v>
      </c>
      <c r="G426" s="175" t="s">
        <v>1484</v>
      </c>
      <c r="H426" s="175" t="s">
        <v>1486</v>
      </c>
      <c r="I426" s="175" t="s">
        <v>1489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22.5" hidden="1" customHeight="1">
      <c r="A427" s="362" t="s">
        <v>3459</v>
      </c>
      <c r="B427" s="318">
        <v>1.213100004336E14</v>
      </c>
      <c r="C427" s="211">
        <v>1.0</v>
      </c>
      <c r="D427" s="185" t="s">
        <v>1602</v>
      </c>
      <c r="E427" s="188">
        <v>26.01</v>
      </c>
      <c r="F427" s="183">
        <v>46144.0</v>
      </c>
      <c r="G427" s="185" t="s">
        <v>9</v>
      </c>
      <c r="H427" s="185" t="s">
        <v>3380</v>
      </c>
      <c r="I427" s="315"/>
    </row>
    <row r="428" ht="22.5" hidden="1" customHeight="1">
      <c r="A428" s="176" t="s">
        <v>3460</v>
      </c>
      <c r="B428" s="350" t="s">
        <v>1565</v>
      </c>
      <c r="C428" s="211">
        <v>1.0</v>
      </c>
      <c r="D428" s="185" t="s">
        <v>1602</v>
      </c>
      <c r="E428" s="188">
        <v>13.8</v>
      </c>
      <c r="F428" s="183">
        <v>46143.0</v>
      </c>
      <c r="G428" s="185" t="s">
        <v>8</v>
      </c>
      <c r="H428" s="185" t="s">
        <v>11</v>
      </c>
      <c r="I428" s="186"/>
    </row>
    <row r="429" ht="22.5" hidden="1" customHeight="1">
      <c r="A429" s="176" t="s">
        <v>3461</v>
      </c>
      <c r="B429" s="314" t="s">
        <v>3462</v>
      </c>
      <c r="C429" s="211">
        <v>1.0</v>
      </c>
      <c r="D429" s="185" t="s">
        <v>1602</v>
      </c>
      <c r="E429" s="188">
        <v>14.38</v>
      </c>
      <c r="F429" s="183">
        <v>46144.0</v>
      </c>
      <c r="G429" s="185" t="s">
        <v>8</v>
      </c>
      <c r="H429" s="185" t="s">
        <v>11</v>
      </c>
      <c r="I429" s="317"/>
    </row>
    <row r="430" ht="22.5" hidden="1" customHeight="1">
      <c r="A430" s="176" t="s">
        <v>3463</v>
      </c>
      <c r="B430" s="314">
        <v>1.8835706E9</v>
      </c>
      <c r="C430" s="211">
        <v>1.0</v>
      </c>
      <c r="D430" s="185" t="s">
        <v>1602</v>
      </c>
      <c r="E430" s="188">
        <v>14.88</v>
      </c>
      <c r="F430" s="183">
        <v>46144.0</v>
      </c>
      <c r="G430" s="185" t="s">
        <v>9</v>
      </c>
      <c r="H430" s="185" t="s">
        <v>11</v>
      </c>
      <c r="I430" s="317"/>
    </row>
    <row r="431" ht="22.5" hidden="1" customHeight="1">
      <c r="A431" s="176" t="s">
        <v>3464</v>
      </c>
      <c r="B431" s="314" t="s">
        <v>3465</v>
      </c>
      <c r="C431" s="211">
        <v>1.0</v>
      </c>
      <c r="D431" s="185" t="s">
        <v>1602</v>
      </c>
      <c r="E431" s="188">
        <v>21.88</v>
      </c>
      <c r="F431" s="183">
        <v>46144.0</v>
      </c>
      <c r="G431" s="185" t="s">
        <v>9</v>
      </c>
      <c r="H431" s="185" t="s">
        <v>11</v>
      </c>
      <c r="I431" s="317"/>
    </row>
    <row r="432" ht="22.5" hidden="1" customHeight="1">
      <c r="A432" s="176" t="s">
        <v>3466</v>
      </c>
      <c r="B432" s="318" t="s">
        <v>787</v>
      </c>
      <c r="C432" s="211">
        <v>1.0</v>
      </c>
      <c r="D432" s="185" t="s">
        <v>1602</v>
      </c>
      <c r="E432" s="188">
        <v>14.11</v>
      </c>
      <c r="F432" s="183">
        <v>46146.0</v>
      </c>
      <c r="G432" s="185" t="s">
        <v>8</v>
      </c>
      <c r="H432" s="185" t="s">
        <v>12</v>
      </c>
      <c r="I432" s="189"/>
    </row>
    <row r="433" ht="22.5" hidden="1" customHeight="1">
      <c r="A433" s="176" t="s">
        <v>3467</v>
      </c>
      <c r="B433" s="314" t="s">
        <v>3468</v>
      </c>
      <c r="C433" s="211">
        <v>1.0</v>
      </c>
      <c r="D433" s="185" t="s">
        <v>1602</v>
      </c>
      <c r="E433" s="188">
        <v>86.12</v>
      </c>
      <c r="F433" s="183">
        <v>46145.0</v>
      </c>
      <c r="G433" s="185" t="s">
        <v>8</v>
      </c>
      <c r="H433" s="185" t="s">
        <v>12</v>
      </c>
      <c r="I433" s="317"/>
    </row>
    <row r="434" ht="22.5" hidden="1" customHeight="1">
      <c r="A434" s="176" t="s">
        <v>3469</v>
      </c>
      <c r="B434" s="314" t="s">
        <v>3470</v>
      </c>
      <c r="C434" s="211">
        <v>1.0</v>
      </c>
      <c r="D434" s="185" t="s">
        <v>1602</v>
      </c>
      <c r="E434" s="188">
        <v>29.67</v>
      </c>
      <c r="F434" s="183">
        <v>46146.0</v>
      </c>
      <c r="G434" s="185" t="s">
        <v>9</v>
      </c>
      <c r="H434" s="185" t="s">
        <v>11</v>
      </c>
      <c r="I434" s="317"/>
    </row>
    <row r="435" ht="22.5" hidden="1" customHeight="1">
      <c r="A435" s="176" t="s">
        <v>3471</v>
      </c>
      <c r="B435" s="314" t="s">
        <v>3472</v>
      </c>
      <c r="C435" s="211">
        <v>1.0</v>
      </c>
      <c r="D435" s="185" t="s">
        <v>1602</v>
      </c>
      <c r="E435" s="188">
        <v>28.0</v>
      </c>
      <c r="F435" s="183">
        <v>46146.0</v>
      </c>
      <c r="G435" s="185" t="s">
        <v>9</v>
      </c>
      <c r="H435" s="185" t="s">
        <v>11</v>
      </c>
      <c r="I435" s="317"/>
    </row>
    <row r="436" ht="22.5" hidden="1" customHeight="1">
      <c r="A436" s="176" t="s">
        <v>3473</v>
      </c>
      <c r="B436" s="314" t="s">
        <v>464</v>
      </c>
      <c r="C436" s="211">
        <v>1.0</v>
      </c>
      <c r="D436" s="185" t="s">
        <v>1602</v>
      </c>
      <c r="E436" s="188">
        <v>20.74</v>
      </c>
      <c r="F436" s="183">
        <v>46146.0</v>
      </c>
      <c r="G436" s="185" t="s">
        <v>8</v>
      </c>
      <c r="H436" s="185" t="s">
        <v>12</v>
      </c>
      <c r="I436" s="317"/>
    </row>
    <row r="437" ht="22.5" hidden="1" customHeight="1">
      <c r="A437" s="176" t="s">
        <v>3474</v>
      </c>
      <c r="B437" s="363" t="s">
        <v>1676</v>
      </c>
      <c r="C437" s="211">
        <v>1.0</v>
      </c>
      <c r="D437" s="185" t="s">
        <v>3475</v>
      </c>
      <c r="E437" s="188">
        <v>-140.58</v>
      </c>
      <c r="F437" s="183">
        <v>46146.0</v>
      </c>
      <c r="G437" s="185" t="s">
        <v>9</v>
      </c>
      <c r="H437" s="185" t="s">
        <v>11</v>
      </c>
      <c r="I437" s="315" t="s">
        <v>3476</v>
      </c>
    </row>
    <row r="438" ht="22.5" hidden="1" customHeight="1">
      <c r="A438" s="176" t="s">
        <v>3477</v>
      </c>
      <c r="B438" s="177" t="s">
        <v>647</v>
      </c>
      <c r="C438" s="211">
        <v>1.0</v>
      </c>
      <c r="D438" s="185" t="s">
        <v>1602</v>
      </c>
      <c r="E438" s="188">
        <v>61.03</v>
      </c>
      <c r="F438" s="183">
        <v>46146.0</v>
      </c>
      <c r="G438" s="185" t="s">
        <v>9</v>
      </c>
      <c r="H438" s="185" t="s">
        <v>53</v>
      </c>
      <c r="I438" s="186"/>
    </row>
    <row r="439" ht="22.5" hidden="1" customHeight="1">
      <c r="A439" s="176" t="s">
        <v>3478</v>
      </c>
      <c r="B439" s="177" t="s">
        <v>2850</v>
      </c>
      <c r="C439" s="211">
        <v>1.0</v>
      </c>
      <c r="D439" s="185" t="s">
        <v>1602</v>
      </c>
      <c r="E439" s="188">
        <v>41.22</v>
      </c>
      <c r="F439" s="183">
        <v>46144.0</v>
      </c>
      <c r="G439" s="185" t="s">
        <v>9</v>
      </c>
      <c r="H439" s="185" t="s">
        <v>53</v>
      </c>
      <c r="I439" s="186"/>
    </row>
    <row r="440" ht="22.5" hidden="1" customHeight="1">
      <c r="A440" s="176" t="s">
        <v>3479</v>
      </c>
      <c r="B440" s="177" t="s">
        <v>432</v>
      </c>
      <c r="C440" s="211">
        <v>1.0</v>
      </c>
      <c r="D440" s="185" t="s">
        <v>1602</v>
      </c>
      <c r="E440" s="188">
        <v>52.98</v>
      </c>
      <c r="F440" s="183">
        <v>46145.0</v>
      </c>
      <c r="G440" s="185" t="s">
        <v>9</v>
      </c>
      <c r="H440" s="185" t="s">
        <v>53</v>
      </c>
      <c r="I440" s="186"/>
    </row>
    <row r="441" ht="22.5" hidden="1" customHeight="1">
      <c r="A441" s="176" t="s">
        <v>3480</v>
      </c>
      <c r="B441" s="177" t="s">
        <v>573</v>
      </c>
      <c r="C441" s="211">
        <v>1.0</v>
      </c>
      <c r="D441" s="185" t="s">
        <v>1602</v>
      </c>
      <c r="E441" s="188">
        <v>17.39</v>
      </c>
      <c r="F441" s="183">
        <v>46146.0</v>
      </c>
      <c r="G441" s="185" t="s">
        <v>8</v>
      </c>
      <c r="H441" s="185" t="s">
        <v>53</v>
      </c>
      <c r="I441" s="186"/>
    </row>
    <row r="442" ht="22.5" hidden="1" customHeight="1">
      <c r="A442" s="176" t="s">
        <v>3481</v>
      </c>
      <c r="B442" s="177" t="s">
        <v>1118</v>
      </c>
      <c r="C442" s="211">
        <v>1.0</v>
      </c>
      <c r="D442" s="185" t="s">
        <v>3475</v>
      </c>
      <c r="E442" s="188">
        <v>-31.15</v>
      </c>
      <c r="F442" s="183">
        <v>46139.0</v>
      </c>
      <c r="G442" s="185" t="s">
        <v>9</v>
      </c>
      <c r="H442" s="185" t="s">
        <v>53</v>
      </c>
      <c r="I442" s="315" t="s">
        <v>3482</v>
      </c>
    </row>
    <row r="443" ht="22.5" hidden="1" customHeight="1">
      <c r="A443" s="193"/>
      <c r="B443" s="194"/>
      <c r="C443" s="195"/>
      <c r="D443" s="194"/>
      <c r="E443" s="196">
        <f>SUM(Table43[Order Earnings])</f>
        <v>270.48</v>
      </c>
      <c r="F443" s="193"/>
      <c r="G443" s="193"/>
      <c r="H443" s="193"/>
      <c r="I443" s="193"/>
    </row>
    <row r="444" hidden="1">
      <c r="C444" s="4"/>
    </row>
    <row r="445" hidden="1">
      <c r="A445" s="199"/>
      <c r="B445" s="200"/>
      <c r="C445" s="201"/>
      <c r="D445" s="200"/>
      <c r="E445" s="202"/>
      <c r="F445" s="199"/>
      <c r="G445" s="199"/>
      <c r="H445" s="199"/>
      <c r="I445" s="199"/>
    </row>
    <row r="446" hidden="1">
      <c r="A446" s="199"/>
      <c r="B446" s="200"/>
      <c r="C446" s="201"/>
      <c r="D446" s="203">
        <v>46147.0</v>
      </c>
      <c r="E446" s="202"/>
      <c r="F446" s="199"/>
      <c r="G446" s="199"/>
      <c r="H446" s="199"/>
      <c r="I446" s="199"/>
    </row>
    <row r="447" ht="22.5" hidden="1" customHeight="1">
      <c r="A447" s="175" t="s">
        <v>1467</v>
      </c>
      <c r="B447" s="175" t="s">
        <v>1477</v>
      </c>
      <c r="C447" s="175" t="s">
        <v>1478</v>
      </c>
      <c r="D447" s="175" t="s">
        <v>1479</v>
      </c>
      <c r="E447" s="175" t="s">
        <v>1481</v>
      </c>
      <c r="F447" s="175" t="s">
        <v>1483</v>
      </c>
      <c r="G447" s="175" t="s">
        <v>1484</v>
      </c>
      <c r="H447" s="175" t="s">
        <v>1486</v>
      </c>
      <c r="I447" s="175" t="s">
        <v>1489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22.5" hidden="1" customHeight="1">
      <c r="A448" s="323" t="s">
        <v>3483</v>
      </c>
      <c r="B448" s="177" t="s">
        <v>539</v>
      </c>
      <c r="C448" s="211">
        <v>1.0</v>
      </c>
      <c r="D448" s="185" t="s">
        <v>1602</v>
      </c>
      <c r="E448" s="188">
        <v>30.23</v>
      </c>
      <c r="F448" s="183">
        <v>46146.0</v>
      </c>
      <c r="G448" s="185" t="s">
        <v>8</v>
      </c>
      <c r="H448" s="185" t="s">
        <v>12</v>
      </c>
      <c r="I448" s="189"/>
    </row>
    <row r="449" ht="22.5" hidden="1" customHeight="1">
      <c r="A449" s="176" t="s">
        <v>3484</v>
      </c>
      <c r="B449" s="350" t="s">
        <v>3485</v>
      </c>
      <c r="C449" s="211">
        <v>1.0</v>
      </c>
      <c r="D449" s="185" t="s">
        <v>1532</v>
      </c>
      <c r="E449" s="188"/>
      <c r="F449" s="183">
        <v>46146.0</v>
      </c>
      <c r="G449" s="185" t="s">
        <v>8</v>
      </c>
      <c r="H449" s="185" t="s">
        <v>11</v>
      </c>
      <c r="I449" s="313" t="s">
        <v>3230</v>
      </c>
    </row>
    <row r="450" ht="22.5" hidden="1" customHeight="1">
      <c r="A450" s="176" t="s">
        <v>3486</v>
      </c>
      <c r="B450" s="314" t="s">
        <v>3287</v>
      </c>
      <c r="C450" s="211">
        <v>1.0</v>
      </c>
      <c r="D450" s="185" t="s">
        <v>1602</v>
      </c>
      <c r="E450" s="188">
        <v>14.59</v>
      </c>
      <c r="F450" s="183">
        <v>46146.0</v>
      </c>
      <c r="G450" s="185" t="s">
        <v>9</v>
      </c>
      <c r="H450" s="185" t="s">
        <v>11</v>
      </c>
      <c r="I450" s="317"/>
    </row>
    <row r="451" ht="22.5" hidden="1" customHeight="1">
      <c r="A451" s="176" t="s">
        <v>3487</v>
      </c>
      <c r="B451" s="314" t="s">
        <v>3488</v>
      </c>
      <c r="C451" s="211">
        <v>1.0</v>
      </c>
      <c r="D451" s="185" t="s">
        <v>1602</v>
      </c>
      <c r="E451" s="188">
        <v>38.221</v>
      </c>
      <c r="F451" s="183">
        <v>46146.0</v>
      </c>
      <c r="G451" s="185" t="s">
        <v>9</v>
      </c>
      <c r="H451" s="185" t="s">
        <v>11</v>
      </c>
      <c r="I451" s="317"/>
    </row>
    <row r="452" ht="22.5" hidden="1" customHeight="1">
      <c r="A452" s="176" t="s">
        <v>3489</v>
      </c>
      <c r="B452" s="314" t="s">
        <v>3490</v>
      </c>
      <c r="C452" s="211">
        <v>1.0</v>
      </c>
      <c r="D452" s="185" t="s">
        <v>1532</v>
      </c>
      <c r="E452" s="188"/>
      <c r="F452" s="183">
        <v>46146.0</v>
      </c>
      <c r="G452" s="185" t="s">
        <v>9</v>
      </c>
      <c r="H452" s="185" t="s">
        <v>11</v>
      </c>
      <c r="I452" s="317" t="s">
        <v>3491</v>
      </c>
    </row>
    <row r="453" ht="22.5" hidden="1" customHeight="1">
      <c r="A453" s="176" t="s">
        <v>3492</v>
      </c>
      <c r="B453" s="364" t="s">
        <v>2257</v>
      </c>
      <c r="C453" s="211">
        <v>1.0</v>
      </c>
      <c r="D453" s="185" t="s">
        <v>1875</v>
      </c>
      <c r="E453" s="188">
        <v>-56.86</v>
      </c>
      <c r="F453" s="183">
        <v>46128.0</v>
      </c>
      <c r="G453" s="185" t="s">
        <v>9</v>
      </c>
      <c r="H453" s="185" t="s">
        <v>53</v>
      </c>
      <c r="I453" s="365" t="s">
        <v>3493</v>
      </c>
    </row>
    <row r="454" ht="22.5" hidden="1" customHeight="1">
      <c r="A454" s="176" t="s">
        <v>3494</v>
      </c>
      <c r="B454" s="314" t="s">
        <v>2715</v>
      </c>
      <c r="C454" s="211">
        <v>1.0</v>
      </c>
      <c r="D454" s="185" t="s">
        <v>1602</v>
      </c>
      <c r="E454" s="188">
        <v>61.03</v>
      </c>
      <c r="F454" s="183">
        <v>46147.0</v>
      </c>
      <c r="G454" s="185" t="s">
        <v>9</v>
      </c>
      <c r="H454" s="185" t="s">
        <v>53</v>
      </c>
      <c r="I454" s="317"/>
    </row>
    <row r="455" ht="22.5" hidden="1" customHeight="1">
      <c r="A455" s="176" t="s">
        <v>3495</v>
      </c>
      <c r="B455" s="314" t="s">
        <v>3007</v>
      </c>
      <c r="C455" s="211">
        <v>1.0</v>
      </c>
      <c r="D455" s="185" t="s">
        <v>1602</v>
      </c>
      <c r="E455" s="188">
        <v>264.06</v>
      </c>
      <c r="F455" s="183">
        <v>46147.0</v>
      </c>
      <c r="G455" s="185" t="s">
        <v>9</v>
      </c>
      <c r="H455" s="185" t="s">
        <v>53</v>
      </c>
      <c r="I455" s="317"/>
    </row>
    <row r="456" ht="22.5" hidden="1" customHeight="1">
      <c r="A456" s="176" t="s">
        <v>3496</v>
      </c>
      <c r="B456" s="314" t="s">
        <v>417</v>
      </c>
      <c r="C456" s="211">
        <v>1.0</v>
      </c>
      <c r="D456" s="185" t="s">
        <v>1602</v>
      </c>
      <c r="E456" s="188">
        <v>113.31</v>
      </c>
      <c r="F456" s="183">
        <v>46147.0</v>
      </c>
      <c r="G456" s="185" t="s">
        <v>9</v>
      </c>
      <c r="H456" s="185" t="s">
        <v>53</v>
      </c>
      <c r="I456" s="317"/>
    </row>
    <row r="457" ht="22.5" hidden="1" customHeight="1">
      <c r="A457" s="176" t="s">
        <v>3497</v>
      </c>
      <c r="B457" s="314" t="s">
        <v>651</v>
      </c>
      <c r="C457" s="211">
        <v>1.0</v>
      </c>
      <c r="D457" s="185" t="s">
        <v>1602</v>
      </c>
      <c r="E457" s="188">
        <v>34.6</v>
      </c>
      <c r="F457" s="183">
        <v>46147.0</v>
      </c>
      <c r="G457" s="185" t="s">
        <v>8</v>
      </c>
      <c r="H457" s="185" t="s">
        <v>53</v>
      </c>
      <c r="I457" s="317"/>
    </row>
    <row r="458" ht="22.5" hidden="1" customHeight="1">
      <c r="A458" s="193"/>
      <c r="B458" s="194"/>
      <c r="C458" s="195"/>
      <c r="D458" s="194"/>
      <c r="E458" s="196">
        <f>SUM(Table44[Order Earnings])</f>
        <v>499.181</v>
      </c>
      <c r="F458" s="193"/>
      <c r="G458" s="193"/>
      <c r="H458" s="193"/>
      <c r="I458" s="193"/>
    </row>
    <row r="459" hidden="1">
      <c r="A459" s="199"/>
      <c r="B459" s="200"/>
      <c r="C459" s="201"/>
      <c r="D459" s="200"/>
      <c r="E459" s="202"/>
      <c r="F459" s="199"/>
      <c r="G459" s="199"/>
      <c r="H459" s="199"/>
      <c r="I459" s="199"/>
    </row>
    <row r="460" hidden="1">
      <c r="A460" s="199"/>
      <c r="B460" s="200"/>
      <c r="C460" s="201"/>
      <c r="D460" s="203">
        <v>46148.0</v>
      </c>
      <c r="E460" s="202"/>
      <c r="F460" s="199"/>
      <c r="G460" s="199"/>
      <c r="H460" s="199"/>
      <c r="I460" s="199"/>
    </row>
    <row r="461" ht="22.5" hidden="1" customHeight="1">
      <c r="A461" s="175" t="s">
        <v>1467</v>
      </c>
      <c r="B461" s="175" t="s">
        <v>1477</v>
      </c>
      <c r="C461" s="175" t="s">
        <v>1478</v>
      </c>
      <c r="D461" s="175" t="s">
        <v>1479</v>
      </c>
      <c r="E461" s="175" t="s">
        <v>1481</v>
      </c>
      <c r="F461" s="175" t="s">
        <v>1483</v>
      </c>
      <c r="G461" s="175" t="s">
        <v>1484</v>
      </c>
      <c r="H461" s="175" t="s">
        <v>1486</v>
      </c>
      <c r="I461" s="175" t="s">
        <v>1489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22.5" hidden="1" customHeight="1">
      <c r="A462" s="176" t="s">
        <v>3498</v>
      </c>
      <c r="B462" s="177">
        <v>5.304526872E9</v>
      </c>
      <c r="C462" s="211">
        <v>1.0</v>
      </c>
      <c r="D462" s="185" t="s">
        <v>1602</v>
      </c>
      <c r="E462" s="188">
        <v>29.01</v>
      </c>
      <c r="F462" s="183">
        <v>46148.0</v>
      </c>
      <c r="G462" s="185" t="s">
        <v>9</v>
      </c>
      <c r="H462" s="185" t="s">
        <v>53</v>
      </c>
      <c r="I462" s="189"/>
    </row>
    <row r="463" ht="22.5" hidden="1" customHeight="1">
      <c r="A463" s="176" t="s">
        <v>3499</v>
      </c>
      <c r="B463" s="350">
        <v>5.304526032E9</v>
      </c>
      <c r="C463" s="211">
        <v>1.0</v>
      </c>
      <c r="D463" s="185" t="s">
        <v>1602</v>
      </c>
      <c r="E463" s="188">
        <v>33.86</v>
      </c>
      <c r="F463" s="183">
        <v>46147.0</v>
      </c>
      <c r="G463" s="185" t="s">
        <v>9</v>
      </c>
      <c r="H463" s="185" t="s">
        <v>53</v>
      </c>
      <c r="I463" s="313"/>
    </row>
    <row r="464" ht="22.5" hidden="1" customHeight="1">
      <c r="A464" s="176" t="s">
        <v>3500</v>
      </c>
      <c r="B464" s="314" t="s">
        <v>1237</v>
      </c>
      <c r="C464" s="211">
        <v>1.0</v>
      </c>
      <c r="D464" s="185" t="s">
        <v>1602</v>
      </c>
      <c r="E464" s="188">
        <v>34.13</v>
      </c>
      <c r="F464" s="183">
        <v>46147.0</v>
      </c>
      <c r="G464" s="185" t="s">
        <v>9</v>
      </c>
      <c r="H464" s="185" t="s">
        <v>53</v>
      </c>
      <c r="I464" s="317"/>
    </row>
    <row r="465" ht="22.5" hidden="1" customHeight="1">
      <c r="A465" s="176" t="s">
        <v>3501</v>
      </c>
      <c r="B465" s="314">
        <v>9.73925060713006E14</v>
      </c>
      <c r="C465" s="211">
        <v>1.0</v>
      </c>
      <c r="D465" s="185" t="s">
        <v>1602</v>
      </c>
      <c r="E465" s="188">
        <v>54.2</v>
      </c>
      <c r="F465" s="183">
        <v>46148.0</v>
      </c>
      <c r="G465" s="185" t="s">
        <v>8</v>
      </c>
      <c r="H465" s="185" t="s">
        <v>12</v>
      </c>
      <c r="I465" s="317"/>
    </row>
    <row r="466" ht="22.5" hidden="1" customHeight="1">
      <c r="A466" s="193"/>
      <c r="B466" s="194"/>
      <c r="C466" s="195"/>
      <c r="D466" s="194"/>
      <c r="E466" s="196">
        <f>SUM(Table45[Order Earnings])</f>
        <v>151.2</v>
      </c>
      <c r="F466" s="193"/>
      <c r="G466" s="193"/>
      <c r="H466" s="193"/>
      <c r="I466" s="193"/>
    </row>
    <row r="467" hidden="1">
      <c r="A467" s="199"/>
      <c r="B467" s="200"/>
      <c r="C467" s="201"/>
      <c r="D467" s="200"/>
      <c r="E467" s="202"/>
      <c r="F467" s="199"/>
      <c r="G467" s="199"/>
      <c r="H467" s="199"/>
      <c r="I467" s="199"/>
    </row>
    <row r="468" hidden="1">
      <c r="A468" s="199"/>
      <c r="B468" s="200"/>
      <c r="C468" s="201"/>
      <c r="D468" s="203">
        <v>46149.0</v>
      </c>
      <c r="E468" s="202"/>
      <c r="F468" s="199"/>
      <c r="G468" s="199"/>
      <c r="H468" s="199"/>
      <c r="I468" s="199"/>
    </row>
    <row r="469" ht="22.5" hidden="1" customHeight="1">
      <c r="A469" s="175" t="s">
        <v>1467</v>
      </c>
      <c r="B469" s="175" t="s">
        <v>1477</v>
      </c>
      <c r="C469" s="175" t="s">
        <v>1478</v>
      </c>
      <c r="D469" s="175" t="s">
        <v>1479</v>
      </c>
      <c r="E469" s="175" t="s">
        <v>1481</v>
      </c>
      <c r="F469" s="175" t="s">
        <v>1483</v>
      </c>
      <c r="G469" s="175" t="s">
        <v>1484</v>
      </c>
      <c r="H469" s="175" t="s">
        <v>1486</v>
      </c>
      <c r="I469" s="175" t="s">
        <v>1489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22.5" hidden="1" customHeight="1">
      <c r="A470" s="176" t="s">
        <v>3502</v>
      </c>
      <c r="B470" s="177" t="s">
        <v>584</v>
      </c>
      <c r="C470" s="211">
        <v>1.0</v>
      </c>
      <c r="D470" s="185" t="s">
        <v>1602</v>
      </c>
      <c r="E470" s="188">
        <v>56.27</v>
      </c>
      <c r="F470" s="183">
        <v>46148.0</v>
      </c>
      <c r="G470" s="185" t="s">
        <v>8</v>
      </c>
      <c r="H470" s="185" t="s">
        <v>12</v>
      </c>
      <c r="I470" s="189"/>
    </row>
    <row r="471" ht="22.5" hidden="1" customHeight="1">
      <c r="A471" s="176" t="s">
        <v>3503</v>
      </c>
      <c r="B471" s="350" t="s">
        <v>492</v>
      </c>
      <c r="C471" s="211">
        <v>1.0</v>
      </c>
      <c r="D471" s="185" t="s">
        <v>1602</v>
      </c>
      <c r="E471" s="188">
        <v>34.66</v>
      </c>
      <c r="F471" s="183">
        <v>46148.0</v>
      </c>
      <c r="G471" s="185" t="s">
        <v>9</v>
      </c>
      <c r="H471" s="185" t="s">
        <v>351</v>
      </c>
      <c r="I471" s="313"/>
    </row>
    <row r="472" ht="22.5" hidden="1" customHeight="1">
      <c r="A472" s="176" t="s">
        <v>3504</v>
      </c>
      <c r="B472" s="314" t="s">
        <v>392</v>
      </c>
      <c r="C472" s="211">
        <v>1.0</v>
      </c>
      <c r="D472" s="185" t="s">
        <v>1602</v>
      </c>
      <c r="E472" s="188">
        <v>20.22</v>
      </c>
      <c r="F472" s="183">
        <v>46148.0</v>
      </c>
      <c r="G472" s="185" t="s">
        <v>8</v>
      </c>
      <c r="H472" s="185" t="s">
        <v>11</v>
      </c>
      <c r="I472" s="317"/>
    </row>
    <row r="473" ht="22.5" hidden="1" customHeight="1">
      <c r="A473" s="176" t="s">
        <v>3505</v>
      </c>
      <c r="B473" s="314" t="s">
        <v>3506</v>
      </c>
      <c r="C473" s="211">
        <v>1.0</v>
      </c>
      <c r="D473" s="185" t="s">
        <v>1602</v>
      </c>
      <c r="E473" s="188">
        <v>72.43</v>
      </c>
      <c r="F473" s="183">
        <v>46149.0</v>
      </c>
      <c r="G473" s="185" t="s">
        <v>9</v>
      </c>
      <c r="H473" s="185" t="s">
        <v>1087</v>
      </c>
      <c r="I473" s="317"/>
    </row>
    <row r="474" ht="22.5" hidden="1" customHeight="1">
      <c r="A474" s="176" t="s">
        <v>3507</v>
      </c>
      <c r="B474" s="314" t="s">
        <v>3508</v>
      </c>
      <c r="C474" s="211">
        <v>1.0</v>
      </c>
      <c r="D474" s="185" t="s">
        <v>1602</v>
      </c>
      <c r="E474" s="188">
        <v>14.61</v>
      </c>
      <c r="F474" s="183">
        <v>46148.0</v>
      </c>
      <c r="G474" s="185" t="s">
        <v>9</v>
      </c>
      <c r="H474" s="185" t="s">
        <v>11</v>
      </c>
      <c r="I474" s="317"/>
    </row>
    <row r="475" ht="22.5" hidden="1" customHeight="1">
      <c r="A475" s="176" t="s">
        <v>3509</v>
      </c>
      <c r="B475" s="364" t="s">
        <v>2983</v>
      </c>
      <c r="C475" s="211">
        <v>1.0</v>
      </c>
      <c r="D475" s="185" t="s">
        <v>1602</v>
      </c>
      <c r="E475" s="188">
        <v>99.82</v>
      </c>
      <c r="F475" s="183">
        <v>46148.0</v>
      </c>
      <c r="G475" s="185" t="s">
        <v>9</v>
      </c>
      <c r="H475" s="185" t="s">
        <v>1087</v>
      </c>
      <c r="I475" s="189"/>
    </row>
    <row r="476" ht="22.5" hidden="1" customHeight="1">
      <c r="A476" s="176" t="s">
        <v>3510</v>
      </c>
      <c r="B476" s="314" t="s">
        <v>2970</v>
      </c>
      <c r="C476" s="211">
        <v>1.0</v>
      </c>
      <c r="D476" s="185" t="s">
        <v>1602</v>
      </c>
      <c r="E476" s="188">
        <v>65.67</v>
      </c>
      <c r="F476" s="183">
        <v>46148.0</v>
      </c>
      <c r="G476" s="185" t="s">
        <v>9</v>
      </c>
      <c r="H476" s="185" t="s">
        <v>53</v>
      </c>
      <c r="I476" s="317"/>
    </row>
    <row r="477" ht="22.5" hidden="1" customHeight="1">
      <c r="A477" s="176" t="s">
        <v>3511</v>
      </c>
      <c r="B477" s="314" t="s">
        <v>3046</v>
      </c>
      <c r="C477" s="211">
        <v>1.0</v>
      </c>
      <c r="D477" s="185" t="s">
        <v>1602</v>
      </c>
      <c r="E477" s="188">
        <v>100.25</v>
      </c>
      <c r="F477" s="183">
        <v>46148.0</v>
      </c>
      <c r="G477" s="185" t="s">
        <v>9</v>
      </c>
      <c r="H477" s="185" t="s">
        <v>53</v>
      </c>
      <c r="I477" s="317"/>
    </row>
    <row r="478" ht="22.5" hidden="1" customHeight="1">
      <c r="A478" s="176" t="s">
        <v>3512</v>
      </c>
      <c r="B478" s="314" t="s">
        <v>3513</v>
      </c>
      <c r="C478" s="211">
        <v>1.0</v>
      </c>
      <c r="D478" s="185" t="s">
        <v>1875</v>
      </c>
      <c r="E478" s="188">
        <v>-41.35</v>
      </c>
      <c r="F478" s="183">
        <v>46149.0</v>
      </c>
      <c r="G478" s="185" t="s">
        <v>9</v>
      </c>
      <c r="H478" s="185" t="s">
        <v>12</v>
      </c>
      <c r="I478" s="317" t="s">
        <v>3514</v>
      </c>
    </row>
    <row r="479" ht="22.5" hidden="1" customHeight="1">
      <c r="A479" s="193"/>
      <c r="B479" s="194"/>
      <c r="C479" s="195"/>
      <c r="D479" s="194"/>
      <c r="E479" s="196">
        <f>SUM(E470:E478)</f>
        <v>422.58</v>
      </c>
      <c r="F479" s="193"/>
      <c r="G479" s="193"/>
      <c r="H479" s="193"/>
      <c r="I479" s="193"/>
    </row>
    <row r="480" hidden="1">
      <c r="A480" s="199"/>
      <c r="B480" s="200"/>
      <c r="C480" s="201"/>
      <c r="D480" s="200"/>
      <c r="E480" s="202"/>
      <c r="F480" s="199"/>
      <c r="G480" s="199"/>
      <c r="H480" s="199"/>
      <c r="I480" s="199"/>
    </row>
    <row r="481" hidden="1">
      <c r="A481" s="199"/>
      <c r="B481" s="200"/>
      <c r="C481" s="201"/>
      <c r="D481" s="203">
        <v>46150.0</v>
      </c>
      <c r="E481" s="202"/>
      <c r="F481" s="199"/>
      <c r="G481" s="199"/>
      <c r="H481" s="199"/>
      <c r="I481" s="199"/>
    </row>
    <row r="482" ht="22.5" hidden="1" customHeight="1">
      <c r="A482" s="175" t="s">
        <v>1467</v>
      </c>
      <c r="B482" s="175" t="s">
        <v>1477</v>
      </c>
      <c r="C482" s="175" t="s">
        <v>1478</v>
      </c>
      <c r="D482" s="175" t="s">
        <v>1479</v>
      </c>
      <c r="E482" s="175" t="s">
        <v>1481</v>
      </c>
      <c r="F482" s="175" t="s">
        <v>1483</v>
      </c>
      <c r="G482" s="175" t="s">
        <v>1484</v>
      </c>
      <c r="H482" s="175" t="s">
        <v>1486</v>
      </c>
      <c r="I482" s="175" t="s">
        <v>1489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22.5" hidden="1" customHeight="1">
      <c r="A483" s="176" t="s">
        <v>3515</v>
      </c>
      <c r="B483" s="177" t="s">
        <v>2440</v>
      </c>
      <c r="C483" s="211">
        <v>1.0</v>
      </c>
      <c r="D483" s="185" t="s">
        <v>1602</v>
      </c>
      <c r="E483" s="188">
        <v>24.14</v>
      </c>
      <c r="F483" s="183">
        <v>46149.0</v>
      </c>
      <c r="G483" s="185" t="s">
        <v>9</v>
      </c>
      <c r="H483" s="185" t="s">
        <v>3380</v>
      </c>
      <c r="I483" s="189"/>
    </row>
    <row r="484" ht="22.5" hidden="1" customHeight="1">
      <c r="A484" s="176" t="s">
        <v>3516</v>
      </c>
      <c r="B484" s="350" t="s">
        <v>734</v>
      </c>
      <c r="C484" s="211">
        <v>1.0</v>
      </c>
      <c r="D484" s="185" t="s">
        <v>1602</v>
      </c>
      <c r="E484" s="188">
        <v>22.06</v>
      </c>
      <c r="F484" s="183">
        <v>46149.0</v>
      </c>
      <c r="G484" s="185" t="s">
        <v>9</v>
      </c>
      <c r="H484" s="185" t="s">
        <v>12</v>
      </c>
      <c r="I484" s="313"/>
    </row>
    <row r="485" ht="22.5" hidden="1" customHeight="1">
      <c r="A485" s="176" t="s">
        <v>3517</v>
      </c>
      <c r="B485" s="314" t="s">
        <v>539</v>
      </c>
      <c r="C485" s="211">
        <v>1.0</v>
      </c>
      <c r="D485" s="185" t="s">
        <v>1602</v>
      </c>
      <c r="E485" s="188">
        <v>29.62</v>
      </c>
      <c r="F485" s="183">
        <v>46149.0</v>
      </c>
      <c r="G485" s="185" t="s">
        <v>8</v>
      </c>
      <c r="H485" s="185" t="s">
        <v>12</v>
      </c>
      <c r="I485" s="317"/>
    </row>
    <row r="486" ht="22.5" hidden="1" customHeight="1">
      <c r="A486" s="176" t="s">
        <v>3518</v>
      </c>
      <c r="B486" s="314" t="s">
        <v>450</v>
      </c>
      <c r="C486" s="211">
        <v>1.0</v>
      </c>
      <c r="D486" s="185" t="s">
        <v>1602</v>
      </c>
      <c r="E486" s="188">
        <v>98.97</v>
      </c>
      <c r="F486" s="183">
        <v>46149.0</v>
      </c>
      <c r="G486" s="185" t="s">
        <v>8</v>
      </c>
      <c r="H486" s="185" t="s">
        <v>11</v>
      </c>
      <c r="I486" s="317"/>
    </row>
    <row r="487" ht="22.5" hidden="1" customHeight="1">
      <c r="A487" s="176" t="s">
        <v>3519</v>
      </c>
      <c r="B487" s="314" t="s">
        <v>3520</v>
      </c>
      <c r="C487" s="211">
        <v>1.0</v>
      </c>
      <c r="D487" s="185" t="s">
        <v>1602</v>
      </c>
      <c r="E487" s="188">
        <v>118.33</v>
      </c>
      <c r="F487" s="183">
        <v>46150.0</v>
      </c>
      <c r="G487" s="185" t="s">
        <v>9</v>
      </c>
      <c r="H487" s="185" t="s">
        <v>11</v>
      </c>
      <c r="I487" s="317"/>
    </row>
    <row r="488" ht="22.5" hidden="1" customHeight="1">
      <c r="A488" s="176" t="s">
        <v>3521</v>
      </c>
      <c r="B488" s="364" t="s">
        <v>1562</v>
      </c>
      <c r="C488" s="211">
        <v>1.0</v>
      </c>
      <c r="D488" s="185" t="s">
        <v>1532</v>
      </c>
      <c r="E488" s="188"/>
      <c r="F488" s="183">
        <v>46149.0</v>
      </c>
      <c r="G488" s="185" t="s">
        <v>9</v>
      </c>
      <c r="H488" s="185" t="s">
        <v>11</v>
      </c>
      <c r="I488" s="186" t="s">
        <v>3522</v>
      </c>
    </row>
    <row r="489" ht="22.5" hidden="1" customHeight="1">
      <c r="A489" s="176" t="s">
        <v>3523</v>
      </c>
      <c r="B489" s="314" t="s">
        <v>1237</v>
      </c>
      <c r="C489" s="211">
        <v>1.0</v>
      </c>
      <c r="D489" s="185" t="s">
        <v>1602</v>
      </c>
      <c r="E489" s="188">
        <v>34.12</v>
      </c>
      <c r="F489" s="183">
        <v>46150.0</v>
      </c>
      <c r="G489" s="185" t="s">
        <v>9</v>
      </c>
      <c r="H489" s="185" t="s">
        <v>1087</v>
      </c>
      <c r="I489" s="317"/>
    </row>
    <row r="490" ht="22.5" hidden="1" customHeight="1">
      <c r="A490" s="176" t="s">
        <v>3524</v>
      </c>
      <c r="B490" s="314" t="s">
        <v>3525</v>
      </c>
      <c r="C490" s="211">
        <v>1.0</v>
      </c>
      <c r="D490" s="185" t="s">
        <v>1602</v>
      </c>
      <c r="E490" s="188">
        <v>30.38</v>
      </c>
      <c r="F490" s="183">
        <v>46150.0</v>
      </c>
      <c r="G490" s="185" t="s">
        <v>8</v>
      </c>
      <c r="H490" s="185" t="s">
        <v>11</v>
      </c>
      <c r="I490" s="317"/>
    </row>
    <row r="491" ht="22.5" hidden="1" customHeight="1">
      <c r="A491" s="193"/>
      <c r="B491" s="194"/>
      <c r="C491" s="195"/>
      <c r="D491" s="194"/>
      <c r="E491" s="196">
        <f>SUM(E483:E490)</f>
        <v>357.62</v>
      </c>
      <c r="F491" s="193"/>
      <c r="G491" s="193"/>
      <c r="H491" s="193"/>
      <c r="I491" s="193"/>
    </row>
    <row r="492" hidden="1">
      <c r="A492" s="199"/>
      <c r="B492" s="200"/>
      <c r="C492" s="201"/>
      <c r="D492" s="200"/>
      <c r="E492" s="202"/>
      <c r="F492" s="199"/>
      <c r="G492" s="199"/>
      <c r="H492" s="199"/>
      <c r="I492" s="199"/>
    </row>
    <row r="493" hidden="1">
      <c r="A493" s="199"/>
      <c r="B493" s="200"/>
      <c r="C493" s="201"/>
      <c r="D493" s="203">
        <v>46153.0</v>
      </c>
      <c r="E493" s="202"/>
      <c r="F493" s="199"/>
      <c r="G493" s="199"/>
      <c r="H493" s="199"/>
      <c r="I493" s="199"/>
    </row>
    <row r="494" ht="22.5" hidden="1" customHeight="1">
      <c r="A494" s="175" t="s">
        <v>1467</v>
      </c>
      <c r="B494" s="175" t="s">
        <v>1477</v>
      </c>
      <c r="C494" s="175" t="s">
        <v>1478</v>
      </c>
      <c r="D494" s="175" t="s">
        <v>1479</v>
      </c>
      <c r="E494" s="175" t="s">
        <v>1481</v>
      </c>
      <c r="F494" s="175" t="s">
        <v>1483</v>
      </c>
      <c r="G494" s="175" t="s">
        <v>1484</v>
      </c>
      <c r="H494" s="175" t="s">
        <v>1486</v>
      </c>
      <c r="I494" s="175" t="s">
        <v>1489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22.5" hidden="1" customHeight="1">
      <c r="A495" s="176" t="s">
        <v>3526</v>
      </c>
      <c r="B495" s="177" t="s">
        <v>3527</v>
      </c>
      <c r="C495" s="211">
        <v>1.0</v>
      </c>
      <c r="D495" s="185" t="s">
        <v>1602</v>
      </c>
      <c r="E495" s="188">
        <v>71.13</v>
      </c>
      <c r="F495" s="183">
        <v>46151.0</v>
      </c>
      <c r="G495" s="185" t="s">
        <v>9</v>
      </c>
      <c r="H495" s="185" t="s">
        <v>3380</v>
      </c>
      <c r="I495" s="189"/>
    </row>
    <row r="496" ht="22.5" hidden="1" customHeight="1">
      <c r="A496" s="366" t="s">
        <v>3528</v>
      </c>
      <c r="B496" s="318" t="s">
        <v>1439</v>
      </c>
      <c r="C496" s="211">
        <v>1.0</v>
      </c>
      <c r="D496" s="185" t="s">
        <v>1602</v>
      </c>
      <c r="E496" s="188">
        <v>38.14</v>
      </c>
      <c r="F496" s="183">
        <v>46151.0</v>
      </c>
      <c r="G496" s="185" t="s">
        <v>9</v>
      </c>
      <c r="H496" s="185" t="s">
        <v>3380</v>
      </c>
      <c r="I496" s="313"/>
    </row>
    <row r="497" ht="22.5" hidden="1" customHeight="1">
      <c r="A497" s="176" t="s">
        <v>3529</v>
      </c>
      <c r="B497" s="314" t="s">
        <v>296</v>
      </c>
      <c r="C497" s="211">
        <v>1.0</v>
      </c>
      <c r="D497" s="185" t="s">
        <v>1602</v>
      </c>
      <c r="E497" s="188">
        <v>37.84</v>
      </c>
      <c r="F497" s="183">
        <v>46151.0</v>
      </c>
      <c r="G497" s="185" t="s">
        <v>9</v>
      </c>
      <c r="H497" s="185" t="s">
        <v>3530</v>
      </c>
      <c r="I497" s="317"/>
    </row>
    <row r="498" ht="22.5" hidden="1" customHeight="1">
      <c r="A498" s="176" t="s">
        <v>3531</v>
      </c>
      <c r="B498" s="314" t="s">
        <v>3291</v>
      </c>
      <c r="C498" s="211">
        <v>1.0</v>
      </c>
      <c r="D498" s="185" t="s">
        <v>1602</v>
      </c>
      <c r="E498" s="188">
        <v>36.98</v>
      </c>
      <c r="F498" s="183">
        <v>46152.0</v>
      </c>
      <c r="G498" s="185" t="s">
        <v>9</v>
      </c>
      <c r="H498" s="185" t="s">
        <v>11</v>
      </c>
      <c r="I498" s="317"/>
    </row>
    <row r="499" ht="22.5" hidden="1" customHeight="1">
      <c r="A499" s="176" t="s">
        <v>3532</v>
      </c>
      <c r="B499" s="314" t="s">
        <v>3533</v>
      </c>
      <c r="C499" s="211">
        <v>1.0</v>
      </c>
      <c r="D499" s="185" t="s">
        <v>1602</v>
      </c>
      <c r="E499" s="188">
        <v>66.54</v>
      </c>
      <c r="F499" s="183">
        <v>46152.0</v>
      </c>
      <c r="G499" s="185" t="s">
        <v>9</v>
      </c>
      <c r="H499" s="185" t="s">
        <v>11</v>
      </c>
      <c r="I499" s="317" t="s">
        <v>3534</v>
      </c>
    </row>
    <row r="500" ht="22.5" hidden="1" customHeight="1">
      <c r="A500" s="176" t="s">
        <v>3535</v>
      </c>
      <c r="B500" s="367">
        <v>8.09069212E8</v>
      </c>
      <c r="C500" s="211">
        <v>1.0</v>
      </c>
      <c r="D500" s="185" t="s">
        <v>1602</v>
      </c>
      <c r="E500" s="188">
        <v>61.04</v>
      </c>
      <c r="F500" s="183">
        <v>46151.0</v>
      </c>
      <c r="G500" s="185" t="s">
        <v>9</v>
      </c>
      <c r="H500" s="185" t="s">
        <v>11</v>
      </c>
      <c r="I500" s="189"/>
    </row>
    <row r="501" ht="22.5" hidden="1" customHeight="1">
      <c r="A501" s="366" t="s">
        <v>3536</v>
      </c>
      <c r="B501" s="318" t="s">
        <v>584</v>
      </c>
      <c r="C501" s="211">
        <v>1.0</v>
      </c>
      <c r="D501" s="185" t="s">
        <v>1602</v>
      </c>
      <c r="E501" s="188">
        <v>48.15</v>
      </c>
      <c r="F501" s="183">
        <v>46153.0</v>
      </c>
      <c r="G501" s="185" t="s">
        <v>8</v>
      </c>
      <c r="H501" s="185" t="s">
        <v>12</v>
      </c>
      <c r="I501" s="317"/>
    </row>
    <row r="502" ht="22.5" hidden="1" customHeight="1">
      <c r="A502" s="176" t="s">
        <v>3537</v>
      </c>
      <c r="B502" s="314" t="s">
        <v>2637</v>
      </c>
      <c r="C502" s="211">
        <v>1.0</v>
      </c>
      <c r="D502" s="185" t="s">
        <v>1602</v>
      </c>
      <c r="E502" s="188">
        <v>41.54</v>
      </c>
      <c r="F502" s="183">
        <v>46153.0</v>
      </c>
      <c r="G502" s="185" t="s">
        <v>9</v>
      </c>
      <c r="H502" s="185" t="s">
        <v>2243</v>
      </c>
      <c r="I502" s="317"/>
    </row>
    <row r="503" ht="22.5" hidden="1" customHeight="1">
      <c r="A503" s="176" t="s">
        <v>3538</v>
      </c>
      <c r="B503" s="314">
        <v>5.304537408E9</v>
      </c>
      <c r="C503" s="211">
        <v>1.0</v>
      </c>
      <c r="D503" s="185" t="s">
        <v>3475</v>
      </c>
      <c r="E503" s="188">
        <v>-8.41</v>
      </c>
      <c r="F503" s="183">
        <v>46137.0</v>
      </c>
      <c r="G503" s="185" t="s">
        <v>9</v>
      </c>
      <c r="H503" s="185" t="s">
        <v>53</v>
      </c>
      <c r="I503" s="317" t="s">
        <v>3539</v>
      </c>
    </row>
    <row r="504" ht="22.5" hidden="1" customHeight="1">
      <c r="A504" s="176" t="s">
        <v>3540</v>
      </c>
      <c r="B504" s="314" t="s">
        <v>1029</v>
      </c>
      <c r="C504" s="211">
        <v>1.0</v>
      </c>
      <c r="D504" s="185" t="s">
        <v>1602</v>
      </c>
      <c r="E504" s="188">
        <v>71.3</v>
      </c>
      <c r="F504" s="183">
        <v>46153.0</v>
      </c>
      <c r="G504" s="185" t="s">
        <v>9</v>
      </c>
      <c r="H504" s="185" t="s">
        <v>3380</v>
      </c>
      <c r="I504" s="317"/>
    </row>
    <row r="505" ht="22.5" hidden="1" customHeight="1">
      <c r="A505" s="176" t="s">
        <v>3541</v>
      </c>
      <c r="B505" s="368" t="s">
        <v>362</v>
      </c>
      <c r="C505" s="211">
        <v>1.0</v>
      </c>
      <c r="D505" s="185" t="s">
        <v>3475</v>
      </c>
      <c r="E505" s="188">
        <v>-95.49</v>
      </c>
      <c r="F505" s="183">
        <v>46143.0</v>
      </c>
      <c r="G505" s="185" t="s">
        <v>9</v>
      </c>
      <c r="H505" s="185" t="s">
        <v>3380</v>
      </c>
      <c r="I505" s="317" t="s">
        <v>3542</v>
      </c>
    </row>
    <row r="506" ht="22.5" hidden="1" customHeight="1">
      <c r="A506" s="176" t="s">
        <v>3543</v>
      </c>
      <c r="B506" s="314" t="s">
        <v>3096</v>
      </c>
      <c r="C506" s="211">
        <v>1.0</v>
      </c>
      <c r="D506" s="185" t="s">
        <v>1602</v>
      </c>
      <c r="E506" s="188">
        <v>155.97</v>
      </c>
      <c r="F506" s="183">
        <v>46153.0</v>
      </c>
      <c r="G506" s="185" t="s">
        <v>9</v>
      </c>
      <c r="H506" s="185" t="s">
        <v>53</v>
      </c>
      <c r="I506" s="317"/>
    </row>
    <row r="507" ht="22.5" hidden="1" customHeight="1">
      <c r="A507" s="176" t="s">
        <v>3544</v>
      </c>
      <c r="B507" s="369" t="s">
        <v>2925</v>
      </c>
      <c r="C507" s="343">
        <v>1.0</v>
      </c>
      <c r="D507" s="370" t="s">
        <v>1602</v>
      </c>
      <c r="E507" s="345">
        <v>76.52</v>
      </c>
      <c r="F507" s="346">
        <v>46153.0</v>
      </c>
      <c r="G507" s="185" t="s">
        <v>9</v>
      </c>
      <c r="H507" s="185" t="s">
        <v>53</v>
      </c>
      <c r="I507" s="335"/>
    </row>
    <row r="508" ht="22.5" hidden="1" customHeight="1">
      <c r="A508" s="176" t="s">
        <v>3545</v>
      </c>
      <c r="B508" s="369" t="s">
        <v>3077</v>
      </c>
      <c r="C508" s="343">
        <v>1.0</v>
      </c>
      <c r="D508" s="371" t="s">
        <v>1602</v>
      </c>
      <c r="E508" s="345">
        <v>95.31</v>
      </c>
      <c r="F508" s="346">
        <v>46150.0</v>
      </c>
      <c r="G508" s="185" t="s">
        <v>9</v>
      </c>
      <c r="H508" s="185" t="s">
        <v>53</v>
      </c>
      <c r="I508" s="335"/>
    </row>
    <row r="509" ht="22.5" hidden="1" customHeight="1">
      <c r="A509" s="176" t="s">
        <v>3546</v>
      </c>
      <c r="B509" s="369" t="s">
        <v>489</v>
      </c>
      <c r="C509" s="337">
        <v>1.0</v>
      </c>
      <c r="D509" s="372" t="s">
        <v>1602</v>
      </c>
      <c r="E509" s="338">
        <v>33.06</v>
      </c>
      <c r="F509" s="339">
        <v>46153.0</v>
      </c>
      <c r="G509" s="185" t="s">
        <v>9</v>
      </c>
      <c r="H509" s="334" t="s">
        <v>351</v>
      </c>
      <c r="I509" s="335"/>
    </row>
    <row r="510" ht="22.5" hidden="1" customHeight="1">
      <c r="A510" s="176" t="s">
        <v>3547</v>
      </c>
      <c r="B510" s="314" t="s">
        <v>362</v>
      </c>
      <c r="C510" s="211">
        <v>1.0</v>
      </c>
      <c r="D510" s="185" t="s">
        <v>1602</v>
      </c>
      <c r="E510" s="188">
        <v>86.88</v>
      </c>
      <c r="F510" s="183">
        <v>46151.0</v>
      </c>
      <c r="G510" s="185" t="s">
        <v>9</v>
      </c>
      <c r="H510" s="185" t="s">
        <v>351</v>
      </c>
      <c r="I510" s="317"/>
    </row>
    <row r="511" ht="22.5" hidden="1" customHeight="1">
      <c r="A511" s="193"/>
      <c r="B511" s="194"/>
      <c r="C511" s="195"/>
      <c r="D511" s="194"/>
      <c r="E511" s="196">
        <f>SUM(E495:E510)</f>
        <v>816.5</v>
      </c>
      <c r="F511" s="193"/>
      <c r="G511" s="193"/>
      <c r="H511" s="193"/>
      <c r="I511" s="193"/>
    </row>
    <row r="512" hidden="1">
      <c r="A512" s="199"/>
      <c r="B512" s="200"/>
      <c r="C512" s="201"/>
      <c r="D512" s="200"/>
      <c r="E512" s="202"/>
      <c r="F512" s="199"/>
      <c r="G512" s="199"/>
      <c r="H512" s="199"/>
      <c r="I512" s="199"/>
    </row>
    <row r="513" hidden="1">
      <c r="A513" s="199"/>
      <c r="B513" s="200"/>
      <c r="C513" s="201"/>
      <c r="D513" s="203">
        <v>46154.0</v>
      </c>
      <c r="E513" s="202"/>
      <c r="F513" s="199"/>
      <c r="G513" s="199"/>
      <c r="H513" s="199"/>
      <c r="I513" s="199"/>
    </row>
    <row r="514" ht="22.5" hidden="1" customHeight="1">
      <c r="A514" s="175" t="s">
        <v>1467</v>
      </c>
      <c r="B514" s="175" t="s">
        <v>1477</v>
      </c>
      <c r="C514" s="175" t="s">
        <v>1478</v>
      </c>
      <c r="D514" s="175" t="s">
        <v>1479</v>
      </c>
      <c r="E514" s="175" t="s">
        <v>1481</v>
      </c>
      <c r="F514" s="175" t="s">
        <v>1483</v>
      </c>
      <c r="G514" s="175" t="s">
        <v>1484</v>
      </c>
      <c r="H514" s="175" t="s">
        <v>1486</v>
      </c>
      <c r="I514" s="175" t="s">
        <v>1489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22.5" hidden="1" customHeight="1">
      <c r="A515" s="176" t="s">
        <v>3548</v>
      </c>
      <c r="B515" s="177">
        <v>5.304532555E9</v>
      </c>
      <c r="C515" s="211">
        <v>1.0</v>
      </c>
      <c r="D515" s="185" t="s">
        <v>1602</v>
      </c>
      <c r="E515" s="188">
        <v>27.76</v>
      </c>
      <c r="F515" s="183">
        <v>46154.0</v>
      </c>
      <c r="G515" s="185" t="s">
        <v>9</v>
      </c>
      <c r="H515" s="185" t="s">
        <v>3380</v>
      </c>
      <c r="I515" s="189"/>
    </row>
    <row r="516" ht="22.5" hidden="1" customHeight="1">
      <c r="A516" s="323" t="s">
        <v>3549</v>
      </c>
      <c r="B516" s="177">
        <v>5.304535039E9</v>
      </c>
      <c r="C516" s="211">
        <v>1.0</v>
      </c>
      <c r="D516" s="185" t="s">
        <v>1602</v>
      </c>
      <c r="E516" s="188">
        <v>48.05</v>
      </c>
      <c r="F516" s="183">
        <v>46153.0</v>
      </c>
      <c r="G516" s="185" t="s">
        <v>9</v>
      </c>
      <c r="H516" s="185" t="s">
        <v>12</v>
      </c>
      <c r="I516" s="313"/>
    </row>
    <row r="517" ht="22.5" hidden="1" customHeight="1">
      <c r="A517" s="176" t="s">
        <v>3550</v>
      </c>
      <c r="B517" s="314" t="s">
        <v>1298</v>
      </c>
      <c r="C517" s="211">
        <v>1.0</v>
      </c>
      <c r="D517" s="185" t="s">
        <v>1602</v>
      </c>
      <c r="E517" s="188">
        <v>36.62</v>
      </c>
      <c r="F517" s="183">
        <v>46153.0</v>
      </c>
      <c r="G517" s="185" t="s">
        <v>9</v>
      </c>
      <c r="H517" s="185" t="s">
        <v>1087</v>
      </c>
      <c r="I517" s="317"/>
    </row>
    <row r="518" ht="22.5" hidden="1" customHeight="1">
      <c r="A518" s="176" t="s">
        <v>3551</v>
      </c>
      <c r="B518" s="314" t="s">
        <v>916</v>
      </c>
      <c r="C518" s="211">
        <v>1.0</v>
      </c>
      <c r="D518" s="185" t="s">
        <v>1602</v>
      </c>
      <c r="E518" s="188">
        <v>53.11</v>
      </c>
      <c r="F518" s="183">
        <v>46153.0</v>
      </c>
      <c r="G518" s="185" t="s">
        <v>9</v>
      </c>
      <c r="H518" s="185" t="s">
        <v>53</v>
      </c>
      <c r="I518" s="317"/>
    </row>
    <row r="519" ht="22.5" hidden="1" customHeight="1">
      <c r="A519" s="193"/>
      <c r="B519" s="194"/>
      <c r="C519" s="195"/>
      <c r="D519" s="194"/>
      <c r="E519" s="196">
        <f>SUM(E515:E518)</f>
        <v>165.54</v>
      </c>
      <c r="F519" s="193"/>
      <c r="G519" s="193"/>
      <c r="H519" s="193"/>
      <c r="I519" s="193"/>
    </row>
    <row r="520" hidden="1">
      <c r="A520" s="199"/>
      <c r="B520" s="200"/>
      <c r="C520" s="201"/>
      <c r="D520" s="200"/>
      <c r="E520" s="202"/>
      <c r="F520" s="199"/>
      <c r="G520" s="199"/>
      <c r="H520" s="199"/>
      <c r="I520" s="199"/>
    </row>
    <row r="521" hidden="1">
      <c r="A521" s="199"/>
      <c r="B521" s="200"/>
      <c r="C521" s="201"/>
      <c r="D521" s="203">
        <v>46155.0</v>
      </c>
      <c r="E521" s="202"/>
      <c r="F521" s="199"/>
      <c r="G521" s="199"/>
      <c r="H521" s="199"/>
      <c r="I521" s="199"/>
    </row>
    <row r="522" ht="22.5" hidden="1" customHeight="1">
      <c r="A522" s="175" t="s">
        <v>1467</v>
      </c>
      <c r="B522" s="175" t="s">
        <v>1477</v>
      </c>
      <c r="C522" s="175" t="s">
        <v>1478</v>
      </c>
      <c r="D522" s="175" t="s">
        <v>1479</v>
      </c>
      <c r="E522" s="175" t="s">
        <v>1481</v>
      </c>
      <c r="F522" s="175" t="s">
        <v>1483</v>
      </c>
      <c r="G522" s="175" t="s">
        <v>1484</v>
      </c>
      <c r="H522" s="175" t="s">
        <v>1486</v>
      </c>
      <c r="I522" s="175" t="s">
        <v>1489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22.5" hidden="1" customHeight="1">
      <c r="A523" s="176" t="s">
        <v>3552</v>
      </c>
      <c r="B523" s="177" t="s">
        <v>41</v>
      </c>
      <c r="C523" s="211">
        <v>1.0</v>
      </c>
      <c r="D523" s="185" t="s">
        <v>1602</v>
      </c>
      <c r="E523" s="188">
        <v>28.79</v>
      </c>
      <c r="F523" s="183">
        <v>46154.0</v>
      </c>
      <c r="G523" s="185" t="s">
        <v>8</v>
      </c>
      <c r="H523" s="185" t="s">
        <v>12</v>
      </c>
      <c r="I523" s="189"/>
    </row>
    <row r="524" ht="22.5" hidden="1" customHeight="1">
      <c r="A524" s="323" t="s">
        <v>3553</v>
      </c>
      <c r="B524" s="318" t="s">
        <v>2803</v>
      </c>
      <c r="C524" s="211">
        <v>1.0</v>
      </c>
      <c r="D524" s="185" t="s">
        <v>1602</v>
      </c>
      <c r="E524" s="188">
        <v>116.18</v>
      </c>
      <c r="F524" s="183">
        <v>46154.0</v>
      </c>
      <c r="G524" s="185" t="s">
        <v>9</v>
      </c>
      <c r="H524" s="185" t="s">
        <v>53</v>
      </c>
      <c r="I524" s="313"/>
    </row>
    <row r="525" ht="22.5" hidden="1" customHeight="1">
      <c r="A525" s="176" t="s">
        <v>3554</v>
      </c>
      <c r="B525" s="314" t="s">
        <v>326</v>
      </c>
      <c r="C525" s="211">
        <v>1.0</v>
      </c>
      <c r="D525" s="185" t="s">
        <v>1875</v>
      </c>
      <c r="E525" s="188">
        <v>-176.18</v>
      </c>
      <c r="F525" s="183">
        <v>46156.0</v>
      </c>
      <c r="G525" s="185" t="s">
        <v>8</v>
      </c>
      <c r="H525" s="185" t="s">
        <v>53</v>
      </c>
      <c r="I525" s="317" t="s">
        <v>3555</v>
      </c>
    </row>
    <row r="526" ht="22.5" hidden="1" customHeight="1">
      <c r="A526" s="176" t="s">
        <v>3556</v>
      </c>
      <c r="B526" s="314" t="s">
        <v>73</v>
      </c>
      <c r="C526" s="211">
        <v>1.0</v>
      </c>
      <c r="D526" s="185" t="s">
        <v>1602</v>
      </c>
      <c r="E526" s="188">
        <v>203.47</v>
      </c>
      <c r="F526" s="183">
        <v>46155.0</v>
      </c>
      <c r="G526" s="185" t="s">
        <v>9</v>
      </c>
      <c r="H526" s="185" t="s">
        <v>3557</v>
      </c>
      <c r="I526" s="317"/>
    </row>
    <row r="527" ht="22.5" hidden="1" customHeight="1">
      <c r="A527" s="176" t="s">
        <v>3558</v>
      </c>
      <c r="B527" s="314" t="s">
        <v>3559</v>
      </c>
      <c r="C527" s="211">
        <v>1.0</v>
      </c>
      <c r="D527" s="185" t="s">
        <v>1602</v>
      </c>
      <c r="E527" s="188">
        <v>51.39</v>
      </c>
      <c r="F527" s="183">
        <v>46155.0</v>
      </c>
      <c r="G527" s="185" t="s">
        <v>9</v>
      </c>
      <c r="H527" s="185" t="s">
        <v>3380</v>
      </c>
      <c r="I527" s="317"/>
    </row>
    <row r="528" ht="22.5" hidden="1" customHeight="1">
      <c r="A528" s="176" t="s">
        <v>3560</v>
      </c>
      <c r="B528" s="367" t="s">
        <v>3096</v>
      </c>
      <c r="C528" s="211">
        <v>1.0</v>
      </c>
      <c r="D528" s="185" t="s">
        <v>1602</v>
      </c>
      <c r="E528" s="188">
        <v>211.04</v>
      </c>
      <c r="F528" s="183">
        <v>46155.0</v>
      </c>
      <c r="G528" s="185" t="s">
        <v>8</v>
      </c>
      <c r="H528" s="185" t="s">
        <v>12</v>
      </c>
      <c r="I528" s="189"/>
    </row>
    <row r="529" ht="22.5" hidden="1" customHeight="1">
      <c r="A529" s="193"/>
      <c r="B529" s="194"/>
      <c r="C529" s="195"/>
      <c r="D529" s="194"/>
      <c r="E529" s="196">
        <f>SUM(E523:E528)</f>
        <v>434.69</v>
      </c>
      <c r="F529" s="193"/>
      <c r="G529" s="193"/>
      <c r="H529" s="193"/>
      <c r="I529" s="193"/>
    </row>
    <row r="530" hidden="1">
      <c r="A530" s="199"/>
      <c r="B530" s="200"/>
      <c r="C530" s="201"/>
      <c r="D530" s="200"/>
      <c r="E530" s="202"/>
      <c r="F530" s="199"/>
      <c r="G530" s="199"/>
      <c r="H530" s="199"/>
      <c r="I530" s="199"/>
    </row>
    <row r="531" hidden="1">
      <c r="A531" s="199"/>
      <c r="B531" s="200"/>
      <c r="C531" s="201"/>
      <c r="D531" s="203">
        <v>46156.0</v>
      </c>
      <c r="E531" s="202"/>
      <c r="F531" s="199"/>
      <c r="G531" s="199"/>
      <c r="H531" s="199"/>
      <c r="I531" s="199"/>
    </row>
    <row r="532" ht="22.5" hidden="1" customHeight="1">
      <c r="A532" s="175" t="s">
        <v>1467</v>
      </c>
      <c r="B532" s="175" t="s">
        <v>1477</v>
      </c>
      <c r="C532" s="175" t="s">
        <v>1478</v>
      </c>
      <c r="D532" s="175" t="s">
        <v>1479</v>
      </c>
      <c r="E532" s="175" t="s">
        <v>1481</v>
      </c>
      <c r="F532" s="175" t="s">
        <v>1483</v>
      </c>
      <c r="G532" s="175" t="s">
        <v>1484</v>
      </c>
      <c r="H532" s="175" t="s">
        <v>1486</v>
      </c>
      <c r="I532" s="175" t="s">
        <v>1489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22.5" hidden="1" customHeight="1">
      <c r="A533" s="176" t="s">
        <v>3561</v>
      </c>
      <c r="B533" s="177" t="s">
        <v>794</v>
      </c>
      <c r="C533" s="211">
        <v>1.0</v>
      </c>
      <c r="D533" s="185" t="s">
        <v>1602</v>
      </c>
      <c r="E533" s="188">
        <v>84.05</v>
      </c>
      <c r="F533" s="183">
        <v>46155.0</v>
      </c>
      <c r="G533" s="185" t="s">
        <v>8</v>
      </c>
      <c r="H533" s="185" t="s">
        <v>12</v>
      </c>
      <c r="I533" s="189"/>
    </row>
    <row r="534" ht="22.5" hidden="1" customHeight="1">
      <c r="A534" s="176" t="s">
        <v>3562</v>
      </c>
      <c r="B534" s="373" t="s">
        <v>2881</v>
      </c>
      <c r="C534" s="211">
        <v>1.0</v>
      </c>
      <c r="D534" s="185" t="s">
        <v>1602</v>
      </c>
      <c r="E534" s="188">
        <v>33.52</v>
      </c>
      <c r="F534" s="183">
        <v>46156.0</v>
      </c>
      <c r="G534" s="185" t="s">
        <v>9</v>
      </c>
      <c r="H534" s="185" t="s">
        <v>3557</v>
      </c>
      <c r="I534" s="313"/>
    </row>
    <row r="535" ht="22.5" hidden="1" customHeight="1">
      <c r="A535" s="176" t="s">
        <v>3563</v>
      </c>
      <c r="B535" s="314" t="s">
        <v>296</v>
      </c>
      <c r="C535" s="211">
        <v>1.0</v>
      </c>
      <c r="D535" s="185" t="s">
        <v>1602</v>
      </c>
      <c r="E535" s="188">
        <v>47.33</v>
      </c>
      <c r="F535" s="183">
        <v>46156.0</v>
      </c>
      <c r="G535" s="185" t="s">
        <v>9</v>
      </c>
      <c r="H535" s="185" t="s">
        <v>3380</v>
      </c>
      <c r="I535" s="317"/>
    </row>
    <row r="536" ht="22.5" hidden="1" customHeight="1">
      <c r="A536" s="176" t="s">
        <v>3564</v>
      </c>
      <c r="B536" s="314" t="s">
        <v>3565</v>
      </c>
      <c r="C536" s="211">
        <v>1.0</v>
      </c>
      <c r="D536" s="185" t="s">
        <v>1602</v>
      </c>
      <c r="E536" s="188">
        <v>37.17</v>
      </c>
      <c r="F536" s="183">
        <v>46156.0</v>
      </c>
      <c r="G536" s="185" t="s">
        <v>9</v>
      </c>
      <c r="H536" s="185" t="s">
        <v>11</v>
      </c>
      <c r="I536" s="317"/>
    </row>
    <row r="537" ht="22.5" hidden="1" customHeight="1">
      <c r="A537" s="176" t="s">
        <v>3566</v>
      </c>
      <c r="B537" s="314" t="s">
        <v>3094</v>
      </c>
      <c r="C537" s="211">
        <v>1.0</v>
      </c>
      <c r="D537" s="185" t="s">
        <v>1602</v>
      </c>
      <c r="E537" s="188">
        <v>68.83</v>
      </c>
      <c r="F537" s="183">
        <v>46155.0</v>
      </c>
      <c r="G537" s="185" t="s">
        <v>9</v>
      </c>
      <c r="H537" s="185" t="s">
        <v>53</v>
      </c>
      <c r="I537" s="317"/>
    </row>
    <row r="538" ht="22.5" hidden="1" customHeight="1">
      <c r="A538" s="176" t="s">
        <v>3567</v>
      </c>
      <c r="B538" s="367" t="s">
        <v>56</v>
      </c>
      <c r="C538" s="211">
        <v>1.0</v>
      </c>
      <c r="D538" s="185" t="s">
        <v>1602</v>
      </c>
      <c r="E538" s="188">
        <v>134.33</v>
      </c>
      <c r="F538" s="183">
        <v>46155.0</v>
      </c>
      <c r="G538" s="185" t="s">
        <v>8</v>
      </c>
      <c r="H538" s="185" t="s">
        <v>53</v>
      </c>
      <c r="I538" s="189"/>
    </row>
    <row r="539" ht="22.5" hidden="1" customHeight="1">
      <c r="A539" s="193"/>
      <c r="B539" s="194"/>
      <c r="C539" s="195"/>
      <c r="D539" s="194"/>
      <c r="E539" s="196">
        <f>SUM(Table51[Order Earnings])</f>
        <v>405.23</v>
      </c>
      <c r="F539" s="193"/>
      <c r="G539" s="193"/>
      <c r="H539" s="193"/>
      <c r="I539" s="193"/>
    </row>
    <row r="540" hidden="1">
      <c r="A540" s="199"/>
      <c r="B540" s="200"/>
      <c r="C540" s="201"/>
      <c r="D540" s="200"/>
      <c r="E540" s="202"/>
      <c r="F540" s="199"/>
      <c r="G540" s="199"/>
      <c r="H540" s="199"/>
      <c r="I540" s="199"/>
    </row>
    <row r="541" hidden="1">
      <c r="A541" s="199"/>
      <c r="B541" s="200"/>
      <c r="C541" s="201"/>
      <c r="D541" s="203">
        <v>46157.0</v>
      </c>
      <c r="E541" s="202"/>
      <c r="F541" s="199"/>
      <c r="G541" s="199"/>
      <c r="H541" s="199"/>
      <c r="I541" s="199"/>
    </row>
    <row r="542" ht="22.5" hidden="1" customHeight="1">
      <c r="A542" s="175" t="s">
        <v>1467</v>
      </c>
      <c r="B542" s="175" t="s">
        <v>1477</v>
      </c>
      <c r="C542" s="175" t="s">
        <v>1478</v>
      </c>
      <c r="D542" s="175" t="s">
        <v>1479</v>
      </c>
      <c r="E542" s="175" t="s">
        <v>1481</v>
      </c>
      <c r="F542" s="175" t="s">
        <v>1483</v>
      </c>
      <c r="G542" s="175" t="s">
        <v>1484</v>
      </c>
      <c r="H542" s="175" t="s">
        <v>1486</v>
      </c>
      <c r="I542" s="175" t="s">
        <v>1489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22.5" hidden="1" customHeight="1">
      <c r="A543" s="176" t="s">
        <v>3568</v>
      </c>
      <c r="B543" s="177" t="s">
        <v>1322</v>
      </c>
      <c r="C543" s="211">
        <v>1.0</v>
      </c>
      <c r="D543" s="185" t="s">
        <v>1602</v>
      </c>
      <c r="E543" s="188">
        <v>39.89</v>
      </c>
      <c r="F543" s="183">
        <v>46156.0</v>
      </c>
      <c r="G543" s="185" t="s">
        <v>9</v>
      </c>
      <c r="H543" s="185" t="s">
        <v>1087</v>
      </c>
      <c r="I543" s="189"/>
    </row>
    <row r="544" ht="22.5" hidden="1" customHeight="1">
      <c r="A544" s="176" t="s">
        <v>3569</v>
      </c>
      <c r="B544" s="318" t="s">
        <v>3570</v>
      </c>
      <c r="C544" s="211">
        <v>1.0</v>
      </c>
      <c r="D544" s="185" t="s">
        <v>1602</v>
      </c>
      <c r="E544" s="188">
        <v>137.47</v>
      </c>
      <c r="F544" s="183">
        <v>46156.0</v>
      </c>
      <c r="G544" s="185" t="s">
        <v>9</v>
      </c>
      <c r="H544" s="185" t="s">
        <v>11</v>
      </c>
      <c r="I544" s="313"/>
    </row>
    <row r="545" ht="22.5" hidden="1" customHeight="1">
      <c r="A545" s="176" t="s">
        <v>3571</v>
      </c>
      <c r="B545" s="314" t="s">
        <v>3572</v>
      </c>
      <c r="C545" s="211">
        <v>1.0</v>
      </c>
      <c r="D545" s="185" t="s">
        <v>1602</v>
      </c>
      <c r="E545" s="188">
        <v>34.21</v>
      </c>
      <c r="F545" s="183">
        <v>46156.0</v>
      </c>
      <c r="G545" s="185" t="s">
        <v>9</v>
      </c>
      <c r="H545" s="185" t="s">
        <v>1087</v>
      </c>
      <c r="I545" s="317"/>
    </row>
    <row r="546" ht="22.5" hidden="1" customHeight="1">
      <c r="A546" s="176" t="s">
        <v>3573</v>
      </c>
      <c r="B546" s="314" t="s">
        <v>2946</v>
      </c>
      <c r="C546" s="211">
        <v>1.0</v>
      </c>
      <c r="D546" s="185" t="s">
        <v>1602</v>
      </c>
      <c r="E546" s="188">
        <v>29.18</v>
      </c>
      <c r="F546" s="183">
        <v>46156.0</v>
      </c>
      <c r="G546" s="185" t="s">
        <v>9</v>
      </c>
      <c r="H546" s="185" t="s">
        <v>53</v>
      </c>
      <c r="I546" s="317"/>
    </row>
    <row r="547" ht="22.5" hidden="1" customHeight="1">
      <c r="A547" s="176" t="s">
        <v>3574</v>
      </c>
      <c r="B547" s="314" t="s">
        <v>872</v>
      </c>
      <c r="C547" s="211">
        <v>1.0</v>
      </c>
      <c r="D547" s="185" t="s">
        <v>1602</v>
      </c>
      <c r="E547" s="188">
        <v>43.74</v>
      </c>
      <c r="F547" s="183">
        <v>46157.0</v>
      </c>
      <c r="G547" s="185" t="s">
        <v>9</v>
      </c>
      <c r="H547" s="185" t="s">
        <v>2243</v>
      </c>
      <c r="I547" s="317"/>
    </row>
    <row r="548" ht="22.5" hidden="1" customHeight="1">
      <c r="A548" s="176" t="s">
        <v>3575</v>
      </c>
      <c r="B548" s="367" t="s">
        <v>3291</v>
      </c>
      <c r="C548" s="211">
        <v>1.0</v>
      </c>
      <c r="D548" s="185" t="s">
        <v>1602</v>
      </c>
      <c r="E548" s="188">
        <v>37.45</v>
      </c>
      <c r="F548" s="183">
        <v>46157.0</v>
      </c>
      <c r="G548" s="185" t="s">
        <v>9</v>
      </c>
      <c r="H548" s="185" t="s">
        <v>11</v>
      </c>
      <c r="I548" s="189"/>
    </row>
    <row r="549" ht="22.5" hidden="1" customHeight="1">
      <c r="A549" s="193"/>
      <c r="B549" s="194"/>
      <c r="C549" s="195"/>
      <c r="D549" s="194"/>
      <c r="E549" s="196">
        <f>SUM(E543:E548)</f>
        <v>321.94</v>
      </c>
      <c r="F549" s="193"/>
      <c r="G549" s="193"/>
      <c r="H549" s="193"/>
      <c r="I549" s="193"/>
    </row>
    <row r="550" hidden="1">
      <c r="A550" s="199"/>
      <c r="B550" s="200"/>
      <c r="C550" s="201"/>
      <c r="D550" s="200"/>
      <c r="E550" s="202"/>
      <c r="F550" s="199"/>
      <c r="G550" s="199"/>
      <c r="H550" s="199"/>
      <c r="I550" s="199"/>
    </row>
    <row r="551" hidden="1">
      <c r="A551" s="199"/>
      <c r="B551" s="200"/>
      <c r="C551" s="201"/>
      <c r="D551" s="203">
        <v>46160.0</v>
      </c>
      <c r="E551" s="202"/>
      <c r="F551" s="199"/>
      <c r="G551" s="199"/>
      <c r="H551" s="199"/>
      <c r="I551" s="199"/>
    </row>
    <row r="552" ht="22.5" hidden="1" customHeight="1">
      <c r="A552" s="175" t="s">
        <v>1467</v>
      </c>
      <c r="B552" s="175" t="s">
        <v>1477</v>
      </c>
      <c r="C552" s="175" t="s">
        <v>1478</v>
      </c>
      <c r="D552" s="175" t="s">
        <v>1479</v>
      </c>
      <c r="E552" s="175" t="s">
        <v>1481</v>
      </c>
      <c r="F552" s="175" t="s">
        <v>1483</v>
      </c>
      <c r="G552" s="175" t="s">
        <v>1484</v>
      </c>
      <c r="H552" s="175" t="s">
        <v>1486</v>
      </c>
      <c r="I552" s="175" t="s">
        <v>1489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22.5" hidden="1" customHeight="1">
      <c r="A553" s="176" t="s">
        <v>3576</v>
      </c>
      <c r="B553" s="177" t="s">
        <v>3577</v>
      </c>
      <c r="C553" s="211">
        <v>1.0</v>
      </c>
      <c r="D553" s="185" t="s">
        <v>1602</v>
      </c>
      <c r="E553" s="188">
        <v>41.22</v>
      </c>
      <c r="F553" s="183">
        <v>46159.0</v>
      </c>
      <c r="G553" s="185" t="s">
        <v>8</v>
      </c>
      <c r="H553" s="185" t="s">
        <v>12</v>
      </c>
      <c r="I553" s="189"/>
    </row>
    <row r="554" ht="22.5" hidden="1" customHeight="1">
      <c r="A554" s="176" t="s">
        <v>3578</v>
      </c>
      <c r="B554" s="318" t="s">
        <v>584</v>
      </c>
      <c r="C554" s="211">
        <v>1.0</v>
      </c>
      <c r="D554" s="185" t="s">
        <v>1602</v>
      </c>
      <c r="E554" s="188">
        <v>55.7</v>
      </c>
      <c r="F554" s="183">
        <v>46158.0</v>
      </c>
      <c r="G554" s="185" t="s">
        <v>8</v>
      </c>
      <c r="H554" s="185" t="s">
        <v>12</v>
      </c>
      <c r="I554" s="313"/>
    </row>
    <row r="555" ht="22.5" hidden="1" customHeight="1">
      <c r="A555" s="176" t="s">
        <v>3579</v>
      </c>
      <c r="B555" s="314" t="s">
        <v>1419</v>
      </c>
      <c r="C555" s="211">
        <v>1.0</v>
      </c>
      <c r="D555" s="185" t="s">
        <v>1602</v>
      </c>
      <c r="E555" s="188">
        <v>110.59</v>
      </c>
      <c r="F555" s="183">
        <v>46157.0</v>
      </c>
      <c r="G555" s="185" t="s">
        <v>9</v>
      </c>
      <c r="H555" s="185" t="s">
        <v>3380</v>
      </c>
      <c r="I555" s="317"/>
    </row>
    <row r="556" ht="22.5" hidden="1" customHeight="1">
      <c r="A556" s="176" t="s">
        <v>3580</v>
      </c>
      <c r="B556" s="314" t="s">
        <v>67</v>
      </c>
      <c r="C556" s="211">
        <v>1.0</v>
      </c>
      <c r="D556" s="185" t="s">
        <v>1602</v>
      </c>
      <c r="E556" s="188">
        <v>69.89</v>
      </c>
      <c r="F556" s="183">
        <v>46160.0</v>
      </c>
      <c r="G556" s="185" t="s">
        <v>9</v>
      </c>
      <c r="H556" s="185" t="s">
        <v>3530</v>
      </c>
      <c r="I556" s="317"/>
    </row>
    <row r="557" ht="22.5" hidden="1" customHeight="1">
      <c r="A557" s="176" t="s">
        <v>3581</v>
      </c>
      <c r="B557" s="314" t="s">
        <v>217</v>
      </c>
      <c r="C557" s="211">
        <v>1.0</v>
      </c>
      <c r="D557" s="185" t="s">
        <v>1602</v>
      </c>
      <c r="E557" s="188">
        <v>12.09</v>
      </c>
      <c r="F557" s="183">
        <v>46158.0</v>
      </c>
      <c r="G557" s="185" t="s">
        <v>9</v>
      </c>
      <c r="H557" s="185" t="s">
        <v>3530</v>
      </c>
      <c r="I557" s="317"/>
    </row>
    <row r="558" ht="22.5" hidden="1" customHeight="1">
      <c r="A558" s="176" t="s">
        <v>3582</v>
      </c>
      <c r="B558" s="367">
        <v>1.40156010054E11</v>
      </c>
      <c r="C558" s="211">
        <v>1.0</v>
      </c>
      <c r="D558" s="185" t="s">
        <v>1602</v>
      </c>
      <c r="E558" s="188">
        <v>15.54</v>
      </c>
      <c r="F558" s="183">
        <v>46158.0</v>
      </c>
      <c r="G558" s="185" t="s">
        <v>9</v>
      </c>
      <c r="H558" s="185" t="s">
        <v>3530</v>
      </c>
      <c r="I558" s="189"/>
    </row>
    <row r="559" ht="22.5" hidden="1" customHeight="1">
      <c r="A559" s="176" t="s">
        <v>3583</v>
      </c>
      <c r="B559" s="318" t="s">
        <v>3584</v>
      </c>
      <c r="C559" s="211">
        <v>1.0</v>
      </c>
      <c r="D559" s="185" t="s">
        <v>1602</v>
      </c>
      <c r="E559" s="188">
        <v>181.13</v>
      </c>
      <c r="F559" s="183">
        <v>46158.0</v>
      </c>
      <c r="G559" s="185" t="s">
        <v>9</v>
      </c>
      <c r="H559" s="185" t="s">
        <v>11</v>
      </c>
      <c r="I559" s="317"/>
    </row>
    <row r="560" ht="22.5" hidden="1" customHeight="1">
      <c r="A560" s="176" t="s">
        <v>3585</v>
      </c>
      <c r="B560" s="314" t="s">
        <v>3586</v>
      </c>
      <c r="C560" s="211">
        <v>1.0</v>
      </c>
      <c r="D560" s="185" t="s">
        <v>1602</v>
      </c>
      <c r="E560" s="188">
        <v>286.11</v>
      </c>
      <c r="F560" s="183">
        <v>46158.0</v>
      </c>
      <c r="G560" s="185" t="s">
        <v>9</v>
      </c>
      <c r="H560" s="185" t="s">
        <v>11</v>
      </c>
      <c r="I560" s="317"/>
    </row>
    <row r="561" ht="22.5" hidden="1" customHeight="1">
      <c r="A561" s="176" t="s">
        <v>3587</v>
      </c>
      <c r="B561" s="314" t="s">
        <v>3525</v>
      </c>
      <c r="C561" s="211">
        <v>1.0</v>
      </c>
      <c r="D561" s="185" t="s">
        <v>1875</v>
      </c>
      <c r="E561" s="188">
        <v>-48.75</v>
      </c>
      <c r="F561" s="183">
        <v>46150.0</v>
      </c>
      <c r="G561" s="185" t="s">
        <v>8</v>
      </c>
      <c r="H561" s="185" t="s">
        <v>11</v>
      </c>
      <c r="I561" s="317" t="s">
        <v>3588</v>
      </c>
    </row>
    <row r="562" ht="22.5" hidden="1" customHeight="1">
      <c r="A562" s="176" t="s">
        <v>3589</v>
      </c>
      <c r="B562" s="314" t="s">
        <v>3062</v>
      </c>
      <c r="C562" s="211">
        <v>1.0</v>
      </c>
      <c r="D562" s="185" t="s">
        <v>1532</v>
      </c>
      <c r="E562" s="188">
        <v>-0.4</v>
      </c>
      <c r="F562" s="183">
        <v>46160.0</v>
      </c>
      <c r="G562" s="185" t="s">
        <v>9</v>
      </c>
      <c r="H562" s="185" t="s">
        <v>53</v>
      </c>
      <c r="I562" s="317" t="s">
        <v>3590</v>
      </c>
    </row>
    <row r="563" ht="22.5" hidden="1" customHeight="1">
      <c r="A563" s="176" t="s">
        <v>3591</v>
      </c>
      <c r="B563" s="314" t="s">
        <v>1839</v>
      </c>
      <c r="C563" s="211">
        <v>1.0</v>
      </c>
      <c r="D563" s="185" t="s">
        <v>1602</v>
      </c>
      <c r="E563" s="188">
        <v>53.56</v>
      </c>
      <c r="F563" s="183">
        <v>46158.0</v>
      </c>
      <c r="G563" s="185" t="s">
        <v>9</v>
      </c>
      <c r="H563" s="185" t="s">
        <v>53</v>
      </c>
      <c r="I563" s="317"/>
    </row>
    <row r="564" ht="22.5" hidden="1" customHeight="1">
      <c r="A564" s="176" t="s">
        <v>3592</v>
      </c>
      <c r="B564" s="374" t="s">
        <v>2963</v>
      </c>
      <c r="C564" s="211">
        <v>1.0</v>
      </c>
      <c r="D564" s="185" t="s">
        <v>1602</v>
      </c>
      <c r="E564" s="188">
        <v>64.97</v>
      </c>
      <c r="F564" s="183">
        <v>46158.0</v>
      </c>
      <c r="G564" s="185" t="s">
        <v>9</v>
      </c>
      <c r="H564" s="185" t="s">
        <v>53</v>
      </c>
      <c r="I564" s="317"/>
    </row>
    <row r="565" ht="22.5" hidden="1" customHeight="1">
      <c r="A565" s="176" t="s">
        <v>3593</v>
      </c>
      <c r="B565" s="314" t="s">
        <v>1617</v>
      </c>
      <c r="C565" s="211">
        <v>1.0</v>
      </c>
      <c r="D565" s="185" t="s">
        <v>1602</v>
      </c>
      <c r="E565" s="188">
        <v>77.25</v>
      </c>
      <c r="F565" s="183">
        <v>46158.0</v>
      </c>
      <c r="G565" s="185" t="s">
        <v>9</v>
      </c>
      <c r="H565" s="185" t="s">
        <v>53</v>
      </c>
      <c r="I565" s="317"/>
    </row>
    <row r="566" ht="22.5" hidden="1" customHeight="1">
      <c r="A566" s="176" t="s">
        <v>3594</v>
      </c>
      <c r="B566" s="369" t="s">
        <v>2800</v>
      </c>
      <c r="C566" s="343">
        <v>1.0</v>
      </c>
      <c r="D566" s="331" t="s">
        <v>1602</v>
      </c>
      <c r="E566" s="345">
        <v>41.06</v>
      </c>
      <c r="F566" s="183">
        <v>46158.0</v>
      </c>
      <c r="G566" s="185" t="s">
        <v>8</v>
      </c>
      <c r="H566" s="185" t="s">
        <v>53</v>
      </c>
      <c r="I566" s="335"/>
    </row>
    <row r="567" ht="22.5" hidden="1" customHeight="1">
      <c r="A567" s="193"/>
      <c r="B567" s="194"/>
      <c r="C567" s="195"/>
      <c r="D567" s="194"/>
      <c r="E567" s="196">
        <f>SUM(Table53[Order Earnings])</f>
        <v>959.96</v>
      </c>
      <c r="F567" s="193"/>
      <c r="G567" s="193"/>
      <c r="H567" s="193"/>
      <c r="I567" s="193"/>
    </row>
    <row r="568" hidden="1">
      <c r="A568" s="199"/>
      <c r="B568" s="200"/>
      <c r="C568" s="201"/>
      <c r="D568" s="200"/>
      <c r="E568" s="202"/>
      <c r="F568" s="199"/>
      <c r="G568" s="199"/>
      <c r="H568" s="199"/>
      <c r="I568" s="199"/>
    </row>
    <row r="569" hidden="1">
      <c r="A569" s="199"/>
      <c r="B569" s="200"/>
      <c r="C569" s="201"/>
      <c r="D569" s="203">
        <v>46161.0</v>
      </c>
      <c r="E569" s="202"/>
      <c r="F569" s="199"/>
      <c r="G569" s="199"/>
      <c r="H569" s="199"/>
      <c r="I569" s="199"/>
    </row>
    <row r="570" ht="22.5" hidden="1" customHeight="1">
      <c r="A570" s="175" t="s">
        <v>1467</v>
      </c>
      <c r="B570" s="175" t="s">
        <v>1477</v>
      </c>
      <c r="C570" s="175" t="s">
        <v>1478</v>
      </c>
      <c r="D570" s="175" t="s">
        <v>1479</v>
      </c>
      <c r="E570" s="175" t="s">
        <v>1481</v>
      </c>
      <c r="F570" s="175" t="s">
        <v>1483</v>
      </c>
      <c r="G570" s="175" t="s">
        <v>1484</v>
      </c>
      <c r="H570" s="175" t="s">
        <v>1486</v>
      </c>
      <c r="I570" s="175" t="s">
        <v>1489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22.5" hidden="1" customHeight="1">
      <c r="A571" s="375" t="s">
        <v>3595</v>
      </c>
      <c r="B571" s="177" t="s">
        <v>602</v>
      </c>
      <c r="C571" s="211">
        <v>1.0</v>
      </c>
      <c r="D571" s="185" t="s">
        <v>1602</v>
      </c>
      <c r="E571" s="188">
        <v>48.68</v>
      </c>
      <c r="F571" s="183">
        <v>46160.0</v>
      </c>
      <c r="G571" s="185" t="s">
        <v>9</v>
      </c>
      <c r="H571" s="185" t="s">
        <v>3596</v>
      </c>
      <c r="I571" s="189"/>
    </row>
    <row r="572" ht="22.5" hidden="1" customHeight="1">
      <c r="A572" s="375" t="s">
        <v>3597</v>
      </c>
      <c r="B572" s="318" t="s">
        <v>3598</v>
      </c>
      <c r="C572" s="211">
        <v>1.0</v>
      </c>
      <c r="D572" s="185" t="s">
        <v>1602</v>
      </c>
      <c r="E572" s="188">
        <v>101.52</v>
      </c>
      <c r="F572" s="183">
        <v>46160.0</v>
      </c>
      <c r="G572" s="185" t="s">
        <v>9</v>
      </c>
      <c r="H572" s="185" t="s">
        <v>12</v>
      </c>
      <c r="I572" s="313"/>
    </row>
    <row r="573" ht="22.5" hidden="1" customHeight="1">
      <c r="A573" s="176" t="s">
        <v>3599</v>
      </c>
      <c r="B573" s="314" t="s">
        <v>3600</v>
      </c>
      <c r="C573" s="211">
        <v>1.0</v>
      </c>
      <c r="D573" s="185" t="s">
        <v>1602</v>
      </c>
      <c r="E573" s="188">
        <v>61.94</v>
      </c>
      <c r="F573" s="183">
        <v>46161.0</v>
      </c>
      <c r="G573" s="185" t="s">
        <v>9</v>
      </c>
      <c r="H573" s="185" t="s">
        <v>1087</v>
      </c>
      <c r="I573" s="317"/>
    </row>
    <row r="574" ht="22.5" hidden="1" customHeight="1">
      <c r="A574" s="176" t="s">
        <v>3601</v>
      </c>
      <c r="B574" s="314" t="s">
        <v>2329</v>
      </c>
      <c r="C574" s="211">
        <v>1.0</v>
      </c>
      <c r="D574" s="185" t="s">
        <v>1602</v>
      </c>
      <c r="E574" s="188">
        <v>56.29</v>
      </c>
      <c r="F574" s="183">
        <v>46160.0</v>
      </c>
      <c r="G574" s="185" t="s">
        <v>9</v>
      </c>
      <c r="H574" s="185" t="s">
        <v>53</v>
      </c>
      <c r="I574" s="317"/>
    </row>
    <row r="575" ht="22.5" hidden="1" customHeight="1">
      <c r="A575" s="176" t="s">
        <v>3602</v>
      </c>
      <c r="B575" s="314" t="s">
        <v>3123</v>
      </c>
      <c r="C575" s="211">
        <v>1.0</v>
      </c>
      <c r="D575" s="185" t="s">
        <v>1602</v>
      </c>
      <c r="E575" s="188">
        <v>76.51</v>
      </c>
      <c r="F575" s="183">
        <v>46160.0</v>
      </c>
      <c r="G575" s="185" t="s">
        <v>9</v>
      </c>
      <c r="H575" s="185" t="s">
        <v>53</v>
      </c>
      <c r="I575" s="317"/>
    </row>
    <row r="576" ht="22.5" hidden="1" customHeight="1">
      <c r="A576" s="176" t="s">
        <v>3603</v>
      </c>
      <c r="B576" s="367" t="s">
        <v>2839</v>
      </c>
      <c r="C576" s="211">
        <v>1.0</v>
      </c>
      <c r="D576" s="185" t="s">
        <v>1602</v>
      </c>
      <c r="E576" s="188">
        <v>36.91</v>
      </c>
      <c r="F576" s="183">
        <v>46160.0</v>
      </c>
      <c r="G576" s="185" t="s">
        <v>9</v>
      </c>
      <c r="H576" s="185" t="s">
        <v>53</v>
      </c>
      <c r="I576" s="189"/>
    </row>
    <row r="577" ht="22.5" hidden="1" customHeight="1">
      <c r="A577" s="176" t="s">
        <v>3604</v>
      </c>
      <c r="B577" s="318" t="s">
        <v>274</v>
      </c>
      <c r="C577" s="211">
        <v>1.0</v>
      </c>
      <c r="D577" s="185" t="s">
        <v>1602</v>
      </c>
      <c r="E577" s="188">
        <v>100.12</v>
      </c>
      <c r="F577" s="183">
        <v>46160.0</v>
      </c>
      <c r="G577" s="185" t="s">
        <v>8</v>
      </c>
      <c r="H577" s="185" t="s">
        <v>53</v>
      </c>
      <c r="I577" s="317"/>
    </row>
    <row r="578" ht="22.5" hidden="1" customHeight="1">
      <c r="A578" s="176" t="s">
        <v>3605</v>
      </c>
      <c r="B578" s="314" t="s">
        <v>70</v>
      </c>
      <c r="C578" s="211">
        <v>1.0</v>
      </c>
      <c r="D578" s="185" t="s">
        <v>1602</v>
      </c>
      <c r="E578" s="188">
        <v>85.56</v>
      </c>
      <c r="F578" s="183">
        <v>46160.0</v>
      </c>
      <c r="G578" s="185" t="s">
        <v>8</v>
      </c>
      <c r="H578" s="185" t="s">
        <v>53</v>
      </c>
      <c r="I578" s="317"/>
    </row>
    <row r="579" ht="22.5" hidden="1" customHeight="1">
      <c r="A579" s="176" t="s">
        <v>3606</v>
      </c>
      <c r="B579" s="314" t="s">
        <v>651</v>
      </c>
      <c r="C579" s="211">
        <v>1.0</v>
      </c>
      <c r="D579" s="185" t="s">
        <v>1602</v>
      </c>
      <c r="E579" s="188">
        <v>36.07</v>
      </c>
      <c r="F579" s="183">
        <v>46160.0</v>
      </c>
      <c r="G579" s="185" t="s">
        <v>8</v>
      </c>
      <c r="H579" s="185" t="s">
        <v>53</v>
      </c>
      <c r="I579" s="317"/>
    </row>
    <row r="580" ht="22.5" hidden="1" customHeight="1">
      <c r="A580" s="193"/>
      <c r="B580" s="194"/>
      <c r="C580" s="195"/>
      <c r="D580" s="194"/>
      <c r="E580" s="196">
        <f>SUM(Table54[Order Earnings])</f>
        <v>603.6</v>
      </c>
      <c r="F580" s="193"/>
      <c r="G580" s="193"/>
      <c r="H580" s="193"/>
      <c r="I580" s="193"/>
    </row>
    <row r="581" hidden="1">
      <c r="A581" s="199"/>
      <c r="B581" s="200"/>
      <c r="C581" s="201"/>
      <c r="D581" s="200"/>
      <c r="E581" s="202"/>
      <c r="F581" s="199"/>
      <c r="G581" s="199"/>
      <c r="H581" s="199"/>
      <c r="I581" s="199"/>
    </row>
    <row r="582" hidden="1">
      <c r="A582" s="199"/>
      <c r="B582" s="200"/>
      <c r="C582" s="201"/>
      <c r="D582" s="203">
        <v>46162.0</v>
      </c>
      <c r="E582" s="202"/>
      <c r="F582" s="199"/>
      <c r="G582" s="199"/>
      <c r="H582" s="199"/>
      <c r="I582" s="199"/>
    </row>
    <row r="583" ht="22.5" hidden="1" customHeight="1">
      <c r="A583" s="175" t="s">
        <v>1467</v>
      </c>
      <c r="B583" s="175" t="s">
        <v>1477</v>
      </c>
      <c r="C583" s="175" t="s">
        <v>1478</v>
      </c>
      <c r="D583" s="175" t="s">
        <v>1479</v>
      </c>
      <c r="E583" s="175" t="s">
        <v>1481</v>
      </c>
      <c r="F583" s="175" t="s">
        <v>1483</v>
      </c>
      <c r="G583" s="175" t="s">
        <v>1484</v>
      </c>
      <c r="H583" s="175" t="s">
        <v>1486</v>
      </c>
      <c r="I583" s="175" t="s">
        <v>1489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22.5" hidden="1" customHeight="1">
      <c r="A584" s="376" t="s">
        <v>3607</v>
      </c>
      <c r="B584" s="177" t="s">
        <v>3608</v>
      </c>
      <c r="C584" s="211">
        <v>1.0</v>
      </c>
      <c r="D584" s="185" t="s">
        <v>1602</v>
      </c>
      <c r="E584" s="188">
        <v>34.82</v>
      </c>
      <c r="F584" s="183">
        <v>46162.0</v>
      </c>
      <c r="G584" s="185" t="s">
        <v>8</v>
      </c>
      <c r="H584" s="185" t="s">
        <v>12</v>
      </c>
      <c r="I584" s="189"/>
    </row>
    <row r="585" ht="22.5" hidden="1" customHeight="1">
      <c r="A585" s="176" t="s">
        <v>3609</v>
      </c>
      <c r="B585" s="318" t="s">
        <v>531</v>
      </c>
      <c r="C585" s="211">
        <v>1.0</v>
      </c>
      <c r="D585" s="185" t="s">
        <v>1602</v>
      </c>
      <c r="E585" s="188">
        <v>20.51</v>
      </c>
      <c r="F585" s="183">
        <v>46161.0</v>
      </c>
      <c r="G585" s="185" t="s">
        <v>8</v>
      </c>
      <c r="H585" s="185" t="s">
        <v>12</v>
      </c>
      <c r="I585" s="313"/>
    </row>
    <row r="586" ht="22.5" hidden="1" customHeight="1">
      <c r="A586" s="176" t="s">
        <v>3610</v>
      </c>
      <c r="B586" s="314" t="s">
        <v>749</v>
      </c>
      <c r="C586" s="211">
        <v>1.0</v>
      </c>
      <c r="D586" s="185" t="s">
        <v>1602</v>
      </c>
      <c r="E586" s="188">
        <v>57.44</v>
      </c>
      <c r="F586" s="183">
        <v>46162.0</v>
      </c>
      <c r="G586" s="185" t="s">
        <v>9</v>
      </c>
      <c r="H586" s="185" t="s">
        <v>12</v>
      </c>
      <c r="I586" s="317"/>
    </row>
    <row r="587" ht="22.5" hidden="1" customHeight="1">
      <c r="A587" s="176" t="s">
        <v>3611</v>
      </c>
      <c r="B587" s="314" t="s">
        <v>261</v>
      </c>
      <c r="C587" s="211">
        <v>1.0</v>
      </c>
      <c r="D587" s="185" t="s">
        <v>1602</v>
      </c>
      <c r="E587" s="188">
        <v>91.87</v>
      </c>
      <c r="F587" s="183">
        <v>46162.0</v>
      </c>
      <c r="G587" s="185" t="s">
        <v>9</v>
      </c>
      <c r="H587" s="185" t="s">
        <v>12</v>
      </c>
      <c r="I587" s="317"/>
    </row>
    <row r="588" ht="22.5" hidden="1" customHeight="1">
      <c r="A588" s="176" t="s">
        <v>3612</v>
      </c>
      <c r="B588" s="314" t="s">
        <v>403</v>
      </c>
      <c r="C588" s="211">
        <v>1.0</v>
      </c>
      <c r="D588" s="185" t="s">
        <v>1602</v>
      </c>
      <c r="E588" s="188">
        <v>147.33</v>
      </c>
      <c r="F588" s="183">
        <v>46161.0</v>
      </c>
      <c r="G588" s="185" t="s">
        <v>9</v>
      </c>
      <c r="H588" s="185" t="s">
        <v>3380</v>
      </c>
      <c r="I588" s="317"/>
    </row>
    <row r="589" ht="22.5" hidden="1" customHeight="1">
      <c r="A589" s="176" t="s">
        <v>3613</v>
      </c>
      <c r="B589" s="367" t="s">
        <v>734</v>
      </c>
      <c r="C589" s="211">
        <v>1.0</v>
      </c>
      <c r="D589" s="185" t="s">
        <v>1875</v>
      </c>
      <c r="E589" s="188">
        <v>-22.46</v>
      </c>
      <c r="F589" s="183">
        <v>46162.0</v>
      </c>
      <c r="G589" s="185" t="s">
        <v>9</v>
      </c>
      <c r="H589" s="185" t="s">
        <v>12</v>
      </c>
      <c r="I589" s="186" t="s">
        <v>3614</v>
      </c>
    </row>
    <row r="590" ht="22.5" hidden="1" customHeight="1">
      <c r="A590" s="176" t="s">
        <v>3615</v>
      </c>
      <c r="B590" s="364">
        <v>1.7438200000109E13</v>
      </c>
      <c r="C590" s="211">
        <v>1.0</v>
      </c>
      <c r="D590" s="185" t="s">
        <v>1602</v>
      </c>
      <c r="E590" s="188">
        <v>50.17</v>
      </c>
      <c r="F590" s="183">
        <v>46162.0</v>
      </c>
      <c r="G590" s="185" t="s">
        <v>9</v>
      </c>
      <c r="H590" s="185" t="s">
        <v>351</v>
      </c>
      <c r="I590" s="317"/>
    </row>
    <row r="591" ht="22.5" hidden="1" customHeight="1">
      <c r="A591" s="176" t="s">
        <v>3616</v>
      </c>
      <c r="B591" s="314" t="s">
        <v>1419</v>
      </c>
      <c r="C591" s="211">
        <v>1.0</v>
      </c>
      <c r="D591" s="185" t="s">
        <v>1532</v>
      </c>
      <c r="E591" s="188">
        <v>-0.4</v>
      </c>
      <c r="F591" s="183">
        <v>46162.0</v>
      </c>
      <c r="G591" s="185" t="s">
        <v>9</v>
      </c>
      <c r="H591" s="185" t="s">
        <v>53</v>
      </c>
      <c r="I591" s="317" t="s">
        <v>3590</v>
      </c>
    </row>
    <row r="592" ht="22.5" hidden="1" customHeight="1">
      <c r="A592" s="176" t="s">
        <v>3617</v>
      </c>
      <c r="B592" s="314">
        <v>2.41734001E8</v>
      </c>
      <c r="C592" s="211">
        <v>1.0</v>
      </c>
      <c r="D592" s="185" t="s">
        <v>1602</v>
      </c>
      <c r="E592" s="188">
        <v>35.1</v>
      </c>
      <c r="F592" s="183">
        <v>46162.0</v>
      </c>
      <c r="G592" s="185" t="s">
        <v>9</v>
      </c>
      <c r="H592" s="185" t="s">
        <v>53</v>
      </c>
      <c r="I592" s="317"/>
    </row>
    <row r="593" ht="22.5" hidden="1" customHeight="1">
      <c r="A593" s="176" t="s">
        <v>3618</v>
      </c>
      <c r="B593" s="314" t="s">
        <v>602</v>
      </c>
      <c r="C593" s="211">
        <v>1.0</v>
      </c>
      <c r="D593" s="185" t="s">
        <v>1602</v>
      </c>
      <c r="E593" s="188">
        <v>41.31</v>
      </c>
      <c r="F593" s="183">
        <v>46161.0</v>
      </c>
      <c r="G593" s="185" t="s">
        <v>9</v>
      </c>
      <c r="H593" s="185" t="s">
        <v>53</v>
      </c>
      <c r="I593" s="317"/>
    </row>
    <row r="594" ht="22.5" hidden="1" customHeight="1">
      <c r="A594" s="176" t="s">
        <v>3619</v>
      </c>
      <c r="B594" s="377" t="s">
        <v>3620</v>
      </c>
      <c r="C594" s="211">
        <v>1.0</v>
      </c>
      <c r="D594" s="185" t="s">
        <v>1602</v>
      </c>
      <c r="E594" s="188">
        <v>26.12</v>
      </c>
      <c r="F594" s="183">
        <v>46161.0</v>
      </c>
      <c r="G594" s="185" t="s">
        <v>9</v>
      </c>
      <c r="H594" s="185" t="s">
        <v>1087</v>
      </c>
      <c r="I594" s="317"/>
    </row>
    <row r="595" ht="22.5" hidden="1" customHeight="1">
      <c r="A595" s="176" t="s">
        <v>3621</v>
      </c>
      <c r="B595" s="314" t="s">
        <v>3622</v>
      </c>
      <c r="C595" s="211">
        <v>1.0</v>
      </c>
      <c r="D595" s="185" t="s">
        <v>1602</v>
      </c>
      <c r="E595" s="188">
        <v>77.61</v>
      </c>
      <c r="F595" s="183">
        <v>46162.0</v>
      </c>
      <c r="G595" s="185" t="s">
        <v>9</v>
      </c>
      <c r="H595" s="185" t="s">
        <v>11</v>
      </c>
      <c r="I595" s="317"/>
    </row>
    <row r="596" ht="22.5" hidden="1" customHeight="1">
      <c r="A596" s="176" t="s">
        <v>3623</v>
      </c>
      <c r="B596" s="369" t="s">
        <v>3624</v>
      </c>
      <c r="C596" s="343">
        <v>1.0</v>
      </c>
      <c r="D596" s="331" t="s">
        <v>1602</v>
      </c>
      <c r="E596" s="345">
        <v>68.36</v>
      </c>
      <c r="F596" s="346">
        <v>46162.0</v>
      </c>
      <c r="G596" s="185" t="s">
        <v>9</v>
      </c>
      <c r="H596" s="185" t="s">
        <v>11</v>
      </c>
      <c r="I596" s="335"/>
    </row>
    <row r="597" ht="22.5" hidden="1" customHeight="1">
      <c r="A597" s="193"/>
      <c r="B597" s="194"/>
      <c r="C597" s="195"/>
      <c r="D597" s="194"/>
      <c r="E597" s="196">
        <f>SUM(E584:E596)</f>
        <v>627.78</v>
      </c>
      <c r="F597" s="193"/>
      <c r="G597" s="193"/>
      <c r="H597" s="193"/>
      <c r="I597" s="193"/>
    </row>
    <row r="598" hidden="1">
      <c r="A598" s="199"/>
      <c r="B598" s="200"/>
      <c r="C598" s="201"/>
      <c r="D598" s="200"/>
      <c r="E598" s="202"/>
      <c r="F598" s="199"/>
      <c r="G598" s="199"/>
      <c r="H598" s="199"/>
      <c r="I598" s="199"/>
    </row>
    <row r="599" hidden="1">
      <c r="A599" s="199"/>
      <c r="B599" s="200"/>
      <c r="C599" s="201"/>
      <c r="D599" s="203">
        <v>46163.0</v>
      </c>
      <c r="E599" s="202"/>
      <c r="F599" s="199"/>
      <c r="G599" s="199"/>
      <c r="H599" s="199"/>
      <c r="I599" s="199"/>
    </row>
    <row r="600" ht="22.5" hidden="1" customHeight="1">
      <c r="A600" s="175" t="s">
        <v>1467</v>
      </c>
      <c r="B600" s="175" t="s">
        <v>1477</v>
      </c>
      <c r="C600" s="175" t="s">
        <v>1478</v>
      </c>
      <c r="D600" s="175" t="s">
        <v>1479</v>
      </c>
      <c r="E600" s="175" t="s">
        <v>1481</v>
      </c>
      <c r="F600" s="175" t="s">
        <v>1483</v>
      </c>
      <c r="G600" s="175" t="s">
        <v>1484</v>
      </c>
      <c r="H600" s="175" t="s">
        <v>1486</v>
      </c>
      <c r="I600" s="175" t="s">
        <v>1489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22.5" hidden="1" customHeight="1">
      <c r="A601" s="176" t="s">
        <v>3625</v>
      </c>
      <c r="B601" s="177">
        <v>5.304529782E9</v>
      </c>
      <c r="C601" s="211">
        <v>1.0</v>
      </c>
      <c r="D601" s="185" t="s">
        <v>1532</v>
      </c>
      <c r="E601" s="188">
        <v>0.0</v>
      </c>
      <c r="F601" s="183">
        <v>46162.0</v>
      </c>
      <c r="G601" s="185" t="s">
        <v>8</v>
      </c>
      <c r="H601" s="185" t="s">
        <v>12</v>
      </c>
      <c r="I601" s="186" t="s">
        <v>3626</v>
      </c>
    </row>
    <row r="602" ht="22.5" hidden="1" customHeight="1">
      <c r="A602" s="176" t="s">
        <v>3627</v>
      </c>
      <c r="B602" s="318" t="s">
        <v>583</v>
      </c>
      <c r="C602" s="211">
        <v>1.0</v>
      </c>
      <c r="D602" s="185" t="s">
        <v>1602</v>
      </c>
      <c r="E602" s="188">
        <v>34.38</v>
      </c>
      <c r="F602" s="183">
        <v>46162.0</v>
      </c>
      <c r="G602" s="185" t="s">
        <v>9</v>
      </c>
      <c r="H602" s="185" t="s">
        <v>12</v>
      </c>
      <c r="I602" s="313"/>
    </row>
    <row r="603" ht="22.5" hidden="1" customHeight="1">
      <c r="A603" s="176" t="s">
        <v>3628</v>
      </c>
      <c r="B603" s="314" t="s">
        <v>1016</v>
      </c>
      <c r="C603" s="211">
        <v>1.0</v>
      </c>
      <c r="D603" s="185" t="s">
        <v>1602</v>
      </c>
      <c r="E603" s="188">
        <v>25.56</v>
      </c>
      <c r="F603" s="183">
        <v>46163.0</v>
      </c>
      <c r="G603" s="185" t="s">
        <v>9</v>
      </c>
      <c r="H603" s="185" t="s">
        <v>53</v>
      </c>
      <c r="I603" s="317"/>
    </row>
    <row r="604" ht="22.5" hidden="1" customHeight="1">
      <c r="A604" s="176" t="s">
        <v>3629</v>
      </c>
      <c r="B604" s="314">
        <v>5.304511363E9</v>
      </c>
      <c r="C604" s="211">
        <v>1.0</v>
      </c>
      <c r="D604" s="185" t="s">
        <v>1602</v>
      </c>
      <c r="E604" s="188">
        <v>38.86</v>
      </c>
      <c r="F604" s="183">
        <v>46163.0</v>
      </c>
      <c r="G604" s="185" t="s">
        <v>8</v>
      </c>
      <c r="H604" s="185" t="s">
        <v>11</v>
      </c>
      <c r="I604" s="317"/>
    </row>
    <row r="605" ht="22.5" hidden="1" customHeight="1">
      <c r="A605" s="176" t="s">
        <v>3630</v>
      </c>
      <c r="B605" s="314" t="s">
        <v>3004</v>
      </c>
      <c r="C605" s="211">
        <v>1.0</v>
      </c>
      <c r="D605" s="185" t="s">
        <v>1602</v>
      </c>
      <c r="E605" s="188">
        <v>52.24</v>
      </c>
      <c r="F605" s="183">
        <v>46163.0</v>
      </c>
      <c r="G605" s="185" t="s">
        <v>8</v>
      </c>
      <c r="H605" s="185" t="s">
        <v>11</v>
      </c>
      <c r="I605" s="317"/>
    </row>
    <row r="606" ht="22.5" hidden="1" customHeight="1">
      <c r="A606" s="176" t="s">
        <v>3631</v>
      </c>
      <c r="B606" s="367" t="s">
        <v>3093</v>
      </c>
      <c r="C606" s="211">
        <v>1.0</v>
      </c>
      <c r="D606" s="185" t="s">
        <v>1602</v>
      </c>
      <c r="E606" s="188">
        <v>68.7</v>
      </c>
      <c r="F606" s="183">
        <v>46163.0</v>
      </c>
      <c r="G606" s="185" t="s">
        <v>9</v>
      </c>
      <c r="H606" s="185" t="s">
        <v>53</v>
      </c>
      <c r="I606" s="189"/>
    </row>
    <row r="607" ht="22.5" hidden="1" customHeight="1">
      <c r="A607" s="176" t="s">
        <v>3632</v>
      </c>
      <c r="B607" s="318" t="s">
        <v>2661</v>
      </c>
      <c r="C607" s="211">
        <v>1.0</v>
      </c>
      <c r="D607" s="185" t="s">
        <v>1602</v>
      </c>
      <c r="E607" s="188">
        <v>71.43</v>
      </c>
      <c r="F607" s="183">
        <v>46163.0</v>
      </c>
      <c r="G607" s="185" t="s">
        <v>9</v>
      </c>
      <c r="H607" s="185" t="s">
        <v>2243</v>
      </c>
      <c r="I607" s="317"/>
    </row>
    <row r="608" ht="22.5" hidden="1" customHeight="1">
      <c r="A608" s="193"/>
      <c r="B608" s="194"/>
      <c r="C608" s="195"/>
      <c r="D608" s="194"/>
      <c r="E608" s="196">
        <f>SUM(E601:E607)</f>
        <v>291.17</v>
      </c>
      <c r="F608" s="193"/>
      <c r="G608" s="193"/>
      <c r="H608" s="193"/>
      <c r="I608" s="193"/>
    </row>
    <row r="609" hidden="1">
      <c r="A609" s="199"/>
      <c r="B609" s="200"/>
      <c r="C609" s="201"/>
      <c r="D609" s="200"/>
      <c r="E609" s="202"/>
      <c r="F609" s="199"/>
      <c r="G609" s="199"/>
      <c r="H609" s="199"/>
      <c r="I609" s="199"/>
    </row>
    <row r="610" hidden="1">
      <c r="A610" s="199"/>
      <c r="B610" s="200"/>
      <c r="C610" s="201"/>
      <c r="D610" s="203">
        <v>46164.0</v>
      </c>
      <c r="E610" s="202"/>
      <c r="F610" s="199"/>
      <c r="G610" s="199"/>
      <c r="H610" s="199"/>
      <c r="I610" s="199"/>
    </row>
    <row r="611" ht="22.5" hidden="1" customHeight="1">
      <c r="A611" s="175" t="s">
        <v>1467</v>
      </c>
      <c r="B611" s="175" t="s">
        <v>1477</v>
      </c>
      <c r="C611" s="175" t="s">
        <v>1478</v>
      </c>
      <c r="D611" s="175" t="s">
        <v>1479</v>
      </c>
      <c r="E611" s="175" t="s">
        <v>1481</v>
      </c>
      <c r="F611" s="175" t="s">
        <v>1483</v>
      </c>
      <c r="G611" s="175" t="s">
        <v>1484</v>
      </c>
      <c r="H611" s="175" t="s">
        <v>1486</v>
      </c>
      <c r="I611" s="175" t="s">
        <v>1489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22.5" hidden="1" customHeight="1">
      <c r="A612" s="176" t="s">
        <v>3633</v>
      </c>
      <c r="B612" s="177" t="s">
        <v>3634</v>
      </c>
      <c r="C612" s="211">
        <v>1.0</v>
      </c>
      <c r="D612" s="185" t="s">
        <v>1602</v>
      </c>
      <c r="E612" s="188">
        <v>69.84</v>
      </c>
      <c r="F612" s="183">
        <v>46163.0</v>
      </c>
      <c r="G612" s="185" t="s">
        <v>8</v>
      </c>
      <c r="H612" s="185" t="s">
        <v>12</v>
      </c>
      <c r="I612" s="189"/>
    </row>
    <row r="613" ht="22.5" hidden="1" customHeight="1">
      <c r="A613" s="366" t="s">
        <v>3635</v>
      </c>
      <c r="B613" s="318" t="s">
        <v>2259</v>
      </c>
      <c r="C613" s="211">
        <v>1.0</v>
      </c>
      <c r="D613" s="185" t="s">
        <v>1602</v>
      </c>
      <c r="E613" s="188">
        <v>135.58</v>
      </c>
      <c r="F613" s="183">
        <v>46164.0</v>
      </c>
      <c r="G613" s="185" t="s">
        <v>9</v>
      </c>
      <c r="H613" s="185" t="s">
        <v>3380</v>
      </c>
      <c r="I613" s="313"/>
    </row>
    <row r="614" ht="22.5" hidden="1" customHeight="1">
      <c r="A614" s="176" t="s">
        <v>3636</v>
      </c>
      <c r="B614" s="314" t="s">
        <v>794</v>
      </c>
      <c r="C614" s="211">
        <v>1.0</v>
      </c>
      <c r="D614" s="185" t="s">
        <v>1602</v>
      </c>
      <c r="E614" s="188">
        <v>78.6</v>
      </c>
      <c r="F614" s="183">
        <v>46163.0</v>
      </c>
      <c r="G614" s="185" t="s">
        <v>9</v>
      </c>
      <c r="H614" s="185" t="s">
        <v>12</v>
      </c>
      <c r="I614" s="317"/>
    </row>
    <row r="615" ht="22.5" hidden="1" customHeight="1">
      <c r="A615" s="176" t="s">
        <v>3637</v>
      </c>
      <c r="B615" s="314" t="s">
        <v>2887</v>
      </c>
      <c r="C615" s="211">
        <v>1.0</v>
      </c>
      <c r="D615" s="185" t="s">
        <v>1602</v>
      </c>
      <c r="E615" s="188">
        <v>30.57</v>
      </c>
      <c r="F615" s="183">
        <v>46163.0</v>
      </c>
      <c r="G615" s="185" t="s">
        <v>9</v>
      </c>
      <c r="H615" s="185" t="s">
        <v>53</v>
      </c>
      <c r="I615" s="317"/>
    </row>
    <row r="616" ht="22.5" hidden="1" customHeight="1">
      <c r="A616" s="176" t="s">
        <v>3638</v>
      </c>
      <c r="B616" s="367" t="s">
        <v>2506</v>
      </c>
      <c r="C616" s="211">
        <v>1.0</v>
      </c>
      <c r="D616" s="185" t="s">
        <v>1602</v>
      </c>
      <c r="E616" s="188">
        <v>53.51</v>
      </c>
      <c r="F616" s="183">
        <v>46163.0</v>
      </c>
      <c r="G616" s="185" t="s">
        <v>9</v>
      </c>
      <c r="H616" s="185" t="s">
        <v>53</v>
      </c>
      <c r="I616" s="189"/>
    </row>
    <row r="617" ht="22.5" hidden="1" customHeight="1">
      <c r="A617" s="176" t="s">
        <v>3639</v>
      </c>
      <c r="B617" s="318" t="s">
        <v>602</v>
      </c>
      <c r="C617" s="211">
        <v>1.0</v>
      </c>
      <c r="D617" s="185" t="s">
        <v>1602</v>
      </c>
      <c r="E617" s="188">
        <v>41.62</v>
      </c>
      <c r="F617" s="183">
        <v>46164.0</v>
      </c>
      <c r="G617" s="185" t="s">
        <v>9</v>
      </c>
      <c r="H617" s="185" t="s">
        <v>351</v>
      </c>
      <c r="I617" s="317"/>
    </row>
    <row r="618" ht="22.5" hidden="1" customHeight="1">
      <c r="A618" s="176" t="s">
        <v>3640</v>
      </c>
      <c r="B618" s="314" t="s">
        <v>3448</v>
      </c>
      <c r="C618" s="211">
        <v>1.0</v>
      </c>
      <c r="D618" s="185" t="s">
        <v>1875</v>
      </c>
      <c r="E618" s="188">
        <v>-57.92</v>
      </c>
      <c r="F618" s="183">
        <v>46142.0</v>
      </c>
      <c r="G618" s="185" t="s">
        <v>9</v>
      </c>
      <c r="H618" s="185" t="s">
        <v>53</v>
      </c>
      <c r="I618" s="317" t="s">
        <v>3641</v>
      </c>
    </row>
    <row r="619" ht="22.5" hidden="1" customHeight="1">
      <c r="A619" s="176" t="s">
        <v>3642</v>
      </c>
      <c r="B619" s="314" t="s">
        <v>2970</v>
      </c>
      <c r="C619" s="211">
        <v>1.0</v>
      </c>
      <c r="D619" s="185" t="s">
        <v>1875</v>
      </c>
      <c r="E619" s="188">
        <v>-112.33</v>
      </c>
      <c r="F619" s="183">
        <v>46118.0</v>
      </c>
      <c r="G619" s="185" t="s">
        <v>9</v>
      </c>
      <c r="H619" s="185" t="s">
        <v>53</v>
      </c>
      <c r="I619" s="317" t="s">
        <v>3643</v>
      </c>
    </row>
    <row r="620" ht="22.5" hidden="1" customHeight="1">
      <c r="A620" s="176" t="s">
        <v>3644</v>
      </c>
      <c r="B620" s="314" t="s">
        <v>3645</v>
      </c>
      <c r="C620" s="211">
        <v>1.0</v>
      </c>
      <c r="D620" s="185" t="s">
        <v>1602</v>
      </c>
      <c r="E620" s="188">
        <v>29.64</v>
      </c>
      <c r="F620" s="183">
        <v>46164.0</v>
      </c>
      <c r="G620" s="185" t="s">
        <v>8</v>
      </c>
      <c r="H620" s="185" t="s">
        <v>11</v>
      </c>
      <c r="I620" s="317"/>
    </row>
    <row r="621" ht="22.5" hidden="1" customHeight="1">
      <c r="A621" s="193"/>
      <c r="B621" s="194"/>
      <c r="C621" s="195"/>
      <c r="D621" s="194"/>
      <c r="E621" s="196">
        <f>SUM(Table57[Order Earnings])</f>
        <v>269.11</v>
      </c>
      <c r="F621" s="193"/>
      <c r="G621" s="193"/>
      <c r="H621" s="193"/>
      <c r="I621" s="193"/>
    </row>
    <row r="622" hidden="1">
      <c r="A622" s="199"/>
      <c r="B622" s="200"/>
      <c r="C622" s="201"/>
      <c r="D622" s="200"/>
      <c r="E622" s="202"/>
      <c r="F622" s="199"/>
      <c r="G622" s="199"/>
      <c r="H622" s="199"/>
      <c r="I622" s="199"/>
    </row>
    <row r="623" hidden="1">
      <c r="A623" s="199"/>
      <c r="B623" s="200"/>
      <c r="C623" s="201"/>
      <c r="D623" s="203">
        <v>46168.0</v>
      </c>
      <c r="E623" s="202"/>
      <c r="F623" s="199"/>
      <c r="G623" s="199"/>
      <c r="H623" s="199"/>
      <c r="I623" s="199"/>
    </row>
    <row r="624" ht="22.5" hidden="1" customHeight="1">
      <c r="A624" s="175" t="s">
        <v>1467</v>
      </c>
      <c r="B624" s="175" t="s">
        <v>1477</v>
      </c>
      <c r="C624" s="175" t="s">
        <v>1478</v>
      </c>
      <c r="D624" s="175" t="s">
        <v>1479</v>
      </c>
      <c r="E624" s="175" t="s">
        <v>1481</v>
      </c>
      <c r="F624" s="175" t="s">
        <v>1483</v>
      </c>
      <c r="G624" s="175" t="s">
        <v>1484</v>
      </c>
      <c r="H624" s="175" t="s">
        <v>1486</v>
      </c>
      <c r="I624" s="175" t="s">
        <v>1489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22.5" hidden="1" customHeight="1">
      <c r="A625" s="376" t="s">
        <v>3646</v>
      </c>
      <c r="B625" s="318" t="s">
        <v>2563</v>
      </c>
      <c r="C625" s="211">
        <v>1.0</v>
      </c>
      <c r="D625" s="185" t="s">
        <v>1602</v>
      </c>
      <c r="E625" s="188">
        <v>74.25</v>
      </c>
      <c r="F625" s="183">
        <v>46165.0</v>
      </c>
      <c r="G625" s="185" t="s">
        <v>9</v>
      </c>
      <c r="H625" s="185" t="s">
        <v>3380</v>
      </c>
      <c r="I625" s="313"/>
    </row>
    <row r="626" ht="22.5" hidden="1" customHeight="1">
      <c r="A626" s="291" t="s">
        <v>3647</v>
      </c>
      <c r="B626" s="314" t="s">
        <v>142</v>
      </c>
      <c r="C626" s="211">
        <v>1.0</v>
      </c>
      <c r="D626" s="185" t="s">
        <v>1602</v>
      </c>
      <c r="E626" s="188">
        <v>29.0</v>
      </c>
      <c r="F626" s="183">
        <v>46167.0</v>
      </c>
      <c r="G626" s="185" t="s">
        <v>9</v>
      </c>
      <c r="H626" s="185" t="s">
        <v>12</v>
      </c>
      <c r="I626" s="317"/>
    </row>
    <row r="627" ht="22.5" hidden="1" customHeight="1">
      <c r="A627" s="176" t="s">
        <v>3648</v>
      </c>
      <c r="B627" s="314" t="s">
        <v>2656</v>
      </c>
      <c r="C627" s="211">
        <v>1.0</v>
      </c>
      <c r="D627" s="185" t="s">
        <v>1602</v>
      </c>
      <c r="E627" s="188">
        <v>57.64</v>
      </c>
      <c r="F627" s="183"/>
      <c r="G627" s="185" t="s">
        <v>9</v>
      </c>
      <c r="H627" s="185" t="s">
        <v>2243</v>
      </c>
      <c r="I627" s="317"/>
    </row>
    <row r="628" ht="22.5" hidden="1" customHeight="1">
      <c r="A628" s="176" t="s">
        <v>3649</v>
      </c>
      <c r="B628" s="367" t="s">
        <v>402</v>
      </c>
      <c r="C628" s="211">
        <v>1.0</v>
      </c>
      <c r="D628" s="185" t="s">
        <v>1602</v>
      </c>
      <c r="E628" s="188">
        <v>144.7</v>
      </c>
      <c r="F628" s="183">
        <v>46168.0</v>
      </c>
      <c r="G628" s="185" t="s">
        <v>9</v>
      </c>
      <c r="H628" s="185" t="s">
        <v>351</v>
      </c>
      <c r="I628" s="189"/>
    </row>
    <row r="629" ht="22.5" hidden="1" customHeight="1">
      <c r="A629" s="176" t="s">
        <v>3650</v>
      </c>
      <c r="B629" s="318" t="s">
        <v>3183</v>
      </c>
      <c r="C629" s="211">
        <v>1.0</v>
      </c>
      <c r="D629" s="185" t="s">
        <v>1602</v>
      </c>
      <c r="E629" s="188">
        <v>37.61</v>
      </c>
      <c r="F629" s="183">
        <v>46167.0</v>
      </c>
      <c r="G629" s="185" t="s">
        <v>9</v>
      </c>
      <c r="H629" s="185" t="s">
        <v>53</v>
      </c>
      <c r="I629" s="317"/>
    </row>
    <row r="630" ht="22.5" hidden="1" customHeight="1">
      <c r="A630" s="176" t="s">
        <v>3651</v>
      </c>
      <c r="B630" s="314" t="s">
        <v>2715</v>
      </c>
      <c r="C630" s="211">
        <v>1.0</v>
      </c>
      <c r="D630" s="185" t="s">
        <v>1602</v>
      </c>
      <c r="E630" s="188">
        <v>61.22</v>
      </c>
      <c r="F630" s="183">
        <v>46166.0</v>
      </c>
      <c r="G630" s="185" t="s">
        <v>9</v>
      </c>
      <c r="H630" s="185" t="s">
        <v>53</v>
      </c>
      <c r="I630" s="317"/>
    </row>
    <row r="631" ht="22.5" hidden="1" customHeight="1">
      <c r="A631" s="176" t="s">
        <v>3652</v>
      </c>
      <c r="B631" s="314">
        <v>2.42220133E8</v>
      </c>
      <c r="C631" s="211">
        <v>1.0</v>
      </c>
      <c r="D631" s="185" t="s">
        <v>1602</v>
      </c>
      <c r="E631" s="188">
        <v>6.5</v>
      </c>
      <c r="F631" s="183">
        <v>46164.0</v>
      </c>
      <c r="G631" s="185" t="s">
        <v>9</v>
      </c>
      <c r="H631" s="185" t="s">
        <v>1087</v>
      </c>
      <c r="I631" s="317"/>
    </row>
    <row r="632" ht="22.5" hidden="1" customHeight="1">
      <c r="A632" s="176" t="s">
        <v>3653</v>
      </c>
      <c r="B632" s="314" t="s">
        <v>3654</v>
      </c>
      <c r="C632" s="211">
        <v>1.0</v>
      </c>
      <c r="D632" s="185" t="s">
        <v>1602</v>
      </c>
      <c r="E632" s="188">
        <v>53.26</v>
      </c>
      <c r="F632" s="183">
        <v>46164.0</v>
      </c>
      <c r="G632" s="185" t="s">
        <v>9</v>
      </c>
      <c r="H632" s="185" t="s">
        <v>1087</v>
      </c>
      <c r="I632" s="317"/>
    </row>
    <row r="633" ht="22.5" hidden="1" customHeight="1">
      <c r="A633" s="176" t="s">
        <v>3655</v>
      </c>
      <c r="B633" s="378">
        <v>2.50600194E8</v>
      </c>
      <c r="C633" s="211">
        <v>1.0</v>
      </c>
      <c r="D633" s="185" t="s">
        <v>1532</v>
      </c>
      <c r="E633" s="188"/>
      <c r="F633" s="183">
        <v>46168.0</v>
      </c>
      <c r="G633" s="185" t="s">
        <v>9</v>
      </c>
      <c r="H633" s="185" t="s">
        <v>11</v>
      </c>
      <c r="I633" s="317" t="s">
        <v>3656</v>
      </c>
    </row>
    <row r="634" ht="22.5" hidden="1" customHeight="1">
      <c r="A634" s="176" t="s">
        <v>3657</v>
      </c>
      <c r="B634" s="314" t="s">
        <v>3658</v>
      </c>
      <c r="C634" s="211">
        <v>1.0</v>
      </c>
      <c r="D634" s="185" t="s">
        <v>1532</v>
      </c>
      <c r="E634" s="188"/>
      <c r="F634" s="183">
        <v>46165.0</v>
      </c>
      <c r="G634" s="185" t="s">
        <v>9</v>
      </c>
      <c r="H634" s="185" t="s">
        <v>11</v>
      </c>
      <c r="I634" s="317" t="s">
        <v>3659</v>
      </c>
    </row>
    <row r="635" ht="22.5" hidden="1" customHeight="1">
      <c r="A635" s="176" t="s">
        <v>3660</v>
      </c>
      <c r="B635" s="369" t="s">
        <v>3661</v>
      </c>
      <c r="C635" s="343">
        <v>1.0</v>
      </c>
      <c r="D635" s="331" t="s">
        <v>1602</v>
      </c>
      <c r="E635" s="345">
        <v>14.74</v>
      </c>
      <c r="F635" s="346">
        <v>46165.0</v>
      </c>
      <c r="G635" s="185" t="s">
        <v>9</v>
      </c>
      <c r="H635" s="185" t="s">
        <v>11</v>
      </c>
      <c r="I635" s="335"/>
    </row>
    <row r="636" ht="22.5" hidden="1" customHeight="1">
      <c r="A636" s="193"/>
      <c r="B636" s="194"/>
      <c r="C636" s="195"/>
      <c r="D636" s="194"/>
      <c r="E636" s="196">
        <f>SUM(Table58[Order Earnings])</f>
        <v>478.92</v>
      </c>
      <c r="F636" s="193"/>
      <c r="G636" s="193"/>
      <c r="H636" s="193"/>
      <c r="I636" s="193"/>
    </row>
    <row r="637" hidden="1">
      <c r="A637" s="199"/>
      <c r="B637" s="200"/>
      <c r="C637" s="201"/>
      <c r="D637" s="200"/>
      <c r="E637" s="202"/>
      <c r="F637" s="199"/>
      <c r="G637" s="199"/>
      <c r="H637" s="199"/>
      <c r="I637" s="199"/>
    </row>
    <row r="638" hidden="1">
      <c r="A638" s="199"/>
      <c r="B638" s="200"/>
      <c r="C638" s="201"/>
      <c r="D638" s="203">
        <v>46169.0</v>
      </c>
      <c r="E638" s="202"/>
      <c r="F638" s="199"/>
      <c r="G638" s="199"/>
      <c r="H638" s="199"/>
      <c r="I638" s="199"/>
    </row>
    <row r="639" ht="22.5" hidden="1" customHeight="1">
      <c r="A639" s="175" t="s">
        <v>1467</v>
      </c>
      <c r="B639" s="175" t="s">
        <v>1477</v>
      </c>
      <c r="C639" s="175" t="s">
        <v>1478</v>
      </c>
      <c r="D639" s="175" t="s">
        <v>1479</v>
      </c>
      <c r="E639" s="175" t="s">
        <v>1481</v>
      </c>
      <c r="F639" s="175" t="s">
        <v>1483</v>
      </c>
      <c r="G639" s="175" t="s">
        <v>1484</v>
      </c>
      <c r="H639" s="175" t="s">
        <v>1486</v>
      </c>
      <c r="I639" s="175" t="s">
        <v>1489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22.5" hidden="1" customHeight="1">
      <c r="A640" s="176" t="s">
        <v>3662</v>
      </c>
      <c r="B640" s="177" t="s">
        <v>585</v>
      </c>
      <c r="C640" s="211">
        <v>1.0</v>
      </c>
      <c r="D640" s="185" t="s">
        <v>1602</v>
      </c>
      <c r="E640" s="188">
        <v>76.32</v>
      </c>
      <c r="F640" s="183">
        <v>46168.0</v>
      </c>
      <c r="G640" s="185" t="s">
        <v>9</v>
      </c>
      <c r="H640" s="185" t="s">
        <v>12</v>
      </c>
      <c r="I640" s="189"/>
    </row>
    <row r="641" ht="22.5" hidden="1" customHeight="1">
      <c r="A641" s="176" t="s">
        <v>3663</v>
      </c>
      <c r="B641" s="318" t="s">
        <v>754</v>
      </c>
      <c r="C641" s="211">
        <v>1.0</v>
      </c>
      <c r="D641" s="185" t="s">
        <v>1602</v>
      </c>
      <c r="E641" s="188">
        <v>77.53</v>
      </c>
      <c r="F641" s="183">
        <v>46168.0</v>
      </c>
      <c r="G641" s="185" t="s">
        <v>9</v>
      </c>
      <c r="H641" s="185" t="s">
        <v>12</v>
      </c>
      <c r="I641" s="313"/>
    </row>
    <row r="642" ht="22.5" hidden="1" customHeight="1">
      <c r="A642" s="176" t="s">
        <v>3664</v>
      </c>
      <c r="B642" s="314" t="s">
        <v>794</v>
      </c>
      <c r="C642" s="211">
        <v>1.0</v>
      </c>
      <c r="D642" s="185" t="s">
        <v>1602</v>
      </c>
      <c r="E642" s="188">
        <v>75.27</v>
      </c>
      <c r="F642" s="183">
        <v>46168.0</v>
      </c>
      <c r="G642" s="185" t="s">
        <v>9</v>
      </c>
      <c r="H642" s="185" t="s">
        <v>12</v>
      </c>
      <c r="I642" s="317"/>
    </row>
    <row r="643" ht="22.5" hidden="1" customHeight="1">
      <c r="A643" s="176" t="s">
        <v>3665</v>
      </c>
      <c r="B643" s="314">
        <v>5.304535108E9</v>
      </c>
      <c r="C643" s="211">
        <v>1.0</v>
      </c>
      <c r="D643" s="185" t="s">
        <v>1602</v>
      </c>
      <c r="E643" s="188">
        <v>25.71</v>
      </c>
      <c r="F643" s="183">
        <v>46168.0</v>
      </c>
      <c r="G643" s="185" t="s">
        <v>8</v>
      </c>
      <c r="H643" s="185" t="s">
        <v>12</v>
      </c>
      <c r="I643" s="317"/>
    </row>
    <row r="644" ht="22.5" hidden="1" customHeight="1">
      <c r="A644" s="176" t="s">
        <v>3666</v>
      </c>
      <c r="B644" s="314" t="s">
        <v>3667</v>
      </c>
      <c r="C644" s="211">
        <v>1.0</v>
      </c>
      <c r="D644" s="185" t="s">
        <v>1602</v>
      </c>
      <c r="E644" s="188">
        <v>24.05</v>
      </c>
      <c r="F644" s="183">
        <v>46169.0</v>
      </c>
      <c r="G644" s="185" t="s">
        <v>8</v>
      </c>
      <c r="H644" s="185" t="s">
        <v>12</v>
      </c>
      <c r="I644" s="317"/>
    </row>
    <row r="645" ht="22.5" hidden="1" customHeight="1">
      <c r="A645" s="291" t="s">
        <v>3668</v>
      </c>
      <c r="B645" s="367" t="s">
        <v>2422</v>
      </c>
      <c r="C645" s="211">
        <v>1.0</v>
      </c>
      <c r="D645" s="185" t="s">
        <v>1602</v>
      </c>
      <c r="E645" s="188">
        <v>54.82</v>
      </c>
      <c r="F645" s="183">
        <v>46168.0</v>
      </c>
      <c r="G645" s="185" t="s">
        <v>9</v>
      </c>
      <c r="H645" s="185" t="s">
        <v>53</v>
      </c>
      <c r="I645" s="189"/>
    </row>
    <row r="646" ht="22.5" hidden="1" customHeight="1">
      <c r="A646" s="176" t="s">
        <v>3669</v>
      </c>
      <c r="B646" s="318" t="s">
        <v>3670</v>
      </c>
      <c r="C646" s="211">
        <v>1.0</v>
      </c>
      <c r="D646" s="185" t="s">
        <v>1532</v>
      </c>
      <c r="E646" s="188"/>
      <c r="F646" s="183">
        <v>46169.0</v>
      </c>
      <c r="G646" s="185" t="s">
        <v>9</v>
      </c>
      <c r="H646" s="185" t="s">
        <v>11</v>
      </c>
      <c r="I646" s="317" t="s">
        <v>3656</v>
      </c>
    </row>
    <row r="647" ht="22.5" hidden="1" customHeight="1">
      <c r="A647" s="176" t="s">
        <v>3671</v>
      </c>
      <c r="B647" s="314" t="s">
        <v>1617</v>
      </c>
      <c r="C647" s="211">
        <v>1.0</v>
      </c>
      <c r="D647" s="185" t="s">
        <v>1602</v>
      </c>
      <c r="E647" s="188">
        <v>76.86</v>
      </c>
      <c r="F647" s="183">
        <v>46169.0</v>
      </c>
      <c r="G647" s="185" t="s">
        <v>9</v>
      </c>
      <c r="H647" s="185" t="s">
        <v>53</v>
      </c>
      <c r="I647" s="317"/>
    </row>
    <row r="648" ht="22.5" hidden="1" customHeight="1">
      <c r="A648" s="193"/>
      <c r="B648" s="194"/>
      <c r="C648" s="195"/>
      <c r="D648" s="194"/>
      <c r="E648" s="196">
        <f>SUM(E640:E647)</f>
        <v>410.56</v>
      </c>
      <c r="F648" s="193"/>
      <c r="G648" s="193"/>
      <c r="H648" s="193"/>
      <c r="I648" s="193"/>
    </row>
    <row r="649" hidden="1">
      <c r="A649" s="199"/>
      <c r="B649" s="200"/>
      <c r="C649" s="201"/>
      <c r="D649" s="200"/>
      <c r="E649" s="202"/>
      <c r="F649" s="199"/>
      <c r="G649" s="199"/>
      <c r="H649" s="199"/>
      <c r="I649" s="199"/>
    </row>
    <row r="650" hidden="1">
      <c r="A650" s="199"/>
      <c r="B650" s="200"/>
      <c r="C650" s="201"/>
      <c r="D650" s="203">
        <v>46170.0</v>
      </c>
      <c r="E650" s="202"/>
      <c r="F650" s="199"/>
      <c r="G650" s="199"/>
      <c r="H650" s="199"/>
      <c r="I650" s="199"/>
    </row>
    <row r="651" ht="22.5" hidden="1" customHeight="1">
      <c r="A651" s="175" t="s">
        <v>1467</v>
      </c>
      <c r="B651" s="175" t="s">
        <v>1477</v>
      </c>
      <c r="C651" s="175" t="s">
        <v>1478</v>
      </c>
      <c r="D651" s="175" t="s">
        <v>1479</v>
      </c>
      <c r="E651" s="175" t="s">
        <v>1481</v>
      </c>
      <c r="F651" s="175" t="s">
        <v>1483</v>
      </c>
      <c r="G651" s="175" t="s">
        <v>1484</v>
      </c>
      <c r="H651" s="175" t="s">
        <v>1486</v>
      </c>
      <c r="I651" s="175" t="s">
        <v>1489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22.5" hidden="1" customHeight="1">
      <c r="A652" s="176" t="s">
        <v>3672</v>
      </c>
      <c r="B652" s="314" t="s">
        <v>2776</v>
      </c>
      <c r="C652" s="211">
        <v>1.0</v>
      </c>
      <c r="D652" s="185" t="s">
        <v>1602</v>
      </c>
      <c r="E652" s="188">
        <v>112.77</v>
      </c>
      <c r="F652" s="183">
        <v>46163.0</v>
      </c>
      <c r="G652" s="185" t="s">
        <v>9</v>
      </c>
      <c r="H652" s="185" t="s">
        <v>3557</v>
      </c>
      <c r="I652" s="317" t="s">
        <v>3673</v>
      </c>
    </row>
    <row r="653" ht="22.5" hidden="1" customHeight="1">
      <c r="A653" s="176" t="s">
        <v>3674</v>
      </c>
      <c r="B653" s="314" t="s">
        <v>2760</v>
      </c>
      <c r="C653" s="211">
        <v>1.0</v>
      </c>
      <c r="D653" s="185" t="s">
        <v>1532</v>
      </c>
      <c r="E653" s="188"/>
      <c r="F653" s="183">
        <v>46167.0</v>
      </c>
      <c r="G653" s="185" t="s">
        <v>9</v>
      </c>
      <c r="H653" s="185" t="s">
        <v>3557</v>
      </c>
      <c r="I653" s="317" t="s">
        <v>3675</v>
      </c>
    </row>
    <row r="654" ht="22.5" hidden="1" customHeight="1">
      <c r="A654" s="176" t="s">
        <v>3676</v>
      </c>
      <c r="B654" s="369" t="s">
        <v>730</v>
      </c>
      <c r="C654" s="343">
        <v>1.0</v>
      </c>
      <c r="D654" s="331" t="s">
        <v>1532</v>
      </c>
      <c r="E654" s="345"/>
      <c r="F654" s="346">
        <v>46167.0</v>
      </c>
      <c r="G654" s="185" t="s">
        <v>9</v>
      </c>
      <c r="H654" s="185" t="s">
        <v>1356</v>
      </c>
      <c r="I654" s="335"/>
    </row>
    <row r="655" ht="22.5" hidden="1" customHeight="1">
      <c r="A655" s="176" t="s">
        <v>3677</v>
      </c>
      <c r="B655" s="177" t="s">
        <v>794</v>
      </c>
      <c r="C655" s="211">
        <v>1.0</v>
      </c>
      <c r="D655" s="185" t="s">
        <v>1602</v>
      </c>
      <c r="E655" s="188">
        <v>78.11</v>
      </c>
      <c r="F655" s="183">
        <v>46169.0</v>
      </c>
      <c r="G655" s="185" t="s">
        <v>9</v>
      </c>
      <c r="H655" s="185" t="s">
        <v>12</v>
      </c>
      <c r="I655" s="189"/>
    </row>
    <row r="656" ht="22.5" hidden="1" customHeight="1">
      <c r="A656" s="176" t="s">
        <v>3678</v>
      </c>
      <c r="B656" s="318" t="s">
        <v>2723</v>
      </c>
      <c r="C656" s="211">
        <v>1.0</v>
      </c>
      <c r="D656" s="185" t="s">
        <v>1602</v>
      </c>
      <c r="E656" s="188">
        <v>92.81</v>
      </c>
      <c r="F656" s="183">
        <v>46169.0</v>
      </c>
      <c r="G656" s="185" t="s">
        <v>9</v>
      </c>
      <c r="H656" s="185" t="s">
        <v>53</v>
      </c>
      <c r="I656" s="313"/>
    </row>
    <row r="657" ht="22.5" hidden="1" customHeight="1">
      <c r="A657" s="176" t="s">
        <v>3679</v>
      </c>
      <c r="B657" s="314" t="s">
        <v>3088</v>
      </c>
      <c r="C657" s="211">
        <v>1.0</v>
      </c>
      <c r="D657" s="185" t="s">
        <v>1602</v>
      </c>
      <c r="E657" s="188">
        <v>116.16</v>
      </c>
      <c r="F657" s="183">
        <v>46169.0</v>
      </c>
      <c r="G657" s="185" t="s">
        <v>9</v>
      </c>
      <c r="H657" s="185" t="s">
        <v>53</v>
      </c>
      <c r="I657" s="317"/>
    </row>
    <row r="658" ht="22.5" hidden="1" customHeight="1">
      <c r="A658" s="176" t="s">
        <v>3680</v>
      </c>
      <c r="B658" s="314" t="s">
        <v>3681</v>
      </c>
      <c r="C658" s="211">
        <v>1.0</v>
      </c>
      <c r="D658" s="185" t="s">
        <v>1532</v>
      </c>
      <c r="E658" s="188">
        <v>-0.4</v>
      </c>
      <c r="F658" s="183"/>
      <c r="G658" s="185" t="s">
        <v>9</v>
      </c>
      <c r="H658" s="185" t="s">
        <v>3682</v>
      </c>
      <c r="I658" s="317" t="s">
        <v>3683</v>
      </c>
    </row>
    <row r="659" ht="22.5" hidden="1" customHeight="1">
      <c r="A659" s="193"/>
      <c r="B659" s="194"/>
      <c r="C659" s="195"/>
      <c r="D659" s="194"/>
      <c r="E659" s="196">
        <f>SUM(E652:E658)</f>
        <v>399.45</v>
      </c>
      <c r="F659" s="193"/>
      <c r="G659" s="193"/>
      <c r="H659" s="193"/>
      <c r="I659" s="193"/>
    </row>
    <row r="660" hidden="1">
      <c r="A660" s="199"/>
      <c r="B660" s="200"/>
      <c r="C660" s="201"/>
      <c r="D660" s="200"/>
      <c r="E660" s="202"/>
      <c r="F660" s="199"/>
      <c r="G660" s="199"/>
      <c r="H660" s="199"/>
      <c r="I660" s="199"/>
    </row>
    <row r="661" hidden="1">
      <c r="A661" s="199"/>
      <c r="B661" s="200"/>
      <c r="C661" s="201"/>
      <c r="D661" s="203">
        <v>46171.0</v>
      </c>
      <c r="E661" s="202"/>
      <c r="F661" s="199"/>
      <c r="G661" s="199"/>
      <c r="H661" s="199"/>
      <c r="I661" s="199"/>
    </row>
    <row r="662" ht="22.5" hidden="1" customHeight="1">
      <c r="A662" s="175" t="s">
        <v>1467</v>
      </c>
      <c r="B662" s="175" t="s">
        <v>1477</v>
      </c>
      <c r="C662" s="175" t="s">
        <v>1478</v>
      </c>
      <c r="D662" s="175" t="s">
        <v>1479</v>
      </c>
      <c r="E662" s="175" t="s">
        <v>1481</v>
      </c>
      <c r="F662" s="175" t="s">
        <v>1483</v>
      </c>
      <c r="G662" s="175" t="s">
        <v>1484</v>
      </c>
      <c r="H662" s="175" t="s">
        <v>1486</v>
      </c>
      <c r="I662" s="175" t="s">
        <v>1489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22.5" hidden="1" customHeight="1">
      <c r="A663" s="176" t="s">
        <v>3684</v>
      </c>
      <c r="B663" s="177" t="s">
        <v>464</v>
      </c>
      <c r="C663" s="211">
        <v>1.0</v>
      </c>
      <c r="D663" s="185" t="s">
        <v>1602</v>
      </c>
      <c r="E663" s="188">
        <v>9.9</v>
      </c>
      <c r="F663" s="183">
        <v>46170.0</v>
      </c>
      <c r="G663" s="185" t="s">
        <v>8</v>
      </c>
      <c r="H663" s="185" t="s">
        <v>12</v>
      </c>
      <c r="I663" s="189"/>
    </row>
    <row r="664" ht="22.5" hidden="1" customHeight="1">
      <c r="A664" s="176" t="s">
        <v>3685</v>
      </c>
      <c r="B664" s="318" t="s">
        <v>539</v>
      </c>
      <c r="C664" s="211">
        <v>1.0</v>
      </c>
      <c r="D664" s="185" t="s">
        <v>1602</v>
      </c>
      <c r="E664" s="188">
        <v>22.83</v>
      </c>
      <c r="F664" s="183">
        <v>46170.0</v>
      </c>
      <c r="G664" s="185" t="s">
        <v>8</v>
      </c>
      <c r="H664" s="185" t="s">
        <v>12</v>
      </c>
      <c r="I664" s="313"/>
    </row>
    <row r="665" ht="22.5" hidden="1" customHeight="1">
      <c r="A665" s="291" t="s">
        <v>3686</v>
      </c>
      <c r="B665" s="314" t="s">
        <v>3087</v>
      </c>
      <c r="C665" s="211">
        <v>1.0</v>
      </c>
      <c r="D665" s="185" t="s">
        <v>1532</v>
      </c>
      <c r="E665" s="188">
        <v>-0.4</v>
      </c>
      <c r="F665" s="183">
        <v>46170.0</v>
      </c>
      <c r="G665" s="185" t="s">
        <v>9</v>
      </c>
      <c r="H665" s="185" t="s">
        <v>53</v>
      </c>
      <c r="I665" s="317" t="s">
        <v>3687</v>
      </c>
    </row>
    <row r="666" ht="22.5" hidden="1" customHeight="1">
      <c r="A666" s="176" t="s">
        <v>3688</v>
      </c>
      <c r="B666" s="367">
        <v>5.304534552E9</v>
      </c>
      <c r="C666" s="211">
        <v>1.0</v>
      </c>
      <c r="D666" s="185" t="s">
        <v>1602</v>
      </c>
      <c r="E666" s="188">
        <v>68.56</v>
      </c>
      <c r="F666" s="183">
        <v>46170.0</v>
      </c>
      <c r="G666" s="185" t="s">
        <v>9</v>
      </c>
      <c r="H666" s="185" t="s">
        <v>53</v>
      </c>
      <c r="I666" s="317"/>
    </row>
    <row r="667" ht="22.5" hidden="1" customHeight="1">
      <c r="A667" s="193"/>
      <c r="B667" s="194"/>
      <c r="C667" s="195"/>
      <c r="D667" s="194"/>
      <c r="E667" s="196">
        <f>SUM(Table61[Order Earnings])</f>
        <v>100.89</v>
      </c>
      <c r="F667" s="193"/>
      <c r="G667" s="193"/>
      <c r="H667" s="193"/>
      <c r="I667" s="193"/>
    </row>
    <row r="668" hidden="1">
      <c r="A668" s="199"/>
      <c r="B668" s="200"/>
      <c r="C668" s="201"/>
      <c r="D668" s="200"/>
      <c r="E668" s="202"/>
      <c r="F668" s="199"/>
      <c r="G668" s="199"/>
      <c r="H668" s="199"/>
      <c r="I668" s="199"/>
    </row>
    <row r="669" hidden="1">
      <c r="A669" s="199"/>
      <c r="B669" s="200"/>
      <c r="C669" s="201"/>
      <c r="D669" s="203">
        <v>46174.0</v>
      </c>
      <c r="E669" s="202"/>
      <c r="F669" s="199"/>
      <c r="G669" s="199"/>
      <c r="H669" s="199"/>
      <c r="I669" s="199"/>
    </row>
    <row r="670" ht="22.5" hidden="1" customHeight="1">
      <c r="A670" s="175" t="s">
        <v>1467</v>
      </c>
      <c r="B670" s="175" t="s">
        <v>1477</v>
      </c>
      <c r="C670" s="175" t="s">
        <v>1478</v>
      </c>
      <c r="D670" s="175" t="s">
        <v>1479</v>
      </c>
      <c r="E670" s="175" t="s">
        <v>1481</v>
      </c>
      <c r="F670" s="175" t="s">
        <v>1483</v>
      </c>
      <c r="G670" s="175" t="s">
        <v>1484</v>
      </c>
      <c r="H670" s="175" t="s">
        <v>1486</v>
      </c>
      <c r="I670" s="175" t="s">
        <v>1489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22.5" hidden="1" customHeight="1">
      <c r="A671" s="176" t="s">
        <v>3689</v>
      </c>
      <c r="B671" s="177" t="s">
        <v>3690</v>
      </c>
      <c r="C671" s="211">
        <v>1.0</v>
      </c>
      <c r="D671" s="185" t="s">
        <v>1602</v>
      </c>
      <c r="E671" s="188">
        <v>132.4</v>
      </c>
      <c r="F671" s="183">
        <v>46173.0</v>
      </c>
      <c r="G671" s="185" t="s">
        <v>8</v>
      </c>
      <c r="H671" s="185" t="s">
        <v>12</v>
      </c>
      <c r="I671" s="189"/>
    </row>
    <row r="672" ht="22.5" hidden="1" customHeight="1">
      <c r="A672" s="176" t="s">
        <v>3691</v>
      </c>
      <c r="B672" s="318" t="s">
        <v>873</v>
      </c>
      <c r="C672" s="211">
        <v>1.0</v>
      </c>
      <c r="D672" s="185" t="s">
        <v>1532</v>
      </c>
      <c r="E672" s="188">
        <v>-0.4</v>
      </c>
      <c r="F672" s="183">
        <v>46173.0</v>
      </c>
      <c r="G672" s="185" t="s">
        <v>8</v>
      </c>
      <c r="H672" s="185" t="s">
        <v>12</v>
      </c>
      <c r="I672" s="313"/>
    </row>
    <row r="673" ht="22.5" hidden="1" customHeight="1">
      <c r="A673" s="176" t="s">
        <v>3692</v>
      </c>
      <c r="B673" s="314">
        <v>5.304535562E9</v>
      </c>
      <c r="C673" s="211">
        <v>1.0</v>
      </c>
      <c r="D673" s="185" t="s">
        <v>1602</v>
      </c>
      <c r="E673" s="188">
        <v>70.77</v>
      </c>
      <c r="F673" s="183">
        <v>46172.0</v>
      </c>
      <c r="G673" s="185" t="s">
        <v>9</v>
      </c>
      <c r="H673" s="185" t="s">
        <v>3380</v>
      </c>
      <c r="I673" s="317"/>
    </row>
    <row r="674" ht="22.5" hidden="1" customHeight="1">
      <c r="A674" s="176" t="s">
        <v>3693</v>
      </c>
      <c r="B674" s="314" t="s">
        <v>3694</v>
      </c>
      <c r="C674" s="211">
        <v>1.0</v>
      </c>
      <c r="D674" s="185" t="s">
        <v>1602</v>
      </c>
      <c r="E674" s="188">
        <v>105.63</v>
      </c>
      <c r="F674" s="183">
        <v>46172.0</v>
      </c>
      <c r="G674" s="185" t="s">
        <v>9</v>
      </c>
      <c r="H674" s="185" t="s">
        <v>12</v>
      </c>
      <c r="I674" s="317"/>
    </row>
    <row r="675" ht="22.5" hidden="1" customHeight="1">
      <c r="A675" s="176" t="s">
        <v>3695</v>
      </c>
      <c r="B675" s="314" t="s">
        <v>3696</v>
      </c>
      <c r="C675" s="211">
        <v>1.0</v>
      </c>
      <c r="D675" s="185" t="s">
        <v>1602</v>
      </c>
      <c r="E675" s="188">
        <v>18.69</v>
      </c>
      <c r="F675" s="183">
        <v>46172.0</v>
      </c>
      <c r="G675" s="185" t="s">
        <v>9</v>
      </c>
      <c r="H675" s="185" t="s">
        <v>3380</v>
      </c>
      <c r="I675" s="317"/>
    </row>
    <row r="676" ht="22.5" hidden="1" customHeight="1">
      <c r="A676" s="375" t="s">
        <v>3697</v>
      </c>
      <c r="B676" s="367" t="s">
        <v>725</v>
      </c>
      <c r="C676" s="211">
        <v>1.0</v>
      </c>
      <c r="D676" s="185" t="s">
        <v>1602</v>
      </c>
      <c r="E676" s="188">
        <v>17.89</v>
      </c>
      <c r="F676" s="183">
        <v>46172.0</v>
      </c>
      <c r="G676" s="185" t="s">
        <v>9</v>
      </c>
      <c r="H676" s="185" t="s">
        <v>12</v>
      </c>
      <c r="I676" s="189"/>
    </row>
    <row r="677" ht="22.5" hidden="1" customHeight="1">
      <c r="A677" s="176" t="s">
        <v>3698</v>
      </c>
      <c r="B677" s="318" t="s">
        <v>929</v>
      </c>
      <c r="C677" s="211">
        <v>1.0</v>
      </c>
      <c r="D677" s="185" t="s">
        <v>1602</v>
      </c>
      <c r="E677" s="188">
        <v>45.41</v>
      </c>
      <c r="F677" s="183">
        <v>46170.0</v>
      </c>
      <c r="G677" s="185" t="s">
        <v>9</v>
      </c>
      <c r="H677" s="185" t="s">
        <v>351</v>
      </c>
      <c r="I677" s="317"/>
    </row>
    <row r="678" ht="22.5" hidden="1" customHeight="1">
      <c r="A678" s="176" t="s">
        <v>3699</v>
      </c>
      <c r="B678" s="314" t="s">
        <v>892</v>
      </c>
      <c r="C678" s="211">
        <v>1.0</v>
      </c>
      <c r="D678" s="185" t="s">
        <v>1602</v>
      </c>
      <c r="E678" s="188">
        <v>17.75</v>
      </c>
      <c r="F678" s="183">
        <v>46172.0</v>
      </c>
      <c r="G678" s="185" t="s">
        <v>9</v>
      </c>
      <c r="H678" s="185" t="s">
        <v>351</v>
      </c>
      <c r="I678" s="317"/>
    </row>
    <row r="679" ht="22.5" hidden="1" customHeight="1">
      <c r="A679" s="176" t="s">
        <v>3700</v>
      </c>
      <c r="B679" s="314" t="s">
        <v>897</v>
      </c>
      <c r="C679" s="211">
        <v>1.0</v>
      </c>
      <c r="D679" s="185" t="s">
        <v>1602</v>
      </c>
      <c r="E679" s="188">
        <v>41.42</v>
      </c>
      <c r="F679" s="183">
        <v>46171.0</v>
      </c>
      <c r="G679" s="185" t="s">
        <v>9</v>
      </c>
      <c r="H679" s="185" t="s">
        <v>351</v>
      </c>
      <c r="I679" s="317"/>
    </row>
    <row r="680" ht="22.5" hidden="1" customHeight="1">
      <c r="A680" s="176" t="s">
        <v>3701</v>
      </c>
      <c r="B680" s="314" t="s">
        <v>2750</v>
      </c>
      <c r="C680" s="211">
        <v>1.0</v>
      </c>
      <c r="D680" s="185" t="s">
        <v>1602</v>
      </c>
      <c r="E680" s="188">
        <v>51.31</v>
      </c>
      <c r="F680" s="183">
        <v>46172.0</v>
      </c>
      <c r="G680" s="185" t="s">
        <v>9</v>
      </c>
      <c r="H680" s="185" t="s">
        <v>53</v>
      </c>
      <c r="I680" s="317"/>
    </row>
    <row r="681" ht="22.5" hidden="1" customHeight="1">
      <c r="A681" s="176" t="s">
        <v>3702</v>
      </c>
      <c r="B681" s="342">
        <v>5.304535023E9</v>
      </c>
      <c r="C681" s="211">
        <v>1.0</v>
      </c>
      <c r="D681" s="185" t="s">
        <v>1602</v>
      </c>
      <c r="E681" s="188">
        <v>60.76</v>
      </c>
      <c r="F681" s="183">
        <v>46173.0</v>
      </c>
      <c r="G681" s="185" t="s">
        <v>9</v>
      </c>
      <c r="H681" s="185" t="s">
        <v>53</v>
      </c>
      <c r="I681" s="317"/>
    </row>
    <row r="682" ht="22.5" hidden="1" customHeight="1">
      <c r="A682" s="176" t="s">
        <v>3703</v>
      </c>
      <c r="B682" s="369" t="s">
        <v>65</v>
      </c>
      <c r="C682" s="343">
        <v>1.0</v>
      </c>
      <c r="D682" s="331" t="s">
        <v>1602</v>
      </c>
      <c r="E682" s="345">
        <v>52.99</v>
      </c>
      <c r="F682" s="346">
        <v>46174.0</v>
      </c>
      <c r="G682" s="185" t="s">
        <v>8</v>
      </c>
      <c r="H682" s="185" t="s">
        <v>53</v>
      </c>
      <c r="I682" s="335"/>
    </row>
    <row r="683" ht="22.5" hidden="1" customHeight="1">
      <c r="A683" s="176" t="s">
        <v>3704</v>
      </c>
      <c r="B683" s="369" t="s">
        <v>531</v>
      </c>
      <c r="C683" s="343">
        <v>1.0</v>
      </c>
      <c r="D683" s="331" t="s">
        <v>1875</v>
      </c>
      <c r="E683" s="345">
        <v>-13.49</v>
      </c>
      <c r="F683" s="346">
        <v>46174.0</v>
      </c>
      <c r="G683" s="185" t="s">
        <v>8</v>
      </c>
      <c r="H683" s="185" t="s">
        <v>12</v>
      </c>
      <c r="I683" s="335"/>
    </row>
    <row r="684" ht="22.5" hidden="1" customHeight="1">
      <c r="A684" s="193"/>
      <c r="B684" s="194"/>
      <c r="C684" s="195"/>
      <c r="D684" s="194"/>
      <c r="E684" s="196">
        <f>SUM(E671:E683)</f>
        <v>601.13</v>
      </c>
      <c r="F684" s="193"/>
      <c r="G684" s="193"/>
      <c r="H684" s="193"/>
      <c r="I684" s="193"/>
    </row>
    <row r="685" hidden="1">
      <c r="A685" s="199"/>
      <c r="B685" s="200"/>
      <c r="C685" s="201"/>
      <c r="D685" s="200"/>
      <c r="E685" s="202"/>
      <c r="F685" s="199"/>
      <c r="G685" s="199"/>
      <c r="H685" s="199"/>
      <c r="I685" s="199"/>
    </row>
    <row r="686" hidden="1">
      <c r="A686" s="199"/>
      <c r="B686" s="200"/>
      <c r="C686" s="201"/>
      <c r="D686" s="203">
        <v>46175.0</v>
      </c>
      <c r="E686" s="202"/>
      <c r="F686" s="199"/>
      <c r="G686" s="199"/>
      <c r="H686" s="199"/>
      <c r="I686" s="199"/>
    </row>
    <row r="687" ht="22.5" hidden="1" customHeight="1">
      <c r="A687" s="175" t="s">
        <v>1467</v>
      </c>
      <c r="B687" s="175" t="s">
        <v>1477</v>
      </c>
      <c r="C687" s="175" t="s">
        <v>1478</v>
      </c>
      <c r="D687" s="175" t="s">
        <v>1479</v>
      </c>
      <c r="E687" s="175" t="s">
        <v>1481</v>
      </c>
      <c r="F687" s="175" t="s">
        <v>1483</v>
      </c>
      <c r="G687" s="175" t="s">
        <v>1484</v>
      </c>
      <c r="H687" s="175" t="s">
        <v>1486</v>
      </c>
      <c r="I687" s="175" t="s">
        <v>1489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22.5" hidden="1" customHeight="1">
      <c r="A688" s="176" t="s">
        <v>3705</v>
      </c>
      <c r="B688" s="177" t="s">
        <v>2500</v>
      </c>
      <c r="C688" s="211">
        <v>1.0</v>
      </c>
      <c r="D688" s="185" t="s">
        <v>1602</v>
      </c>
      <c r="E688" s="188">
        <v>29.54</v>
      </c>
      <c r="F688" s="183">
        <v>46174.0</v>
      </c>
      <c r="G688" s="185" t="s">
        <v>9</v>
      </c>
      <c r="H688" s="185" t="s">
        <v>53</v>
      </c>
      <c r="I688" s="189"/>
    </row>
    <row r="689" ht="22.5" hidden="1" customHeight="1">
      <c r="A689" s="176" t="s">
        <v>3706</v>
      </c>
      <c r="B689" s="318" t="s">
        <v>3002</v>
      </c>
      <c r="C689" s="211">
        <v>1.0</v>
      </c>
      <c r="D689" s="185" t="s">
        <v>1602</v>
      </c>
      <c r="E689" s="188">
        <v>91.92</v>
      </c>
      <c r="F689" s="183">
        <v>46174.0</v>
      </c>
      <c r="G689" s="185" t="s">
        <v>9</v>
      </c>
      <c r="H689" s="185" t="s">
        <v>53</v>
      </c>
      <c r="I689" s="313"/>
    </row>
    <row r="690" ht="22.5" hidden="1" customHeight="1">
      <c r="A690" s="176" t="s">
        <v>3707</v>
      </c>
      <c r="B690" s="368" t="s">
        <v>403</v>
      </c>
      <c r="C690" s="211">
        <v>1.0</v>
      </c>
      <c r="D690" s="185" t="s">
        <v>1875</v>
      </c>
      <c r="E690" s="188">
        <v>-137.18</v>
      </c>
      <c r="F690" s="183">
        <v>46175.0</v>
      </c>
      <c r="G690" s="185" t="s">
        <v>9</v>
      </c>
      <c r="H690" s="185" t="s">
        <v>3380</v>
      </c>
      <c r="I690" s="317" t="s">
        <v>3708</v>
      </c>
    </row>
    <row r="691" ht="22.5" hidden="1" customHeight="1">
      <c r="A691" s="176" t="s">
        <v>3709</v>
      </c>
      <c r="B691" s="368" t="s">
        <v>296</v>
      </c>
      <c r="C691" s="211">
        <v>1.0</v>
      </c>
      <c r="D691" s="185" t="s">
        <v>1875</v>
      </c>
      <c r="E691" s="188">
        <v>-47.73</v>
      </c>
      <c r="F691" s="183">
        <v>46175.0</v>
      </c>
      <c r="G691" s="185" t="s">
        <v>9</v>
      </c>
      <c r="H691" s="185" t="s">
        <v>3380</v>
      </c>
      <c r="I691" s="317" t="s">
        <v>3710</v>
      </c>
    </row>
    <row r="692" ht="22.5" hidden="1" customHeight="1">
      <c r="A692" s="176" t="s">
        <v>3711</v>
      </c>
      <c r="B692" s="377" t="s">
        <v>3620</v>
      </c>
      <c r="C692" s="211">
        <v>1.0</v>
      </c>
      <c r="D692" s="185" t="s">
        <v>1875</v>
      </c>
      <c r="E692" s="188">
        <v>-26.12</v>
      </c>
      <c r="F692" s="183">
        <v>46161.0</v>
      </c>
      <c r="G692" s="185" t="s">
        <v>9</v>
      </c>
      <c r="H692" s="185" t="s">
        <v>1087</v>
      </c>
      <c r="I692" s="365" t="s">
        <v>3493</v>
      </c>
    </row>
    <row r="693" ht="22.5" hidden="1" customHeight="1">
      <c r="A693" s="176" t="s">
        <v>3712</v>
      </c>
      <c r="B693" s="367">
        <v>5.304530688E9</v>
      </c>
      <c r="C693" s="211">
        <v>1.0</v>
      </c>
      <c r="D693" s="185" t="s">
        <v>1602</v>
      </c>
      <c r="E693" s="188">
        <v>46.08</v>
      </c>
      <c r="F693" s="183">
        <v>46175.0</v>
      </c>
      <c r="G693" s="185" t="s">
        <v>8</v>
      </c>
      <c r="H693" s="185" t="s">
        <v>11</v>
      </c>
      <c r="I693" s="189"/>
    </row>
    <row r="694" ht="22.5" hidden="1" customHeight="1">
      <c r="A694" s="193"/>
      <c r="B694" s="194"/>
      <c r="C694" s="195"/>
      <c r="D694" s="194"/>
      <c r="E694" s="196">
        <f>SUM(E688:E693)</f>
        <v>-43.49</v>
      </c>
      <c r="F694" s="193"/>
      <c r="G694" s="193"/>
      <c r="H694" s="193"/>
      <c r="I694" s="193"/>
    </row>
    <row r="695">
      <c r="A695" s="199"/>
      <c r="B695" s="200"/>
      <c r="C695" s="201"/>
      <c r="D695" s="200"/>
      <c r="E695" s="202"/>
      <c r="F695" s="199"/>
      <c r="G695" s="199"/>
      <c r="H695" s="199"/>
      <c r="I695" s="199"/>
    </row>
    <row r="696" hidden="1">
      <c r="A696" s="199"/>
      <c r="B696" s="200"/>
      <c r="C696" s="201"/>
      <c r="D696" s="203">
        <v>46176.0</v>
      </c>
      <c r="E696" s="202"/>
      <c r="F696" s="199"/>
      <c r="G696" s="199"/>
      <c r="H696" s="199"/>
      <c r="I696" s="199"/>
    </row>
    <row r="697" ht="22.5" hidden="1" customHeight="1">
      <c r="A697" s="175" t="s">
        <v>1467</v>
      </c>
      <c r="B697" s="175" t="s">
        <v>1477</v>
      </c>
      <c r="C697" s="175" t="s">
        <v>1478</v>
      </c>
      <c r="D697" s="175" t="s">
        <v>1479</v>
      </c>
      <c r="E697" s="175" t="s">
        <v>1481</v>
      </c>
      <c r="F697" s="175" t="s">
        <v>1483</v>
      </c>
      <c r="G697" s="175" t="s">
        <v>1484</v>
      </c>
      <c r="H697" s="175" t="s">
        <v>1486</v>
      </c>
      <c r="I697" s="175" t="s">
        <v>1489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22.5" hidden="1" customHeight="1">
      <c r="A698" s="176" t="s">
        <v>3713</v>
      </c>
      <c r="B698" s="314" t="s">
        <v>1360</v>
      </c>
      <c r="C698" s="211">
        <v>1.0</v>
      </c>
      <c r="D698" s="185" t="s">
        <v>1602</v>
      </c>
      <c r="E698" s="188">
        <v>20.4</v>
      </c>
      <c r="F698" s="183">
        <v>46172.0</v>
      </c>
      <c r="G698" s="185" t="s">
        <v>9</v>
      </c>
      <c r="H698" s="185" t="s">
        <v>1356</v>
      </c>
      <c r="I698" s="317"/>
    </row>
    <row r="699" ht="22.5" hidden="1" customHeight="1">
      <c r="A699" s="176" t="s">
        <v>3714</v>
      </c>
      <c r="B699" s="367" t="s">
        <v>1281</v>
      </c>
      <c r="C699" s="211">
        <v>1.0</v>
      </c>
      <c r="D699" s="185" t="s">
        <v>1602</v>
      </c>
      <c r="E699" s="188">
        <v>172.3</v>
      </c>
      <c r="F699" s="183">
        <v>46175.0</v>
      </c>
      <c r="G699" s="185" t="s">
        <v>9</v>
      </c>
      <c r="H699" s="185" t="s">
        <v>1087</v>
      </c>
      <c r="I699" s="317"/>
    </row>
    <row r="700" ht="22.5" hidden="1" customHeight="1">
      <c r="A700" s="176" t="s">
        <v>3715</v>
      </c>
      <c r="B700" s="177">
        <v>5.304536167E9</v>
      </c>
      <c r="C700" s="211">
        <v>1.0</v>
      </c>
      <c r="D700" s="185" t="s">
        <v>1602</v>
      </c>
      <c r="E700" s="188">
        <v>84.06</v>
      </c>
      <c r="F700" s="183">
        <v>46175.0</v>
      </c>
      <c r="G700" s="185" t="s">
        <v>9</v>
      </c>
      <c r="H700" s="185" t="s">
        <v>3557</v>
      </c>
      <c r="I700" s="189"/>
    </row>
    <row r="701" ht="22.5" hidden="1" customHeight="1">
      <c r="A701" s="176" t="s">
        <v>3716</v>
      </c>
      <c r="B701" s="367" t="s">
        <v>819</v>
      </c>
      <c r="C701" s="211">
        <v>1.0</v>
      </c>
      <c r="D701" s="185" t="s">
        <v>1602</v>
      </c>
      <c r="E701" s="188">
        <v>13.51</v>
      </c>
      <c r="F701" s="183">
        <v>46175.0</v>
      </c>
      <c r="G701" s="185" t="s">
        <v>9</v>
      </c>
      <c r="H701" s="185" t="s">
        <v>351</v>
      </c>
      <c r="I701" s="313"/>
    </row>
    <row r="702" ht="22.5" hidden="1" customHeight="1">
      <c r="A702" s="176" t="s">
        <v>3717</v>
      </c>
      <c r="B702" s="314" t="s">
        <v>805</v>
      </c>
      <c r="C702" s="211">
        <v>1.0</v>
      </c>
      <c r="D702" s="185" t="s">
        <v>1602</v>
      </c>
      <c r="E702" s="188">
        <v>78.5</v>
      </c>
      <c r="F702" s="183">
        <v>46176.0</v>
      </c>
      <c r="G702" s="185" t="s">
        <v>9</v>
      </c>
      <c r="H702" s="185" t="s">
        <v>53</v>
      </c>
      <c r="I702" s="317"/>
    </row>
    <row r="703" ht="22.5" hidden="1" customHeight="1">
      <c r="A703" s="176" t="s">
        <v>3718</v>
      </c>
      <c r="B703" s="367" t="s">
        <v>3014</v>
      </c>
      <c r="C703" s="211">
        <v>1.0</v>
      </c>
      <c r="D703" s="185" t="s">
        <v>1602</v>
      </c>
      <c r="E703" s="188">
        <v>78.24</v>
      </c>
      <c r="F703" s="183">
        <v>46176.0</v>
      </c>
      <c r="G703" s="185" t="s">
        <v>9</v>
      </c>
      <c r="H703" s="185" t="s">
        <v>53</v>
      </c>
      <c r="I703" s="317"/>
    </row>
    <row r="704" ht="22.5" hidden="1" customHeight="1">
      <c r="A704" s="176" t="s">
        <v>3719</v>
      </c>
      <c r="B704" s="379" t="s">
        <v>955</v>
      </c>
      <c r="C704" s="211">
        <v>2.0</v>
      </c>
      <c r="D704" s="185" t="s">
        <v>1602</v>
      </c>
      <c r="E704" s="188">
        <v>44.7</v>
      </c>
      <c r="F704" s="183">
        <v>46175.0</v>
      </c>
      <c r="G704" s="185" t="s">
        <v>9</v>
      </c>
      <c r="H704" s="185" t="s">
        <v>53</v>
      </c>
      <c r="I704" s="317"/>
    </row>
    <row r="705" ht="22.5" hidden="1" customHeight="1">
      <c r="A705" s="193"/>
      <c r="B705" s="194"/>
      <c r="C705" s="195"/>
      <c r="D705" s="194"/>
      <c r="E705" s="196">
        <f>SUM(E698:E704)</f>
        <v>491.71</v>
      </c>
      <c r="F705" s="193"/>
      <c r="G705" s="193"/>
      <c r="H705" s="193"/>
      <c r="I705" s="193"/>
    </row>
    <row r="706" hidden="1">
      <c r="A706" s="199"/>
      <c r="B706" s="200"/>
      <c r="C706" s="201"/>
      <c r="D706" s="200"/>
      <c r="E706" s="202"/>
      <c r="F706" s="199"/>
      <c r="G706" s="199"/>
      <c r="H706" s="199"/>
      <c r="I706" s="199"/>
    </row>
    <row r="707" hidden="1">
      <c r="A707" s="199"/>
      <c r="B707" s="200"/>
      <c r="C707" s="201"/>
      <c r="D707" s="203">
        <v>46177.0</v>
      </c>
      <c r="E707" s="202"/>
      <c r="F707" s="199"/>
      <c r="G707" s="199"/>
      <c r="H707" s="199"/>
      <c r="I707" s="199"/>
    </row>
    <row r="708" ht="22.5" hidden="1" customHeight="1">
      <c r="A708" s="175" t="s">
        <v>1467</v>
      </c>
      <c r="B708" s="175" t="s">
        <v>1477</v>
      </c>
      <c r="C708" s="175" t="s">
        <v>1478</v>
      </c>
      <c r="D708" s="175" t="s">
        <v>1479</v>
      </c>
      <c r="E708" s="175" t="s">
        <v>1481</v>
      </c>
      <c r="F708" s="175" t="s">
        <v>1483</v>
      </c>
      <c r="G708" s="175" t="s">
        <v>1484</v>
      </c>
      <c r="H708" s="175" t="s">
        <v>1486</v>
      </c>
      <c r="I708" s="175" t="s">
        <v>1489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22.5" hidden="1" customHeight="1">
      <c r="A709" s="176" t="s">
        <v>3720</v>
      </c>
      <c r="B709" s="177" t="s">
        <v>674</v>
      </c>
      <c r="C709" s="211">
        <v>1.0</v>
      </c>
      <c r="D709" s="185" t="s">
        <v>1602</v>
      </c>
      <c r="E709" s="188">
        <v>14.13</v>
      </c>
      <c r="F709" s="183">
        <v>46176.0</v>
      </c>
      <c r="G709" s="185" t="s">
        <v>9</v>
      </c>
      <c r="H709" s="185" t="s">
        <v>12</v>
      </c>
      <c r="I709" s="189"/>
    </row>
    <row r="710" ht="22.5" hidden="1" customHeight="1">
      <c r="A710" s="176" t="s">
        <v>3721</v>
      </c>
      <c r="B710" s="318" t="s">
        <v>1475</v>
      </c>
      <c r="C710" s="211">
        <v>1.0</v>
      </c>
      <c r="D710" s="185" t="s">
        <v>1602</v>
      </c>
      <c r="E710" s="188">
        <v>14.72</v>
      </c>
      <c r="F710" s="183">
        <v>46177.0</v>
      </c>
      <c r="G710" s="185" t="s">
        <v>9</v>
      </c>
      <c r="H710" s="185" t="s">
        <v>11</v>
      </c>
      <c r="I710" s="313"/>
    </row>
    <row r="711" ht="22.5" hidden="1" customHeight="1">
      <c r="A711" s="176" t="s">
        <v>3722</v>
      </c>
      <c r="B711" s="314" t="s">
        <v>1476</v>
      </c>
      <c r="C711" s="211">
        <v>1.0</v>
      </c>
      <c r="D711" s="185" t="s">
        <v>1602</v>
      </c>
      <c r="E711" s="188">
        <v>14.63</v>
      </c>
      <c r="F711" s="183">
        <v>46176.0</v>
      </c>
      <c r="G711" s="185" t="s">
        <v>9</v>
      </c>
      <c r="H711" s="185" t="s">
        <v>11</v>
      </c>
      <c r="I711" s="317"/>
    </row>
    <row r="712" ht="22.5" hidden="1" customHeight="1">
      <c r="A712" s="176" t="s">
        <v>3723</v>
      </c>
      <c r="B712" s="314" t="s">
        <v>3724</v>
      </c>
      <c r="C712" s="211">
        <v>1.0</v>
      </c>
      <c r="D712" s="185" t="s">
        <v>1602</v>
      </c>
      <c r="E712" s="188">
        <v>62.17</v>
      </c>
      <c r="F712" s="183">
        <v>46176.0</v>
      </c>
      <c r="G712" s="185" t="s">
        <v>9</v>
      </c>
      <c r="H712" s="185" t="s">
        <v>11</v>
      </c>
      <c r="I712" s="317"/>
    </row>
    <row r="713" ht="22.5" hidden="1" customHeight="1">
      <c r="A713" s="380" t="s">
        <v>3725</v>
      </c>
      <c r="B713" s="367">
        <v>5.304535039E9</v>
      </c>
      <c r="C713" s="211">
        <v>1.0</v>
      </c>
      <c r="D713" s="185" t="s">
        <v>1875</v>
      </c>
      <c r="E713" s="188">
        <v>-48.45</v>
      </c>
      <c r="F713" s="183">
        <v>46177.0</v>
      </c>
      <c r="G713" s="185" t="s">
        <v>9</v>
      </c>
      <c r="H713" s="185" t="s">
        <v>12</v>
      </c>
      <c r="I713" s="317" t="s">
        <v>3726</v>
      </c>
    </row>
    <row r="714" ht="22.5" hidden="1" customHeight="1">
      <c r="A714" s="176" t="s">
        <v>3727</v>
      </c>
      <c r="B714" s="314">
        <v>5.304533596E9</v>
      </c>
      <c r="C714" s="211">
        <v>1.0</v>
      </c>
      <c r="D714" s="185" t="s">
        <v>1602</v>
      </c>
      <c r="E714" s="188">
        <v>18.81</v>
      </c>
      <c r="F714" s="183">
        <v>46177.0</v>
      </c>
      <c r="G714" s="185" t="s">
        <v>8</v>
      </c>
      <c r="H714" s="185" t="s">
        <v>12</v>
      </c>
      <c r="I714" s="317"/>
    </row>
    <row r="715" ht="22.5" hidden="1" customHeight="1">
      <c r="A715" s="176" t="s">
        <v>3728</v>
      </c>
      <c r="B715" s="367" t="s">
        <v>262</v>
      </c>
      <c r="C715" s="211">
        <v>1.0</v>
      </c>
      <c r="D715" s="185" t="s">
        <v>1602</v>
      </c>
      <c r="E715" s="188">
        <v>17.04</v>
      </c>
      <c r="F715" s="183">
        <v>46177.0</v>
      </c>
      <c r="G715" s="185" t="s">
        <v>9</v>
      </c>
      <c r="H715" s="185" t="s">
        <v>12</v>
      </c>
      <c r="I715" s="189"/>
    </row>
    <row r="716" ht="22.5" hidden="1" customHeight="1">
      <c r="A716" s="176" t="s">
        <v>3729</v>
      </c>
      <c r="B716" s="318" t="s">
        <v>3730</v>
      </c>
      <c r="C716" s="211">
        <v>1.0</v>
      </c>
      <c r="D716" s="185" t="s">
        <v>1875</v>
      </c>
      <c r="E716" s="188">
        <v>-204.02</v>
      </c>
      <c r="F716" s="183">
        <v>46177.0</v>
      </c>
      <c r="G716" s="185" t="s">
        <v>8</v>
      </c>
      <c r="H716" s="185" t="s">
        <v>12</v>
      </c>
      <c r="I716" s="317" t="s">
        <v>3731</v>
      </c>
    </row>
    <row r="717" ht="22.5" hidden="1" customHeight="1">
      <c r="A717" s="176" t="s">
        <v>3732</v>
      </c>
      <c r="B717" s="314" t="s">
        <v>2715</v>
      </c>
      <c r="C717" s="211">
        <v>1.0</v>
      </c>
      <c r="D717" s="185" t="s">
        <v>1602</v>
      </c>
      <c r="E717" s="188">
        <v>60.5</v>
      </c>
      <c r="F717" s="183">
        <v>46177.0</v>
      </c>
      <c r="G717" s="185" t="s">
        <v>9</v>
      </c>
      <c r="H717" s="185" t="s">
        <v>53</v>
      </c>
      <c r="I717" s="317"/>
    </row>
    <row r="718" ht="22.5" hidden="1" customHeight="1">
      <c r="A718" s="193"/>
      <c r="B718" s="194"/>
      <c r="C718" s="195"/>
      <c r="D718" s="194"/>
      <c r="E718" s="196">
        <f>SUM(E709:E717)</f>
        <v>-50.47</v>
      </c>
      <c r="F718" s="193"/>
      <c r="G718" s="193"/>
      <c r="H718" s="193"/>
      <c r="I718" s="193"/>
    </row>
    <row r="719" hidden="1">
      <c r="A719" s="199"/>
      <c r="B719" s="200"/>
      <c r="C719" s="201"/>
      <c r="D719" s="200"/>
      <c r="E719" s="202"/>
      <c r="F719" s="199"/>
      <c r="G719" s="199"/>
      <c r="H719" s="199"/>
      <c r="I719" s="199"/>
    </row>
    <row r="720" hidden="1">
      <c r="A720" s="199"/>
      <c r="B720" s="200"/>
      <c r="C720" s="201"/>
      <c r="D720" s="203">
        <v>46178.0</v>
      </c>
      <c r="E720" s="202"/>
      <c r="F720" s="199"/>
      <c r="G720" s="199"/>
      <c r="H720" s="199"/>
      <c r="I720" s="199"/>
    </row>
    <row r="721" ht="22.5" hidden="1" customHeight="1">
      <c r="A721" s="175" t="s">
        <v>1467</v>
      </c>
      <c r="B721" s="175" t="s">
        <v>1477</v>
      </c>
      <c r="C721" s="175" t="s">
        <v>1478</v>
      </c>
      <c r="D721" s="175" t="s">
        <v>1479</v>
      </c>
      <c r="E721" s="175" t="s">
        <v>1481</v>
      </c>
      <c r="F721" s="175" t="s">
        <v>1483</v>
      </c>
      <c r="G721" s="175" t="s">
        <v>1484</v>
      </c>
      <c r="H721" s="175" t="s">
        <v>1486</v>
      </c>
      <c r="I721" s="175" t="s">
        <v>1489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22.5" hidden="1" customHeight="1">
      <c r="A722" s="176" t="s">
        <v>3733</v>
      </c>
      <c r="B722" s="318" t="s">
        <v>967</v>
      </c>
      <c r="C722" s="211">
        <v>1.0</v>
      </c>
      <c r="D722" s="185" t="s">
        <v>1602</v>
      </c>
      <c r="E722" s="188">
        <v>53.77</v>
      </c>
      <c r="F722" s="183">
        <v>46177.0</v>
      </c>
      <c r="G722" s="185" t="s">
        <v>8</v>
      </c>
      <c r="H722" s="185" t="s">
        <v>12</v>
      </c>
      <c r="I722" s="313"/>
    </row>
    <row r="723" ht="22.5" hidden="1" customHeight="1">
      <c r="A723" s="176" t="s">
        <v>3734</v>
      </c>
      <c r="B723" s="314" t="s">
        <v>3735</v>
      </c>
      <c r="C723" s="211">
        <v>1.0</v>
      </c>
      <c r="D723" s="185" t="s">
        <v>1602</v>
      </c>
      <c r="E723" s="188">
        <v>5.53</v>
      </c>
      <c r="F723" s="183">
        <v>46177.0</v>
      </c>
      <c r="G723" s="185" t="s">
        <v>8</v>
      </c>
      <c r="H723" s="185" t="s">
        <v>12</v>
      </c>
      <c r="I723" s="317"/>
    </row>
    <row r="724" ht="22.5" hidden="1" customHeight="1">
      <c r="A724" s="176" t="s">
        <v>3736</v>
      </c>
      <c r="B724" s="367" t="s">
        <v>3737</v>
      </c>
      <c r="C724" s="211">
        <v>1.0</v>
      </c>
      <c r="D724" s="185" t="s">
        <v>1602</v>
      </c>
      <c r="E724" s="188">
        <v>47.07</v>
      </c>
      <c r="F724" s="183">
        <v>46178.0</v>
      </c>
      <c r="G724" s="185" t="s">
        <v>8</v>
      </c>
      <c r="H724" s="185" t="s">
        <v>12</v>
      </c>
      <c r="I724" s="189"/>
    </row>
    <row r="725" ht="22.5" hidden="1" customHeight="1">
      <c r="A725" s="176" t="s">
        <v>3738</v>
      </c>
      <c r="B725" s="314" t="s">
        <v>274</v>
      </c>
      <c r="C725" s="211">
        <v>1.0</v>
      </c>
      <c r="D725" s="185" t="s">
        <v>1875</v>
      </c>
      <c r="E725" s="188">
        <v>-138.52</v>
      </c>
      <c r="F725" s="183">
        <v>46160.0</v>
      </c>
      <c r="G725" s="185" t="s">
        <v>8</v>
      </c>
      <c r="H725" s="185" t="s">
        <v>53</v>
      </c>
      <c r="I725" s="317" t="s">
        <v>3739</v>
      </c>
    </row>
    <row r="726" ht="22.5" hidden="1" customHeight="1">
      <c r="A726" s="176" t="s">
        <v>3740</v>
      </c>
      <c r="B726" s="177" t="s">
        <v>2351</v>
      </c>
      <c r="C726" s="211">
        <v>1.0</v>
      </c>
      <c r="D726" s="185" t="s">
        <v>1602</v>
      </c>
      <c r="E726" s="188">
        <v>45.96</v>
      </c>
      <c r="F726" s="183">
        <v>46177.0</v>
      </c>
      <c r="G726" s="185" t="s">
        <v>9</v>
      </c>
      <c r="H726" s="185" t="s">
        <v>3380</v>
      </c>
      <c r="I726" s="189"/>
    </row>
    <row r="727" ht="22.5" hidden="1" customHeight="1">
      <c r="A727" s="176" t="s">
        <v>3741</v>
      </c>
      <c r="B727" s="314">
        <v>5.304535039E9</v>
      </c>
      <c r="C727" s="211">
        <v>1.0</v>
      </c>
      <c r="D727" s="185" t="s">
        <v>1875</v>
      </c>
      <c r="E727" s="188">
        <v>-56.73</v>
      </c>
      <c r="F727" s="183">
        <v>46178.0</v>
      </c>
      <c r="G727" s="185" t="s">
        <v>9</v>
      </c>
      <c r="H727" s="185" t="s">
        <v>12</v>
      </c>
      <c r="I727" s="317" t="s">
        <v>3742</v>
      </c>
    </row>
    <row r="728" ht="22.5" hidden="1" customHeight="1">
      <c r="A728" s="176" t="s">
        <v>3743</v>
      </c>
      <c r="B728" s="367" t="s">
        <v>1286</v>
      </c>
      <c r="C728" s="211">
        <v>1.0</v>
      </c>
      <c r="D728" s="185" t="s">
        <v>1602</v>
      </c>
      <c r="E728" s="188">
        <v>97.43</v>
      </c>
      <c r="F728" s="183">
        <v>46177.0</v>
      </c>
      <c r="G728" s="185" t="s">
        <v>9</v>
      </c>
      <c r="H728" s="185" t="s">
        <v>1087</v>
      </c>
      <c r="I728" s="317"/>
    </row>
    <row r="729" ht="22.5" hidden="1" customHeight="1">
      <c r="A729" s="176" t="s">
        <v>3744</v>
      </c>
      <c r="B729" s="381" t="s">
        <v>1428</v>
      </c>
      <c r="C729" s="211">
        <v>3.0</v>
      </c>
      <c r="D729" s="185" t="s">
        <v>1602</v>
      </c>
      <c r="E729" s="382">
        <v>22.95</v>
      </c>
      <c r="F729" s="183">
        <v>46178.0</v>
      </c>
      <c r="G729" s="185" t="s">
        <v>9</v>
      </c>
      <c r="H729" s="185" t="s">
        <v>3380</v>
      </c>
      <c r="I729" s="317" t="s">
        <v>3745</v>
      </c>
    </row>
    <row r="730" ht="22.5" hidden="1" customHeight="1">
      <c r="A730" s="176" t="s">
        <v>3746</v>
      </c>
      <c r="B730" s="381" t="s">
        <v>1428</v>
      </c>
      <c r="C730" s="211">
        <v>1.0</v>
      </c>
      <c r="D730" s="185" t="s">
        <v>1602</v>
      </c>
      <c r="E730" s="382">
        <v>15.54</v>
      </c>
      <c r="F730" s="183">
        <v>46178.0</v>
      </c>
      <c r="G730" s="185" t="s">
        <v>9</v>
      </c>
      <c r="H730" s="185" t="s">
        <v>3380</v>
      </c>
      <c r="I730" s="317" t="s">
        <v>3745</v>
      </c>
    </row>
    <row r="731" ht="22.5" hidden="1" customHeight="1">
      <c r="A731" s="176" t="s">
        <v>3747</v>
      </c>
      <c r="B731" s="314" t="s">
        <v>73</v>
      </c>
      <c r="C731" s="211">
        <v>1.0</v>
      </c>
      <c r="D731" s="185" t="s">
        <v>1602</v>
      </c>
      <c r="E731" s="188">
        <v>214.78</v>
      </c>
      <c r="F731" s="183">
        <v>46178.0</v>
      </c>
      <c r="G731" s="185" t="s">
        <v>9</v>
      </c>
      <c r="H731" s="185" t="s">
        <v>351</v>
      </c>
      <c r="I731" s="317"/>
    </row>
    <row r="732" ht="22.5" hidden="1" customHeight="1">
      <c r="A732" s="193"/>
      <c r="B732" s="194"/>
      <c r="C732" s="195"/>
      <c r="D732" s="194"/>
      <c r="E732" s="196">
        <f>SUM(E722:E731)</f>
        <v>307.78</v>
      </c>
      <c r="F732" s="193"/>
      <c r="G732" s="193"/>
      <c r="H732" s="193"/>
      <c r="I732" s="193"/>
    </row>
    <row r="733" hidden="1">
      <c r="A733" s="199"/>
      <c r="B733" s="200"/>
      <c r="C733" s="201"/>
      <c r="D733" s="200"/>
      <c r="E733" s="202"/>
      <c r="F733" s="199"/>
      <c r="G733" s="199"/>
      <c r="H733" s="199"/>
      <c r="I733" s="199"/>
    </row>
    <row r="734" hidden="1">
      <c r="A734" s="199"/>
      <c r="B734" s="200"/>
      <c r="C734" s="201"/>
      <c r="D734" s="203">
        <v>46181.0</v>
      </c>
      <c r="E734" s="202"/>
      <c r="F734" s="199"/>
      <c r="G734" s="199"/>
      <c r="H734" s="199"/>
      <c r="I734" s="199"/>
    </row>
    <row r="735" ht="22.5" hidden="1" customHeight="1">
      <c r="A735" s="175" t="s">
        <v>1467</v>
      </c>
      <c r="B735" s="175" t="s">
        <v>1477</v>
      </c>
      <c r="C735" s="175" t="s">
        <v>1478</v>
      </c>
      <c r="D735" s="175" t="s">
        <v>1479</v>
      </c>
      <c r="E735" s="175" t="s">
        <v>1481</v>
      </c>
      <c r="F735" s="175" t="s">
        <v>1483</v>
      </c>
      <c r="G735" s="175" t="s">
        <v>1484</v>
      </c>
      <c r="H735" s="175" t="s">
        <v>1486</v>
      </c>
      <c r="I735" s="175" t="s">
        <v>1489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22.5" hidden="1" customHeight="1">
      <c r="A736" s="176" t="s">
        <v>3748</v>
      </c>
      <c r="B736" s="177" t="s">
        <v>916</v>
      </c>
      <c r="C736" s="211">
        <v>1.0</v>
      </c>
      <c r="D736" s="185" t="s">
        <v>1602</v>
      </c>
      <c r="E736" s="188">
        <v>52.19</v>
      </c>
      <c r="F736" s="183">
        <v>46181.0</v>
      </c>
      <c r="G736" s="185" t="s">
        <v>9</v>
      </c>
      <c r="H736" s="185" t="s">
        <v>12</v>
      </c>
      <c r="I736" s="189"/>
    </row>
    <row r="737" ht="22.5" hidden="1" customHeight="1">
      <c r="A737" s="176" t="s">
        <v>3749</v>
      </c>
      <c r="B737" s="318" t="s">
        <v>472</v>
      </c>
      <c r="C737" s="211">
        <v>1.0</v>
      </c>
      <c r="D737" s="185" t="s">
        <v>1602</v>
      </c>
      <c r="E737" s="188">
        <v>59.09</v>
      </c>
      <c r="F737" s="183">
        <v>46180.0</v>
      </c>
      <c r="G737" s="185" t="s">
        <v>9</v>
      </c>
      <c r="H737" s="185" t="s">
        <v>12</v>
      </c>
      <c r="I737" s="313"/>
    </row>
    <row r="738" ht="22.5" hidden="1" customHeight="1">
      <c r="A738" s="176" t="s">
        <v>3750</v>
      </c>
      <c r="B738" s="314" t="s">
        <v>1313</v>
      </c>
      <c r="C738" s="211">
        <v>1.0</v>
      </c>
      <c r="D738" s="185" t="s">
        <v>1602</v>
      </c>
      <c r="E738" s="188">
        <v>112.02</v>
      </c>
      <c r="F738" s="183">
        <v>46178.0</v>
      </c>
      <c r="G738" s="185" t="s">
        <v>9</v>
      </c>
      <c r="H738" s="185" t="s">
        <v>3380</v>
      </c>
      <c r="I738" s="317"/>
    </row>
    <row r="739" ht="22.5" hidden="1" customHeight="1">
      <c r="A739" s="176" t="s">
        <v>3751</v>
      </c>
      <c r="B739" s="314" t="s">
        <v>3752</v>
      </c>
      <c r="C739" s="211">
        <v>1.0</v>
      </c>
      <c r="D739" s="185" t="s">
        <v>1602</v>
      </c>
      <c r="E739" s="188">
        <v>13.17</v>
      </c>
      <c r="F739" s="183">
        <v>46180.0</v>
      </c>
      <c r="G739" s="185" t="s">
        <v>8</v>
      </c>
      <c r="H739" s="185" t="s">
        <v>12</v>
      </c>
      <c r="I739" s="317"/>
    </row>
    <row r="740" ht="22.5" hidden="1" customHeight="1">
      <c r="A740" s="176" t="s">
        <v>3753</v>
      </c>
      <c r="B740" s="367">
        <v>5.304528904E9</v>
      </c>
      <c r="C740" s="211">
        <v>1.0</v>
      </c>
      <c r="D740" s="185" t="s">
        <v>1602</v>
      </c>
      <c r="E740" s="188">
        <v>44.93</v>
      </c>
      <c r="F740" s="183">
        <v>46179.0</v>
      </c>
      <c r="G740" s="185" t="s">
        <v>8</v>
      </c>
      <c r="H740" s="185" t="s">
        <v>12</v>
      </c>
      <c r="I740" s="317"/>
    </row>
    <row r="741" ht="22.5" hidden="1" customHeight="1">
      <c r="A741" s="176" t="s">
        <v>3754</v>
      </c>
      <c r="B741" s="314" t="s">
        <v>1699</v>
      </c>
      <c r="C741" s="211">
        <v>1.0</v>
      </c>
      <c r="D741" s="185" t="s">
        <v>1602</v>
      </c>
      <c r="E741" s="188">
        <v>34.31</v>
      </c>
      <c r="F741" s="183">
        <v>46179.0</v>
      </c>
      <c r="G741" s="185" t="s">
        <v>8</v>
      </c>
      <c r="H741" s="185" t="s">
        <v>12</v>
      </c>
      <c r="I741" s="317"/>
    </row>
    <row r="742" ht="22.5" hidden="1" customHeight="1">
      <c r="A742" s="176" t="s">
        <v>3755</v>
      </c>
      <c r="B742" s="367" t="s">
        <v>3756</v>
      </c>
      <c r="C742" s="211">
        <v>1.0</v>
      </c>
      <c r="D742" s="185" t="s">
        <v>1602</v>
      </c>
      <c r="E742" s="188">
        <v>53.84</v>
      </c>
      <c r="F742" s="183">
        <v>46178.0</v>
      </c>
      <c r="G742" s="185" t="s">
        <v>8</v>
      </c>
      <c r="H742" s="185" t="s">
        <v>12</v>
      </c>
      <c r="I742" s="189"/>
    </row>
    <row r="743" ht="22.5" hidden="1" customHeight="1">
      <c r="A743" s="176" t="s">
        <v>3757</v>
      </c>
      <c r="B743" s="318" t="s">
        <v>403</v>
      </c>
      <c r="C743" s="211">
        <v>1.0</v>
      </c>
      <c r="D743" s="185" t="s">
        <v>1602</v>
      </c>
      <c r="E743" s="188">
        <v>105.65</v>
      </c>
      <c r="F743" s="183">
        <v>46178.0</v>
      </c>
      <c r="G743" s="185" t="s">
        <v>8</v>
      </c>
      <c r="H743" s="185" t="s">
        <v>12</v>
      </c>
      <c r="I743" s="317"/>
    </row>
    <row r="744" ht="22.5" hidden="1" customHeight="1">
      <c r="A744" s="176" t="s">
        <v>3758</v>
      </c>
      <c r="B744" s="314">
        <v>5.304535039E9</v>
      </c>
      <c r="C744" s="211">
        <v>1.0</v>
      </c>
      <c r="D744" s="185" t="s">
        <v>1875</v>
      </c>
      <c r="E744" s="188">
        <v>-74.94</v>
      </c>
      <c r="F744" s="183">
        <v>46153.0</v>
      </c>
      <c r="G744" s="185" t="s">
        <v>9</v>
      </c>
      <c r="H744" s="185" t="s">
        <v>12</v>
      </c>
      <c r="I744" s="317" t="s">
        <v>3759</v>
      </c>
    </row>
    <row r="745" ht="22.5" hidden="1" customHeight="1">
      <c r="A745" s="383" t="s">
        <v>3760</v>
      </c>
      <c r="B745" s="314">
        <v>5.30452234E9</v>
      </c>
      <c r="C745" s="211">
        <v>1.0</v>
      </c>
      <c r="D745" s="185" t="s">
        <v>1602</v>
      </c>
      <c r="E745" s="188">
        <v>24.88</v>
      </c>
      <c r="F745" s="183">
        <v>46179.0</v>
      </c>
      <c r="G745" s="185" t="s">
        <v>9</v>
      </c>
      <c r="H745" s="185" t="s">
        <v>1087</v>
      </c>
      <c r="I745" s="317"/>
    </row>
    <row r="746" ht="22.5" hidden="1" customHeight="1">
      <c r="A746" s="176" t="s">
        <v>3761</v>
      </c>
      <c r="B746" s="314" t="s">
        <v>3762</v>
      </c>
      <c r="C746" s="211">
        <v>1.0</v>
      </c>
      <c r="D746" s="185" t="s">
        <v>1602</v>
      </c>
      <c r="E746" s="188">
        <v>14.71</v>
      </c>
      <c r="F746" s="183">
        <v>46180.0</v>
      </c>
      <c r="G746" s="185" t="s">
        <v>9</v>
      </c>
      <c r="H746" s="185" t="s">
        <v>1087</v>
      </c>
      <c r="I746" s="317"/>
    </row>
    <row r="747" ht="22.5" hidden="1" customHeight="1">
      <c r="A747" s="176" t="s">
        <v>3763</v>
      </c>
      <c r="B747" s="369" t="s">
        <v>3115</v>
      </c>
      <c r="C747" s="211">
        <v>1.0</v>
      </c>
      <c r="D747" s="185" t="s">
        <v>1602</v>
      </c>
      <c r="E747" s="188">
        <v>99.53</v>
      </c>
      <c r="F747" s="183">
        <v>46179.0</v>
      </c>
      <c r="G747" s="185" t="s">
        <v>9</v>
      </c>
      <c r="H747" s="185" t="s">
        <v>53</v>
      </c>
      <c r="I747" s="317"/>
    </row>
    <row r="748" ht="22.5" hidden="1" customHeight="1">
      <c r="A748" s="176" t="s">
        <v>3764</v>
      </c>
      <c r="B748" s="369" t="s">
        <v>2892</v>
      </c>
      <c r="C748" s="211">
        <v>1.0</v>
      </c>
      <c r="D748" s="185" t="s">
        <v>1602</v>
      </c>
      <c r="E748" s="188">
        <v>29.82</v>
      </c>
      <c r="F748" s="183">
        <v>46179.0</v>
      </c>
      <c r="G748" s="185" t="s">
        <v>9</v>
      </c>
      <c r="H748" s="185" t="s">
        <v>53</v>
      </c>
      <c r="I748" s="317"/>
    </row>
    <row r="749" ht="22.5" hidden="1" customHeight="1">
      <c r="A749" s="176" t="s">
        <v>3765</v>
      </c>
      <c r="B749" s="369" t="s">
        <v>716</v>
      </c>
      <c r="C749" s="343">
        <v>1.0</v>
      </c>
      <c r="D749" s="331" t="s">
        <v>1532</v>
      </c>
      <c r="E749" s="345">
        <v>-0.4</v>
      </c>
      <c r="F749" s="183">
        <v>46179.0</v>
      </c>
      <c r="G749" s="185" t="s">
        <v>8</v>
      </c>
      <c r="H749" s="185" t="s">
        <v>53</v>
      </c>
      <c r="I749" s="335"/>
    </row>
    <row r="750" ht="22.5" hidden="1" customHeight="1">
      <c r="A750" s="176" t="s">
        <v>3766</v>
      </c>
      <c r="B750" s="369" t="s">
        <v>73</v>
      </c>
      <c r="C750" s="343">
        <v>1.0</v>
      </c>
      <c r="D750" s="331" t="s">
        <v>1602</v>
      </c>
      <c r="E750" s="345">
        <v>213.16</v>
      </c>
      <c r="F750" s="183">
        <v>46180.0</v>
      </c>
      <c r="G750" s="185" t="s">
        <v>9</v>
      </c>
      <c r="H750" s="185" t="s">
        <v>351</v>
      </c>
      <c r="I750" s="335"/>
    </row>
    <row r="751" ht="22.5" hidden="1" customHeight="1">
      <c r="A751" s="176" t="s">
        <v>3767</v>
      </c>
      <c r="B751" s="369" t="s">
        <v>876</v>
      </c>
      <c r="C751" s="337">
        <v>1.0</v>
      </c>
      <c r="D751" s="384" t="s">
        <v>1602</v>
      </c>
      <c r="E751" s="338">
        <v>13.34</v>
      </c>
      <c r="F751" s="183">
        <v>46180.0</v>
      </c>
      <c r="G751" s="185" t="s">
        <v>9</v>
      </c>
      <c r="H751" s="334" t="s">
        <v>351</v>
      </c>
      <c r="I751" s="335"/>
    </row>
    <row r="752" ht="22.5" hidden="1" customHeight="1">
      <c r="A752" s="193"/>
      <c r="B752" s="194"/>
      <c r="C752" s="195"/>
      <c r="D752" s="194"/>
      <c r="E752" s="196">
        <f>SUM(E736:E751)</f>
        <v>795.3</v>
      </c>
      <c r="F752" s="193"/>
      <c r="G752" s="193"/>
      <c r="H752" s="193"/>
      <c r="I752" s="193"/>
    </row>
    <row r="753" hidden="1">
      <c r="A753" s="199"/>
      <c r="B753" s="200"/>
      <c r="C753" s="201"/>
      <c r="D753" s="200"/>
      <c r="E753" s="202"/>
      <c r="F753" s="199"/>
      <c r="G753" s="199"/>
      <c r="H753" s="199"/>
      <c r="I753" s="199"/>
    </row>
    <row r="754" hidden="1">
      <c r="A754" s="199"/>
      <c r="B754" s="200"/>
      <c r="C754" s="201"/>
      <c r="D754" s="203">
        <v>46182.0</v>
      </c>
      <c r="E754" s="202"/>
      <c r="F754" s="199"/>
      <c r="G754" s="199"/>
      <c r="H754" s="199"/>
      <c r="I754" s="199"/>
    </row>
    <row r="755" ht="22.5" hidden="1" customHeight="1">
      <c r="A755" s="175" t="s">
        <v>1467</v>
      </c>
      <c r="B755" s="175" t="s">
        <v>1477</v>
      </c>
      <c r="C755" s="175" t="s">
        <v>1478</v>
      </c>
      <c r="D755" s="175" t="s">
        <v>1479</v>
      </c>
      <c r="E755" s="175" t="s">
        <v>1481</v>
      </c>
      <c r="F755" s="175" t="s">
        <v>1483</v>
      </c>
      <c r="G755" s="175" t="s">
        <v>1484</v>
      </c>
      <c r="H755" s="175" t="s">
        <v>1486</v>
      </c>
      <c r="I755" s="175" t="s">
        <v>1489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22.5" hidden="1" customHeight="1">
      <c r="A756" s="176" t="s">
        <v>3768</v>
      </c>
      <c r="B756" s="177" t="s">
        <v>362</v>
      </c>
      <c r="C756" s="211">
        <v>1.0</v>
      </c>
      <c r="D756" s="185" t="s">
        <v>1602</v>
      </c>
      <c r="E756" s="188">
        <v>92.06</v>
      </c>
      <c r="F756" s="183">
        <v>46181.0</v>
      </c>
      <c r="G756" s="185" t="s">
        <v>9</v>
      </c>
      <c r="H756" s="185" t="s">
        <v>12</v>
      </c>
      <c r="I756" s="189"/>
    </row>
    <row r="757" ht="22.5" hidden="1" customHeight="1">
      <c r="A757" s="176" t="s">
        <v>3769</v>
      </c>
      <c r="B757" s="318" t="s">
        <v>584</v>
      </c>
      <c r="C757" s="211">
        <v>1.0</v>
      </c>
      <c r="D757" s="185" t="s">
        <v>1602</v>
      </c>
      <c r="E757" s="188">
        <v>48.9</v>
      </c>
      <c r="F757" s="183">
        <v>46181.0</v>
      </c>
      <c r="G757" s="185" t="s">
        <v>8</v>
      </c>
      <c r="H757" s="185" t="s">
        <v>12</v>
      </c>
      <c r="I757" s="313"/>
    </row>
    <row r="758" ht="22.5" hidden="1" customHeight="1">
      <c r="A758" s="375" t="s">
        <v>3770</v>
      </c>
      <c r="B758" s="314">
        <v>5.304534537E9</v>
      </c>
      <c r="C758" s="211">
        <v>1.0</v>
      </c>
      <c r="D758" s="185" t="s">
        <v>1602</v>
      </c>
      <c r="E758" s="188">
        <v>60.41</v>
      </c>
      <c r="F758" s="183">
        <v>46181.0</v>
      </c>
      <c r="G758" s="185" t="s">
        <v>9</v>
      </c>
      <c r="H758" s="185" t="s">
        <v>3380</v>
      </c>
      <c r="I758" s="317"/>
    </row>
    <row r="759" ht="22.5" hidden="1" customHeight="1">
      <c r="A759" s="176" t="s">
        <v>3771</v>
      </c>
      <c r="B759" s="314" t="s">
        <v>768</v>
      </c>
      <c r="C759" s="211">
        <v>1.0</v>
      </c>
      <c r="D759" s="185" t="s">
        <v>1602</v>
      </c>
      <c r="E759" s="188">
        <v>30.68</v>
      </c>
      <c r="F759" s="183">
        <v>46182.0</v>
      </c>
      <c r="G759" s="185" t="s">
        <v>8</v>
      </c>
      <c r="H759" s="185" t="s">
        <v>12</v>
      </c>
      <c r="I759" s="317"/>
    </row>
    <row r="760" ht="22.5" hidden="1" customHeight="1">
      <c r="A760" s="176" t="s">
        <v>3772</v>
      </c>
      <c r="B760" s="367" t="s">
        <v>492</v>
      </c>
      <c r="C760" s="211">
        <v>1.0</v>
      </c>
      <c r="D760" s="185" t="s">
        <v>1602</v>
      </c>
      <c r="E760" s="188">
        <v>20.62</v>
      </c>
      <c r="F760" s="183">
        <v>46181.0</v>
      </c>
      <c r="G760" s="185" t="s">
        <v>9</v>
      </c>
      <c r="H760" s="185" t="s">
        <v>53</v>
      </c>
      <c r="I760" s="317"/>
    </row>
    <row r="761" ht="22.5" hidden="1" customHeight="1">
      <c r="A761" s="176" t="s">
        <v>3773</v>
      </c>
      <c r="B761" s="314">
        <v>8.09069212E8</v>
      </c>
      <c r="C761" s="211">
        <v>1.0</v>
      </c>
      <c r="D761" s="185" t="s">
        <v>1602</v>
      </c>
      <c r="E761" s="188">
        <v>61.52</v>
      </c>
      <c r="F761" s="183">
        <v>46182.0</v>
      </c>
      <c r="G761" s="185" t="s">
        <v>8</v>
      </c>
      <c r="H761" s="185" t="s">
        <v>11</v>
      </c>
      <c r="I761" s="317"/>
    </row>
    <row r="762" ht="22.5" hidden="1" customHeight="1">
      <c r="A762" s="176" t="s">
        <v>3774</v>
      </c>
      <c r="B762" s="314" t="s">
        <v>1360</v>
      </c>
      <c r="C762" s="211">
        <v>1.0</v>
      </c>
      <c r="D762" s="185" t="s">
        <v>3475</v>
      </c>
      <c r="E762" s="188">
        <v>-29.01</v>
      </c>
      <c r="F762" s="183">
        <v>46172.0</v>
      </c>
      <c r="G762" s="185" t="s">
        <v>9</v>
      </c>
      <c r="H762" s="185" t="s">
        <v>1356</v>
      </c>
      <c r="I762" s="317" t="s">
        <v>3775</v>
      </c>
    </row>
    <row r="763" ht="22.5" hidden="1" customHeight="1">
      <c r="A763" s="193"/>
      <c r="B763" s="194"/>
      <c r="C763" s="195"/>
      <c r="D763" s="194"/>
      <c r="E763" s="196">
        <f>SUM(E756:E762)</f>
        <v>285.18</v>
      </c>
      <c r="F763" s="193"/>
      <c r="G763" s="193"/>
      <c r="H763" s="193"/>
      <c r="I763" s="193"/>
    </row>
    <row r="764" hidden="1">
      <c r="A764" s="199"/>
      <c r="B764" s="200"/>
      <c r="C764" s="201"/>
      <c r="D764" s="200"/>
      <c r="E764" s="202"/>
      <c r="F764" s="199"/>
      <c r="G764" s="199"/>
      <c r="H764" s="199"/>
      <c r="I764" s="199"/>
    </row>
    <row r="765" hidden="1">
      <c r="A765" s="199"/>
      <c r="B765" s="200"/>
      <c r="C765" s="201"/>
      <c r="D765" s="203">
        <v>46183.0</v>
      </c>
      <c r="E765" s="202"/>
      <c r="F765" s="199"/>
      <c r="G765" s="199"/>
      <c r="H765" s="199"/>
      <c r="I765" s="199"/>
    </row>
    <row r="766" ht="22.5" hidden="1" customHeight="1">
      <c r="A766" s="175" t="s">
        <v>1467</v>
      </c>
      <c r="B766" s="175" t="s">
        <v>1477</v>
      </c>
      <c r="C766" s="175" t="s">
        <v>1478</v>
      </c>
      <c r="D766" s="175" t="s">
        <v>1479</v>
      </c>
      <c r="E766" s="175" t="s">
        <v>1481</v>
      </c>
      <c r="F766" s="175" t="s">
        <v>1483</v>
      </c>
      <c r="G766" s="175" t="s">
        <v>1484</v>
      </c>
      <c r="H766" s="175" t="s">
        <v>1486</v>
      </c>
      <c r="I766" s="175" t="s">
        <v>1489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22.5" hidden="1" customHeight="1">
      <c r="A767" s="176" t="s">
        <v>3776</v>
      </c>
      <c r="B767" s="177" t="s">
        <v>3777</v>
      </c>
      <c r="C767" s="211">
        <v>1.0</v>
      </c>
      <c r="D767" s="185" t="s">
        <v>1602</v>
      </c>
      <c r="E767" s="188">
        <v>45.46</v>
      </c>
      <c r="F767" s="183">
        <v>46182.0</v>
      </c>
      <c r="G767" s="185" t="s">
        <v>8</v>
      </c>
      <c r="H767" s="185" t="s">
        <v>12</v>
      </c>
      <c r="I767" s="189"/>
    </row>
    <row r="768" ht="22.5" hidden="1" customHeight="1">
      <c r="A768" s="176" t="s">
        <v>3778</v>
      </c>
      <c r="B768" s="318">
        <v>1.2131000096331E13</v>
      </c>
      <c r="C768" s="211">
        <v>1.0</v>
      </c>
      <c r="D768" s="185" t="s">
        <v>1602</v>
      </c>
      <c r="E768" s="188">
        <v>53.45</v>
      </c>
      <c r="F768" s="183">
        <v>46182.0</v>
      </c>
      <c r="G768" s="185" t="s">
        <v>8</v>
      </c>
      <c r="H768" s="185" t="s">
        <v>11</v>
      </c>
      <c r="I768" s="313"/>
    </row>
    <row r="769" ht="22.5" hidden="1" customHeight="1">
      <c r="A769" s="176" t="s">
        <v>3779</v>
      </c>
      <c r="B769" s="314" t="s">
        <v>3291</v>
      </c>
      <c r="C769" s="211">
        <v>1.0</v>
      </c>
      <c r="D769" s="185" t="s">
        <v>1602</v>
      </c>
      <c r="E769" s="188">
        <v>37.45</v>
      </c>
      <c r="F769" s="183">
        <v>46183.0</v>
      </c>
      <c r="G769" s="185" t="s">
        <v>9</v>
      </c>
      <c r="H769" s="185" t="s">
        <v>11</v>
      </c>
      <c r="I769" s="317"/>
    </row>
    <row r="770" ht="22.5" hidden="1" customHeight="1">
      <c r="A770" s="176" t="s">
        <v>3780</v>
      </c>
      <c r="B770" s="314" t="s">
        <v>3781</v>
      </c>
      <c r="C770" s="211">
        <v>1.0</v>
      </c>
      <c r="D770" s="185" t="s">
        <v>1602</v>
      </c>
      <c r="E770" s="188">
        <v>29.56</v>
      </c>
      <c r="F770" s="183">
        <v>46182.0</v>
      </c>
      <c r="G770" s="185" t="s">
        <v>9</v>
      </c>
      <c r="H770" s="185" t="s">
        <v>11</v>
      </c>
      <c r="I770" s="317"/>
    </row>
    <row r="771" ht="22.5" hidden="1" customHeight="1">
      <c r="A771" s="176" t="s">
        <v>3782</v>
      </c>
      <c r="B771" s="367" t="s">
        <v>3783</v>
      </c>
      <c r="C771" s="211">
        <v>1.0</v>
      </c>
      <c r="D771" s="185" t="s">
        <v>1532</v>
      </c>
      <c r="E771" s="188"/>
      <c r="F771" s="183">
        <v>46182.0</v>
      </c>
      <c r="G771" s="185" t="s">
        <v>9</v>
      </c>
      <c r="H771" s="185" t="s">
        <v>11</v>
      </c>
      <c r="I771" s="317"/>
    </row>
    <row r="772" ht="22.5" hidden="1" customHeight="1">
      <c r="A772" s="176" t="s">
        <v>3784</v>
      </c>
      <c r="B772" s="314" t="s">
        <v>3333</v>
      </c>
      <c r="C772" s="211">
        <v>1.0</v>
      </c>
      <c r="D772" s="185" t="s">
        <v>1602</v>
      </c>
      <c r="E772" s="188">
        <v>15.05</v>
      </c>
      <c r="F772" s="183">
        <v>46182.0</v>
      </c>
      <c r="G772" s="185" t="s">
        <v>9</v>
      </c>
      <c r="H772" s="185" t="s">
        <v>11</v>
      </c>
      <c r="I772" s="317"/>
    </row>
    <row r="773" ht="22.5" hidden="1" customHeight="1">
      <c r="A773" s="176" t="s">
        <v>3785</v>
      </c>
      <c r="B773" s="314">
        <v>1.1002015016732E13</v>
      </c>
      <c r="C773" s="211">
        <v>1.0</v>
      </c>
      <c r="D773" s="185" t="s">
        <v>1602</v>
      </c>
      <c r="E773" s="188">
        <v>24.46</v>
      </c>
      <c r="F773" s="183">
        <v>46183.0</v>
      </c>
      <c r="G773" s="185" t="s">
        <v>9</v>
      </c>
      <c r="H773" s="185" t="s">
        <v>351</v>
      </c>
      <c r="I773" s="317"/>
    </row>
    <row r="774" ht="22.5" hidden="1" customHeight="1">
      <c r="A774" s="385" t="s">
        <v>3786</v>
      </c>
      <c r="B774" s="342">
        <v>2.41734001E8</v>
      </c>
      <c r="C774" s="211">
        <v>1.0</v>
      </c>
      <c r="D774" s="185" t="s">
        <v>3475</v>
      </c>
      <c r="E774" s="188">
        <v>-57.17</v>
      </c>
      <c r="F774" s="183">
        <v>46162.0</v>
      </c>
      <c r="G774" s="185" t="s">
        <v>9</v>
      </c>
      <c r="H774" s="185" t="s">
        <v>53</v>
      </c>
      <c r="I774" s="317" t="s">
        <v>3787</v>
      </c>
    </row>
    <row r="775" ht="22.5" hidden="1" customHeight="1">
      <c r="A775" s="176" t="s">
        <v>3788</v>
      </c>
      <c r="B775" s="314" t="s">
        <v>827</v>
      </c>
      <c r="C775" s="211">
        <v>1.0</v>
      </c>
      <c r="D775" s="185" t="s">
        <v>1602</v>
      </c>
      <c r="E775" s="188">
        <v>14.54</v>
      </c>
      <c r="F775" s="183">
        <v>46183.0</v>
      </c>
      <c r="G775" s="185" t="s">
        <v>9</v>
      </c>
      <c r="H775" s="185" t="s">
        <v>351</v>
      </c>
      <c r="I775" s="317"/>
    </row>
    <row r="776" ht="22.5" hidden="1" customHeight="1">
      <c r="A776" s="193"/>
      <c r="B776" s="194"/>
      <c r="C776" s="195"/>
      <c r="D776" s="194"/>
      <c r="E776" s="196">
        <f>SUM(E767:E775)</f>
        <v>162.8</v>
      </c>
      <c r="F776" s="193"/>
      <c r="G776" s="193"/>
      <c r="H776" s="193"/>
      <c r="I776" s="193"/>
    </row>
    <row r="777" hidden="1">
      <c r="A777" s="199"/>
      <c r="B777" s="200"/>
      <c r="C777" s="201"/>
      <c r="D777" s="200"/>
      <c r="E777" s="202"/>
      <c r="F777" s="199"/>
      <c r="G777" s="199"/>
      <c r="H777" s="199"/>
      <c r="I777" s="199"/>
    </row>
    <row r="778" hidden="1">
      <c r="A778" s="199"/>
      <c r="B778" s="200"/>
      <c r="C778" s="201"/>
      <c r="D778" s="203">
        <v>46184.0</v>
      </c>
      <c r="E778" s="202"/>
      <c r="F778" s="199"/>
      <c r="G778" s="199"/>
      <c r="H778" s="199"/>
      <c r="I778" s="199"/>
    </row>
    <row r="779" ht="22.5" hidden="1" customHeight="1">
      <c r="A779" s="175" t="s">
        <v>1467</v>
      </c>
      <c r="B779" s="175" t="s">
        <v>1477</v>
      </c>
      <c r="C779" s="175" t="s">
        <v>1478</v>
      </c>
      <c r="D779" s="175" t="s">
        <v>1479</v>
      </c>
      <c r="E779" s="175" t="s">
        <v>1481</v>
      </c>
      <c r="F779" s="175" t="s">
        <v>1483</v>
      </c>
      <c r="G779" s="175" t="s">
        <v>1484</v>
      </c>
      <c r="H779" s="175" t="s">
        <v>1486</v>
      </c>
      <c r="I779" s="175" t="s">
        <v>1489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22.5" hidden="1" customHeight="1">
      <c r="A780" s="176" t="s">
        <v>3789</v>
      </c>
      <c r="B780" s="386" t="s">
        <v>1369</v>
      </c>
      <c r="C780" s="211">
        <v>1.0</v>
      </c>
      <c r="D780" s="185" t="s">
        <v>1602</v>
      </c>
      <c r="E780" s="188">
        <v>67.8</v>
      </c>
      <c r="F780" s="183">
        <v>46182.0</v>
      </c>
      <c r="G780" s="185" t="s">
        <v>9</v>
      </c>
      <c r="H780" s="185" t="s">
        <v>1356</v>
      </c>
      <c r="I780" s="317"/>
    </row>
    <row r="781" ht="22.5" hidden="1" customHeight="1">
      <c r="A781" s="176" t="s">
        <v>3790</v>
      </c>
      <c r="B781" s="314" t="s">
        <v>3791</v>
      </c>
      <c r="C781" s="211">
        <v>1.0</v>
      </c>
      <c r="D781" s="185" t="s">
        <v>1602</v>
      </c>
      <c r="E781" s="188">
        <v>85.36</v>
      </c>
      <c r="F781" s="183">
        <v>46182.0</v>
      </c>
      <c r="G781" s="185" t="s">
        <v>9</v>
      </c>
      <c r="H781" s="185" t="s">
        <v>1356</v>
      </c>
      <c r="I781" s="317"/>
    </row>
    <row r="782" ht="22.5" hidden="1" customHeight="1">
      <c r="A782" s="176" t="s">
        <v>3792</v>
      </c>
      <c r="B782" s="387" t="s">
        <v>2386</v>
      </c>
      <c r="C782" s="211">
        <v>1.0</v>
      </c>
      <c r="D782" s="185" t="s">
        <v>1602</v>
      </c>
      <c r="E782" s="188">
        <v>44.44</v>
      </c>
      <c r="F782" s="183">
        <v>46183.0</v>
      </c>
      <c r="G782" s="185" t="s">
        <v>9</v>
      </c>
      <c r="H782" s="185" t="s">
        <v>3380</v>
      </c>
      <c r="I782" s="189"/>
    </row>
    <row r="783" ht="22.5" hidden="1" customHeight="1">
      <c r="A783" s="176" t="s">
        <v>3793</v>
      </c>
      <c r="B783" s="386" t="s">
        <v>584</v>
      </c>
      <c r="C783" s="211">
        <v>1.0</v>
      </c>
      <c r="D783" s="185" t="s">
        <v>1602</v>
      </c>
      <c r="E783" s="188">
        <v>40.79</v>
      </c>
      <c r="F783" s="183">
        <v>46184.0</v>
      </c>
      <c r="G783" s="185" t="s">
        <v>9</v>
      </c>
      <c r="H783" s="185" t="s">
        <v>12</v>
      </c>
      <c r="I783" s="313"/>
    </row>
    <row r="784" ht="22.5" hidden="1" customHeight="1">
      <c r="A784" s="176" t="s">
        <v>3794</v>
      </c>
      <c r="B784" s="314" t="s">
        <v>872</v>
      </c>
      <c r="C784" s="211">
        <v>1.0</v>
      </c>
      <c r="D784" s="185" t="s">
        <v>1602</v>
      </c>
      <c r="E784" s="188">
        <v>42.0</v>
      </c>
      <c r="F784" s="183">
        <v>46183.0</v>
      </c>
      <c r="G784" s="185" t="s">
        <v>8</v>
      </c>
      <c r="H784" s="185" t="s">
        <v>12</v>
      </c>
      <c r="I784" s="317"/>
    </row>
    <row r="785" ht="22.5" hidden="1" customHeight="1">
      <c r="A785" s="176" t="s">
        <v>3795</v>
      </c>
      <c r="B785" s="388" t="s">
        <v>380</v>
      </c>
      <c r="C785" s="211">
        <v>1.0</v>
      </c>
      <c r="D785" s="185" t="s">
        <v>1602</v>
      </c>
      <c r="E785" s="188">
        <v>18.42</v>
      </c>
      <c r="F785" s="183">
        <v>46184.0</v>
      </c>
      <c r="G785" s="185" t="s">
        <v>9</v>
      </c>
      <c r="H785" s="185" t="s">
        <v>1133</v>
      </c>
      <c r="I785" s="317"/>
    </row>
    <row r="786" ht="22.5" hidden="1" customHeight="1">
      <c r="A786" s="176" t="s">
        <v>3796</v>
      </c>
      <c r="B786" s="314" t="s">
        <v>3187</v>
      </c>
      <c r="C786" s="211">
        <v>1.0</v>
      </c>
      <c r="D786" s="185" t="s">
        <v>1602</v>
      </c>
      <c r="E786" s="188">
        <v>72.8</v>
      </c>
      <c r="F786" s="183">
        <v>46183.0</v>
      </c>
      <c r="G786" s="185" t="s">
        <v>9</v>
      </c>
      <c r="H786" s="185" t="s">
        <v>53</v>
      </c>
      <c r="I786" s="317"/>
    </row>
    <row r="787" ht="22.5" hidden="1" customHeight="1">
      <c r="A787" s="176" t="s">
        <v>3797</v>
      </c>
      <c r="B787" s="389" t="s">
        <v>2944</v>
      </c>
      <c r="C787" s="211">
        <v>1.0</v>
      </c>
      <c r="D787" s="185" t="s">
        <v>1602</v>
      </c>
      <c r="E787" s="188">
        <v>18.05</v>
      </c>
      <c r="F787" s="183">
        <v>46183.0</v>
      </c>
      <c r="G787" s="185" t="s">
        <v>9</v>
      </c>
      <c r="H787" s="185" t="s">
        <v>53</v>
      </c>
      <c r="I787" s="317"/>
    </row>
    <row r="788" ht="22.5" hidden="1" customHeight="1">
      <c r="A788" s="176" t="s">
        <v>3798</v>
      </c>
      <c r="B788" s="389" t="s">
        <v>2983</v>
      </c>
      <c r="C788" s="211">
        <v>1.0</v>
      </c>
      <c r="D788" s="185" t="s">
        <v>1602</v>
      </c>
      <c r="E788" s="188">
        <v>102.78</v>
      </c>
      <c r="F788" s="183">
        <v>46183.0</v>
      </c>
      <c r="G788" s="185" t="s">
        <v>9</v>
      </c>
      <c r="H788" s="185" t="s">
        <v>53</v>
      </c>
      <c r="I788" s="189"/>
    </row>
    <row r="789" ht="22.5" hidden="1" customHeight="1">
      <c r="A789" s="176" t="s">
        <v>3799</v>
      </c>
      <c r="B789" s="387">
        <v>5.30452234E9</v>
      </c>
      <c r="C789" s="211">
        <v>1.0</v>
      </c>
      <c r="D789" s="185" t="s">
        <v>1602</v>
      </c>
      <c r="E789" s="188">
        <v>26.44</v>
      </c>
      <c r="F789" s="183">
        <v>46183.0</v>
      </c>
      <c r="G789" s="185" t="s">
        <v>9</v>
      </c>
      <c r="H789" s="185" t="s">
        <v>1087</v>
      </c>
      <c r="I789" s="317"/>
    </row>
    <row r="790" ht="22.5" hidden="1" customHeight="1">
      <c r="A790" s="176" t="s">
        <v>3800</v>
      </c>
      <c r="B790" s="314" t="s">
        <v>1454</v>
      </c>
      <c r="C790" s="211">
        <v>1.0</v>
      </c>
      <c r="D790" s="185" t="s">
        <v>1602</v>
      </c>
      <c r="E790" s="188">
        <v>41.11</v>
      </c>
      <c r="F790" s="183">
        <v>46184.0</v>
      </c>
      <c r="G790" s="185" t="s">
        <v>9</v>
      </c>
      <c r="H790" s="185" t="s">
        <v>53</v>
      </c>
      <c r="I790" s="317"/>
    </row>
    <row r="791" ht="22.5" hidden="1" customHeight="1">
      <c r="A791" s="176" t="s">
        <v>3801</v>
      </c>
      <c r="B791" s="314" t="s">
        <v>424</v>
      </c>
      <c r="C791" s="211">
        <v>1.0</v>
      </c>
      <c r="D791" s="185" t="s">
        <v>1602</v>
      </c>
      <c r="E791" s="188">
        <v>41.16</v>
      </c>
      <c r="F791" s="183">
        <v>46184.0</v>
      </c>
      <c r="G791" s="185" t="s">
        <v>9</v>
      </c>
      <c r="H791" s="185" t="s">
        <v>53</v>
      </c>
      <c r="I791" s="317"/>
    </row>
    <row r="792" ht="22.5" hidden="1" customHeight="1">
      <c r="A792" s="193"/>
      <c r="B792" s="194"/>
      <c r="C792" s="195"/>
      <c r="D792" s="194"/>
      <c r="E792" s="196">
        <f>SUM(E780:E791)</f>
        <v>601.15</v>
      </c>
      <c r="F792" s="193"/>
      <c r="G792" s="193"/>
      <c r="H792" s="193"/>
      <c r="I792" s="193"/>
    </row>
    <row r="793" hidden="1">
      <c r="A793" s="199"/>
      <c r="B793" s="200"/>
      <c r="C793" s="201"/>
      <c r="D793" s="200"/>
      <c r="E793" s="202"/>
      <c r="F793" s="199"/>
      <c r="G793" s="199"/>
      <c r="H793" s="199"/>
      <c r="I793" s="199"/>
    </row>
    <row r="794" hidden="1">
      <c r="A794" s="199"/>
      <c r="B794" s="200"/>
      <c r="C794" s="201"/>
      <c r="D794" s="203">
        <v>46185.0</v>
      </c>
      <c r="E794" s="202"/>
      <c r="F794" s="199"/>
      <c r="G794" s="199"/>
      <c r="H794" s="199"/>
      <c r="I794" s="199"/>
    </row>
    <row r="795" ht="22.5" hidden="1" customHeight="1">
      <c r="A795" s="175" t="s">
        <v>1467</v>
      </c>
      <c r="B795" s="175" t="s">
        <v>1477</v>
      </c>
      <c r="C795" s="175" t="s">
        <v>1478</v>
      </c>
      <c r="D795" s="175" t="s">
        <v>1479</v>
      </c>
      <c r="E795" s="175" t="s">
        <v>1481</v>
      </c>
      <c r="F795" s="175" t="s">
        <v>1483</v>
      </c>
      <c r="G795" s="175" t="s">
        <v>1484</v>
      </c>
      <c r="H795" s="175" t="s">
        <v>1486</v>
      </c>
      <c r="I795" s="175" t="s">
        <v>1489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22.5" hidden="1" customHeight="1">
      <c r="A796" s="176" t="s">
        <v>3802</v>
      </c>
      <c r="B796" s="389">
        <v>5.304505337E9</v>
      </c>
      <c r="C796" s="211">
        <v>1.0</v>
      </c>
      <c r="D796" s="185" t="s">
        <v>1602</v>
      </c>
      <c r="E796" s="188">
        <v>186.42</v>
      </c>
      <c r="F796" s="183">
        <v>46182.0</v>
      </c>
      <c r="G796" s="185" t="s">
        <v>9</v>
      </c>
      <c r="H796" s="185" t="s">
        <v>1356</v>
      </c>
      <c r="I796" s="189"/>
    </row>
    <row r="797" ht="22.5" hidden="1" customHeight="1">
      <c r="A797" s="390" t="s">
        <v>3803</v>
      </c>
      <c r="B797" s="388" t="s">
        <v>112</v>
      </c>
      <c r="C797" s="211">
        <v>1.0</v>
      </c>
      <c r="D797" s="185" t="s">
        <v>1602</v>
      </c>
      <c r="E797" s="188">
        <v>24.65</v>
      </c>
      <c r="F797" s="183">
        <v>46185.0</v>
      </c>
      <c r="G797" s="185" t="s">
        <v>9</v>
      </c>
      <c r="H797" s="185" t="s">
        <v>1133</v>
      </c>
      <c r="I797" s="189"/>
    </row>
    <row r="798" ht="22.5" hidden="1" customHeight="1">
      <c r="A798" s="176" t="s">
        <v>3804</v>
      </c>
      <c r="B798" s="314" t="s">
        <v>3002</v>
      </c>
      <c r="C798" s="211">
        <v>1.0</v>
      </c>
      <c r="D798" s="185" t="s">
        <v>3475</v>
      </c>
      <c r="E798" s="188">
        <v>-128.55</v>
      </c>
      <c r="F798" s="183">
        <v>46174.0</v>
      </c>
      <c r="G798" s="185" t="s">
        <v>9</v>
      </c>
      <c r="H798" s="185" t="s">
        <v>53</v>
      </c>
      <c r="I798" s="317" t="s">
        <v>3805</v>
      </c>
    </row>
    <row r="799" ht="22.5" hidden="1" customHeight="1">
      <c r="A799" s="176" t="s">
        <v>3806</v>
      </c>
      <c r="B799" s="314" t="s">
        <v>948</v>
      </c>
      <c r="C799" s="211">
        <v>1.0</v>
      </c>
      <c r="D799" s="185" t="s">
        <v>1602</v>
      </c>
      <c r="E799" s="188">
        <v>33.48</v>
      </c>
      <c r="F799" s="183">
        <v>46184.0</v>
      </c>
      <c r="G799" s="185" t="s">
        <v>9</v>
      </c>
      <c r="H799" s="185" t="s">
        <v>351</v>
      </c>
      <c r="I799" s="317"/>
    </row>
    <row r="800" ht="22.5" hidden="1" customHeight="1">
      <c r="A800" s="176" t="s">
        <v>3807</v>
      </c>
      <c r="B800" s="387">
        <v>5.304527031E9</v>
      </c>
      <c r="C800" s="211">
        <v>1.0</v>
      </c>
      <c r="D800" s="185" t="s">
        <v>1532</v>
      </c>
      <c r="E800" s="188"/>
      <c r="F800" s="183">
        <v>46185.0</v>
      </c>
      <c r="G800" s="185" t="s">
        <v>9</v>
      </c>
      <c r="H800" s="185" t="s">
        <v>1087</v>
      </c>
      <c r="I800" s="186" t="s">
        <v>3808</v>
      </c>
    </row>
    <row r="801" ht="22.5" hidden="1" customHeight="1">
      <c r="A801" s="176" t="s">
        <v>3809</v>
      </c>
      <c r="B801" s="386" t="s">
        <v>405</v>
      </c>
      <c r="C801" s="211">
        <v>1.0</v>
      </c>
      <c r="D801" s="185" t="s">
        <v>1602</v>
      </c>
      <c r="E801" s="188">
        <v>39.78</v>
      </c>
      <c r="F801" s="183">
        <v>46184.0</v>
      </c>
      <c r="G801" s="185" t="s">
        <v>9</v>
      </c>
      <c r="H801" s="185" t="s">
        <v>2243</v>
      </c>
      <c r="I801" s="313"/>
    </row>
    <row r="802" ht="22.5" hidden="1" customHeight="1">
      <c r="A802" s="176" t="s">
        <v>3810</v>
      </c>
      <c r="B802" s="314" t="s">
        <v>2068</v>
      </c>
      <c r="C802" s="211">
        <v>1.0</v>
      </c>
      <c r="D802" s="185" t="s">
        <v>1602</v>
      </c>
      <c r="E802" s="188">
        <v>73.72</v>
      </c>
      <c r="F802" s="183">
        <v>46184.0</v>
      </c>
      <c r="G802" s="185" t="s">
        <v>9</v>
      </c>
      <c r="H802" s="185" t="s">
        <v>12</v>
      </c>
      <c r="I802" s="317"/>
    </row>
    <row r="803" ht="22.5" hidden="1" customHeight="1">
      <c r="A803" s="176" t="s">
        <v>3811</v>
      </c>
      <c r="B803" s="389" t="s">
        <v>929</v>
      </c>
      <c r="C803" s="211">
        <v>1.0</v>
      </c>
      <c r="D803" s="185" t="s">
        <v>1875</v>
      </c>
      <c r="E803" s="188">
        <v>-67.15</v>
      </c>
      <c r="F803" s="183">
        <v>46170.0</v>
      </c>
      <c r="G803" s="185" t="s">
        <v>9</v>
      </c>
      <c r="H803" s="185" t="s">
        <v>53</v>
      </c>
      <c r="I803" s="317" t="s">
        <v>3812</v>
      </c>
    </row>
    <row r="804" ht="22.5" hidden="1" customHeight="1">
      <c r="A804" s="176" t="s">
        <v>3813</v>
      </c>
      <c r="B804" s="314" t="s">
        <v>1399</v>
      </c>
      <c r="C804" s="211">
        <v>1.0</v>
      </c>
      <c r="D804" s="185" t="s">
        <v>1602</v>
      </c>
      <c r="E804" s="188">
        <v>422.57</v>
      </c>
      <c r="F804" s="183">
        <v>46185.0</v>
      </c>
      <c r="G804" s="185" t="s">
        <v>9</v>
      </c>
      <c r="H804" s="185" t="s">
        <v>53</v>
      </c>
      <c r="I804" s="317"/>
    </row>
    <row r="805" ht="22.5" hidden="1" customHeight="1">
      <c r="A805" s="193"/>
      <c r="B805" s="194"/>
      <c r="C805" s="195"/>
      <c r="D805" s="194"/>
      <c r="E805" s="196">
        <f>SUM(E796:E804)</f>
        <v>584.92</v>
      </c>
      <c r="F805" s="193"/>
      <c r="G805" s="193"/>
      <c r="H805" s="193"/>
      <c r="I805" s="193"/>
    </row>
    <row r="806" hidden="1">
      <c r="A806" s="199"/>
      <c r="B806" s="200"/>
      <c r="C806" s="201"/>
      <c r="D806" s="200"/>
      <c r="E806" s="202"/>
      <c r="F806" s="199"/>
      <c r="G806" s="199"/>
      <c r="H806" s="199"/>
      <c r="I806" s="199"/>
    </row>
    <row r="807" hidden="1">
      <c r="A807" s="199"/>
      <c r="B807" s="200"/>
      <c r="C807" s="201"/>
      <c r="D807" s="203">
        <v>46188.0</v>
      </c>
      <c r="E807" s="202"/>
      <c r="F807" s="199"/>
      <c r="G807" s="199"/>
      <c r="H807" s="199"/>
      <c r="I807" s="199"/>
    </row>
    <row r="808" ht="22.5" hidden="1" customHeight="1">
      <c r="A808" s="175" t="s">
        <v>1467</v>
      </c>
      <c r="B808" s="175" t="s">
        <v>1477</v>
      </c>
      <c r="C808" s="175" t="s">
        <v>1478</v>
      </c>
      <c r="D808" s="175" t="s">
        <v>1479</v>
      </c>
      <c r="E808" s="175" t="s">
        <v>1481</v>
      </c>
      <c r="F808" s="175" t="s">
        <v>1483</v>
      </c>
      <c r="G808" s="175" t="s">
        <v>1484</v>
      </c>
      <c r="H808" s="175" t="s">
        <v>1486</v>
      </c>
      <c r="I808" s="175" t="s">
        <v>1489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22.5" hidden="1" customHeight="1">
      <c r="A809" s="176" t="s">
        <v>3814</v>
      </c>
      <c r="B809" s="387" t="s">
        <v>525</v>
      </c>
      <c r="C809" s="211">
        <v>1.0</v>
      </c>
      <c r="D809" s="185" t="s">
        <v>1602</v>
      </c>
      <c r="E809" s="188">
        <v>13.78</v>
      </c>
      <c r="F809" s="183">
        <v>46185.0</v>
      </c>
      <c r="G809" s="185" t="s">
        <v>8</v>
      </c>
      <c r="H809" s="185" t="s">
        <v>12</v>
      </c>
      <c r="I809" s="313"/>
    </row>
    <row r="810" ht="22.5" hidden="1" customHeight="1">
      <c r="A810" s="176" t="s">
        <v>3815</v>
      </c>
      <c r="B810" s="391" t="s">
        <v>3448</v>
      </c>
      <c r="C810" s="211">
        <v>1.0</v>
      </c>
      <c r="D810" s="185" t="s">
        <v>1602</v>
      </c>
      <c r="E810" s="188">
        <v>73.59</v>
      </c>
      <c r="F810" s="183">
        <v>46185.0</v>
      </c>
      <c r="G810" s="185" t="s">
        <v>8</v>
      </c>
      <c r="H810" s="185" t="s">
        <v>12</v>
      </c>
      <c r="I810" s="317"/>
    </row>
    <row r="811" ht="22.5" hidden="1" customHeight="1">
      <c r="A811" s="176" t="s">
        <v>3816</v>
      </c>
      <c r="B811" s="314" t="s">
        <v>86</v>
      </c>
      <c r="C811" s="211">
        <v>1.0</v>
      </c>
      <c r="D811" s="185" t="s">
        <v>1532</v>
      </c>
      <c r="E811" s="188"/>
      <c r="F811" s="183">
        <v>46187.0</v>
      </c>
      <c r="G811" s="185" t="s">
        <v>8</v>
      </c>
      <c r="H811" s="185" t="s">
        <v>11</v>
      </c>
      <c r="I811" s="317" t="s">
        <v>3817</v>
      </c>
    </row>
    <row r="812" ht="22.5" hidden="1" customHeight="1">
      <c r="A812" s="176" t="s">
        <v>3818</v>
      </c>
      <c r="B812" s="389" t="s">
        <v>3819</v>
      </c>
      <c r="C812" s="211">
        <v>1.0</v>
      </c>
      <c r="D812" s="185" t="s">
        <v>1602</v>
      </c>
      <c r="E812" s="188">
        <v>14.26</v>
      </c>
      <c r="F812" s="183">
        <v>46187.0</v>
      </c>
      <c r="G812" s="185" t="s">
        <v>9</v>
      </c>
      <c r="H812" s="185" t="s">
        <v>11</v>
      </c>
      <c r="I812" s="317"/>
    </row>
    <row r="813" ht="22.5" hidden="1" customHeight="1">
      <c r="A813" s="176" t="s">
        <v>3820</v>
      </c>
      <c r="B813" s="388" t="s">
        <v>3821</v>
      </c>
      <c r="C813" s="211">
        <v>1.0</v>
      </c>
      <c r="D813" s="185" t="s">
        <v>1602</v>
      </c>
      <c r="E813" s="188">
        <v>17.38</v>
      </c>
      <c r="F813" s="183">
        <v>46187.0</v>
      </c>
      <c r="G813" s="185" t="s">
        <v>9</v>
      </c>
      <c r="H813" s="185" t="s">
        <v>53</v>
      </c>
      <c r="I813" s="189"/>
    </row>
    <row r="814" ht="22.5" hidden="1" customHeight="1">
      <c r="A814" s="176" t="s">
        <v>3822</v>
      </c>
      <c r="B814" s="392" t="s">
        <v>825</v>
      </c>
      <c r="C814" s="211">
        <v>1.0</v>
      </c>
      <c r="D814" s="185" t="s">
        <v>1602</v>
      </c>
      <c r="E814" s="188">
        <v>53.31</v>
      </c>
      <c r="F814" s="183">
        <v>46188.0</v>
      </c>
      <c r="G814" s="185" t="s">
        <v>9</v>
      </c>
      <c r="H814" s="185" t="s">
        <v>351</v>
      </c>
      <c r="I814" s="317"/>
    </row>
    <row r="815" ht="22.5" hidden="1" customHeight="1">
      <c r="A815" s="176" t="s">
        <v>3823</v>
      </c>
      <c r="B815" s="387" t="s">
        <v>924</v>
      </c>
      <c r="C815" s="211">
        <v>1.0</v>
      </c>
      <c r="D815" s="185" t="s">
        <v>1602</v>
      </c>
      <c r="E815" s="188">
        <v>25.67</v>
      </c>
      <c r="F815" s="183">
        <v>46186.0</v>
      </c>
      <c r="G815" s="185" t="s">
        <v>9</v>
      </c>
      <c r="H815" s="185" t="s">
        <v>351</v>
      </c>
      <c r="I815" s="317"/>
    </row>
    <row r="816" ht="22.5" hidden="1" customHeight="1">
      <c r="A816" s="176" t="s">
        <v>3824</v>
      </c>
      <c r="B816" s="393">
        <v>5.304533221E9</v>
      </c>
      <c r="C816" s="211">
        <v>1.0</v>
      </c>
      <c r="D816" s="185" t="s">
        <v>1602</v>
      </c>
      <c r="E816" s="188">
        <v>27.95</v>
      </c>
      <c r="F816" s="183">
        <v>46185.0</v>
      </c>
      <c r="G816" s="185" t="s">
        <v>9</v>
      </c>
      <c r="H816" s="185" t="s">
        <v>351</v>
      </c>
      <c r="I816" s="317"/>
    </row>
    <row r="817" ht="22.5" hidden="1" customHeight="1">
      <c r="A817" s="193"/>
      <c r="B817" s="194"/>
      <c r="C817" s="195"/>
      <c r="D817" s="194"/>
      <c r="E817" s="196">
        <f>SUM(E809:E816)</f>
        <v>225.94</v>
      </c>
      <c r="F817" s="193"/>
      <c r="G817" s="193"/>
      <c r="H817" s="193"/>
      <c r="I817" s="193"/>
    </row>
    <row r="818" hidden="1">
      <c r="A818" s="199"/>
      <c r="B818" s="200"/>
      <c r="C818" s="201"/>
      <c r="D818" s="200"/>
      <c r="E818" s="202"/>
      <c r="F818" s="199"/>
      <c r="G818" s="199"/>
      <c r="H818" s="199"/>
      <c r="I818" s="199"/>
    </row>
    <row r="819" hidden="1">
      <c r="A819" s="199"/>
      <c r="B819" s="200"/>
      <c r="C819" s="201"/>
      <c r="D819" s="203">
        <v>46189.0</v>
      </c>
      <c r="E819" s="202"/>
      <c r="F819" s="199"/>
      <c r="G819" s="199"/>
      <c r="H819" s="199"/>
      <c r="I819" s="199"/>
    </row>
    <row r="820" ht="22.5" hidden="1" customHeight="1">
      <c r="A820" s="175" t="s">
        <v>1467</v>
      </c>
      <c r="B820" s="175" t="s">
        <v>1477</v>
      </c>
      <c r="C820" s="175" t="s">
        <v>1478</v>
      </c>
      <c r="D820" s="175" t="s">
        <v>1479</v>
      </c>
      <c r="E820" s="175" t="s">
        <v>1481</v>
      </c>
      <c r="F820" s="175" t="s">
        <v>1483</v>
      </c>
      <c r="G820" s="175" t="s">
        <v>1484</v>
      </c>
      <c r="H820" s="175" t="s">
        <v>1486</v>
      </c>
      <c r="I820" s="175" t="s">
        <v>1489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22.5" hidden="1" customHeight="1">
      <c r="A821" s="176" t="s">
        <v>3825</v>
      </c>
      <c r="B821" s="314" t="s">
        <v>3826</v>
      </c>
      <c r="C821" s="211">
        <v>1.0</v>
      </c>
      <c r="D821" s="185" t="s">
        <v>1532</v>
      </c>
      <c r="E821" s="188"/>
      <c r="F821" s="183">
        <v>46188.0</v>
      </c>
      <c r="G821" s="185" t="s">
        <v>9</v>
      </c>
      <c r="H821" s="185" t="s">
        <v>3557</v>
      </c>
      <c r="I821" s="317" t="s">
        <v>3827</v>
      </c>
    </row>
    <row r="822" ht="22.5" hidden="1" customHeight="1">
      <c r="A822" s="176" t="s">
        <v>3828</v>
      </c>
      <c r="B822" s="314" t="s">
        <v>2623</v>
      </c>
      <c r="C822" s="211">
        <v>1.0</v>
      </c>
      <c r="D822" s="185" t="s">
        <v>1532</v>
      </c>
      <c r="E822" s="188"/>
      <c r="F822" s="183">
        <v>46189.0</v>
      </c>
      <c r="G822" s="185" t="s">
        <v>9</v>
      </c>
      <c r="H822" s="185" t="s">
        <v>2243</v>
      </c>
      <c r="I822" s="317" t="s">
        <v>3829</v>
      </c>
    </row>
    <row r="823" ht="22.5" hidden="1" customHeight="1">
      <c r="A823" s="176" t="s">
        <v>3830</v>
      </c>
      <c r="B823" s="389">
        <v>2.41798233E8</v>
      </c>
      <c r="C823" s="211">
        <v>1.0</v>
      </c>
      <c r="D823" s="185" t="s">
        <v>1602</v>
      </c>
      <c r="E823" s="188">
        <v>57.38</v>
      </c>
      <c r="F823" s="183">
        <v>46186.0</v>
      </c>
      <c r="G823" s="185" t="s">
        <v>9</v>
      </c>
      <c r="H823" s="185" t="s">
        <v>1087</v>
      </c>
      <c r="I823" s="189"/>
    </row>
    <row r="824" ht="22.5" hidden="1" customHeight="1">
      <c r="A824" s="176" t="s">
        <v>3831</v>
      </c>
      <c r="B824" s="314" t="s">
        <v>405</v>
      </c>
      <c r="C824" s="211">
        <v>1.0</v>
      </c>
      <c r="D824" s="185" t="s">
        <v>1602</v>
      </c>
      <c r="E824" s="188">
        <v>40.87</v>
      </c>
      <c r="F824" s="183">
        <v>46188.0</v>
      </c>
      <c r="G824" s="185" t="s">
        <v>9</v>
      </c>
      <c r="H824" s="185" t="s">
        <v>1087</v>
      </c>
      <c r="I824" s="317"/>
    </row>
    <row r="825" ht="22.5" hidden="1" customHeight="1">
      <c r="A825" s="176" t="s">
        <v>3832</v>
      </c>
      <c r="B825" s="387" t="s">
        <v>3833</v>
      </c>
      <c r="C825" s="211">
        <v>1.0</v>
      </c>
      <c r="D825" s="185" t="s">
        <v>1602</v>
      </c>
      <c r="E825" s="188">
        <v>6.63</v>
      </c>
      <c r="F825" s="183">
        <v>46186.0</v>
      </c>
      <c r="G825" s="185" t="s">
        <v>9</v>
      </c>
      <c r="H825" s="185" t="s">
        <v>3530</v>
      </c>
      <c r="I825" s="317"/>
    </row>
    <row r="826" ht="22.5" hidden="1" customHeight="1">
      <c r="A826" s="176" t="s">
        <v>3834</v>
      </c>
      <c r="B826" s="388" t="s">
        <v>23</v>
      </c>
      <c r="C826" s="211">
        <v>1.0</v>
      </c>
      <c r="D826" s="185" t="s">
        <v>1602</v>
      </c>
      <c r="E826" s="188">
        <v>11.2</v>
      </c>
      <c r="F826" s="183">
        <v>46185.0</v>
      </c>
      <c r="G826" s="185" t="s">
        <v>9</v>
      </c>
      <c r="H826" s="185" t="s">
        <v>3557</v>
      </c>
      <c r="I826" s="317" t="s">
        <v>3835</v>
      </c>
    </row>
    <row r="827" ht="22.5" hidden="1" customHeight="1">
      <c r="A827" s="176" t="s">
        <v>3836</v>
      </c>
      <c r="B827" s="387" t="s">
        <v>1093</v>
      </c>
      <c r="C827" s="211">
        <v>2.0</v>
      </c>
      <c r="D827" s="185" t="s">
        <v>1602</v>
      </c>
      <c r="E827" s="188">
        <v>53.38</v>
      </c>
      <c r="F827" s="183">
        <v>46186.0</v>
      </c>
      <c r="G827" s="185" t="s">
        <v>9</v>
      </c>
      <c r="H827" s="185" t="s">
        <v>12</v>
      </c>
      <c r="I827" s="313"/>
    </row>
    <row r="828" ht="22.5" hidden="1" customHeight="1">
      <c r="A828" s="176" t="s">
        <v>3837</v>
      </c>
      <c r="B828" s="387" t="s">
        <v>3838</v>
      </c>
      <c r="C828" s="211">
        <v>1.0</v>
      </c>
      <c r="D828" s="185" t="s">
        <v>1602</v>
      </c>
      <c r="E828" s="188">
        <v>24.06</v>
      </c>
      <c r="F828" s="183">
        <v>46189.0</v>
      </c>
      <c r="G828" s="185" t="s">
        <v>9</v>
      </c>
      <c r="H828" s="185" t="s">
        <v>12</v>
      </c>
      <c r="I828" s="189"/>
    </row>
    <row r="829" ht="22.5" hidden="1" customHeight="1">
      <c r="A829" s="176" t="s">
        <v>3839</v>
      </c>
      <c r="B829" s="387" t="s">
        <v>3840</v>
      </c>
      <c r="C829" s="211">
        <v>1.0</v>
      </c>
      <c r="D829" s="185" t="s">
        <v>1602</v>
      </c>
      <c r="E829" s="188">
        <v>92.88</v>
      </c>
      <c r="F829" s="183">
        <v>46188.0</v>
      </c>
      <c r="G829" s="185" t="s">
        <v>9</v>
      </c>
      <c r="H829" s="185" t="s">
        <v>12</v>
      </c>
      <c r="I829" s="313"/>
    </row>
    <row r="830" ht="22.5" hidden="1" customHeight="1">
      <c r="A830" s="176" t="s">
        <v>3841</v>
      </c>
      <c r="B830" s="314" t="s">
        <v>826</v>
      </c>
      <c r="C830" s="211">
        <v>1.0</v>
      </c>
      <c r="D830" s="185" t="s">
        <v>1602</v>
      </c>
      <c r="E830" s="188">
        <v>32.12</v>
      </c>
      <c r="F830" s="183">
        <v>46188.0</v>
      </c>
      <c r="G830" s="185" t="s">
        <v>9</v>
      </c>
      <c r="H830" s="185" t="s">
        <v>12</v>
      </c>
      <c r="I830" s="317"/>
    </row>
    <row r="831" ht="22.5" hidden="1" customHeight="1">
      <c r="A831" s="176" t="s">
        <v>3842</v>
      </c>
      <c r="B831" s="391" t="s">
        <v>781</v>
      </c>
      <c r="C831" s="211">
        <v>1.0</v>
      </c>
      <c r="D831" s="185" t="s">
        <v>1602</v>
      </c>
      <c r="E831" s="188">
        <v>45.03</v>
      </c>
      <c r="F831" s="183">
        <v>46188.0</v>
      </c>
      <c r="G831" s="185" t="s">
        <v>8</v>
      </c>
      <c r="H831" s="185" t="s">
        <v>12</v>
      </c>
      <c r="I831" s="317"/>
    </row>
    <row r="832" ht="22.5" hidden="1" customHeight="1">
      <c r="A832" s="376" t="s">
        <v>3843</v>
      </c>
      <c r="B832" s="314">
        <v>5.304523779E9</v>
      </c>
      <c r="C832" s="211">
        <v>1.0</v>
      </c>
      <c r="D832" s="185" t="s">
        <v>1602</v>
      </c>
      <c r="E832" s="188">
        <v>89.28</v>
      </c>
      <c r="F832" s="183">
        <v>46189.0</v>
      </c>
      <c r="G832" s="185" t="s">
        <v>9</v>
      </c>
      <c r="H832" s="185" t="s">
        <v>12</v>
      </c>
      <c r="I832" s="317"/>
    </row>
    <row r="833" ht="22.5" hidden="1" customHeight="1">
      <c r="A833" s="176" t="s">
        <v>3844</v>
      </c>
      <c r="B833" s="388" t="s">
        <v>131</v>
      </c>
      <c r="C833" s="211">
        <v>1.0</v>
      </c>
      <c r="D833" s="185" t="s">
        <v>1602</v>
      </c>
      <c r="E833" s="188">
        <v>39.35</v>
      </c>
      <c r="F833" s="183">
        <v>46189.0</v>
      </c>
      <c r="G833" s="185" t="s">
        <v>8</v>
      </c>
      <c r="H833" s="185" t="s">
        <v>53</v>
      </c>
      <c r="I833" s="317"/>
    </row>
    <row r="834" ht="22.5" hidden="1" customHeight="1">
      <c r="A834" s="176" t="s">
        <v>3845</v>
      </c>
      <c r="B834" s="388" t="s">
        <v>1433</v>
      </c>
      <c r="C834" s="211">
        <v>1.0</v>
      </c>
      <c r="D834" s="185" t="s">
        <v>1602</v>
      </c>
      <c r="E834" s="188">
        <v>10.11</v>
      </c>
      <c r="F834" s="183">
        <v>46188.0</v>
      </c>
      <c r="G834" s="185" t="s">
        <v>9</v>
      </c>
      <c r="H834" s="185" t="s">
        <v>1133</v>
      </c>
      <c r="I834" s="317"/>
    </row>
    <row r="835" ht="22.5" hidden="1" customHeight="1">
      <c r="A835" s="176" t="s">
        <v>3846</v>
      </c>
      <c r="B835" s="388" t="s">
        <v>921</v>
      </c>
      <c r="C835" s="211">
        <v>1.0</v>
      </c>
      <c r="D835" s="185" t="s">
        <v>1602</v>
      </c>
      <c r="E835" s="188">
        <v>38.13</v>
      </c>
      <c r="F835" s="183">
        <v>46186.0</v>
      </c>
      <c r="G835" s="185" t="s">
        <v>9</v>
      </c>
      <c r="H835" s="185" t="s">
        <v>1133</v>
      </c>
      <c r="I835" s="189"/>
    </row>
    <row r="836" ht="22.5" hidden="1" customHeight="1">
      <c r="A836" s="176" t="s">
        <v>3847</v>
      </c>
      <c r="B836" s="388" t="s">
        <v>1699</v>
      </c>
      <c r="C836" s="211">
        <v>1.0</v>
      </c>
      <c r="D836" s="185" t="s">
        <v>1602</v>
      </c>
      <c r="E836" s="188">
        <v>27.73</v>
      </c>
      <c r="F836" s="183">
        <v>46189.0</v>
      </c>
      <c r="G836" s="185" t="s">
        <v>9</v>
      </c>
      <c r="H836" s="185" t="s">
        <v>1133</v>
      </c>
      <c r="I836" s="189"/>
    </row>
    <row r="837" ht="22.5" hidden="1" customHeight="1">
      <c r="A837" s="193"/>
      <c r="B837" s="194"/>
      <c r="C837" s="195"/>
      <c r="D837" s="194"/>
      <c r="E837" s="196">
        <f>SUM(E821:E836)</f>
        <v>568.15</v>
      </c>
      <c r="F837" s="193"/>
      <c r="G837" s="193"/>
      <c r="H837" s="193"/>
      <c r="I837" s="193"/>
    </row>
    <row r="838" hidden="1">
      <c r="A838" s="199"/>
      <c r="B838" s="200"/>
      <c r="C838" s="201"/>
      <c r="D838" s="200"/>
      <c r="E838" s="202"/>
      <c r="F838" s="199"/>
      <c r="G838" s="199"/>
      <c r="H838" s="199"/>
      <c r="I838" s="199"/>
    </row>
    <row r="839" hidden="1">
      <c r="A839" s="199"/>
      <c r="B839" s="200"/>
      <c r="C839" s="201"/>
      <c r="D839" s="203">
        <v>46190.0</v>
      </c>
      <c r="E839" s="202"/>
      <c r="F839" s="199"/>
      <c r="G839" s="199"/>
      <c r="H839" s="199"/>
      <c r="I839" s="199"/>
    </row>
    <row r="840" ht="22.5" hidden="1" customHeight="1">
      <c r="A840" s="175" t="s">
        <v>1467</v>
      </c>
      <c r="B840" s="175" t="s">
        <v>1477</v>
      </c>
      <c r="C840" s="175" t="s">
        <v>1478</v>
      </c>
      <c r="D840" s="175" t="s">
        <v>1479</v>
      </c>
      <c r="E840" s="175" t="s">
        <v>1481</v>
      </c>
      <c r="F840" s="175" t="s">
        <v>1483</v>
      </c>
      <c r="G840" s="175" t="s">
        <v>1484</v>
      </c>
      <c r="H840" s="175" t="s">
        <v>1486</v>
      </c>
      <c r="I840" s="175" t="s">
        <v>1489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22.5" hidden="1" customHeight="1">
      <c r="A841" s="176" t="s">
        <v>3848</v>
      </c>
      <c r="B841" s="394" t="s">
        <v>3849</v>
      </c>
      <c r="C841" s="211">
        <v>1.0</v>
      </c>
      <c r="D841" s="185" t="s">
        <v>1602</v>
      </c>
      <c r="E841" s="188">
        <v>53.82</v>
      </c>
      <c r="F841" s="183">
        <v>46190.0</v>
      </c>
      <c r="G841" s="185" t="s">
        <v>9</v>
      </c>
      <c r="H841" s="185" t="s">
        <v>53</v>
      </c>
      <c r="I841" s="189"/>
    </row>
    <row r="842" ht="22.5" hidden="1" customHeight="1">
      <c r="A842" s="176" t="s">
        <v>3850</v>
      </c>
      <c r="B842" s="394">
        <v>5.304538662E9</v>
      </c>
      <c r="C842" s="211">
        <v>1.0</v>
      </c>
      <c r="D842" s="185" t="s">
        <v>1602</v>
      </c>
      <c r="E842" s="188">
        <v>18.51</v>
      </c>
      <c r="F842" s="183">
        <v>46189.0</v>
      </c>
      <c r="G842" s="185" t="s">
        <v>9</v>
      </c>
      <c r="H842" s="185" t="s">
        <v>53</v>
      </c>
      <c r="I842" s="317"/>
    </row>
    <row r="843" ht="22.5" hidden="1" customHeight="1">
      <c r="A843" s="176" t="s">
        <v>3851</v>
      </c>
      <c r="B843" s="394" t="s">
        <v>3852</v>
      </c>
      <c r="C843" s="211">
        <v>1.0</v>
      </c>
      <c r="D843" s="185" t="s">
        <v>1602</v>
      </c>
      <c r="E843" s="188">
        <v>42.39</v>
      </c>
      <c r="F843" s="183">
        <v>46189.0</v>
      </c>
      <c r="G843" s="185" t="s">
        <v>9</v>
      </c>
      <c r="H843" s="185" t="s">
        <v>53</v>
      </c>
      <c r="I843" s="317"/>
    </row>
    <row r="844" ht="22.5" hidden="1" customHeight="1">
      <c r="A844" s="176" t="s">
        <v>3853</v>
      </c>
      <c r="B844" s="394" t="s">
        <v>3854</v>
      </c>
      <c r="C844" s="211">
        <v>1.0</v>
      </c>
      <c r="D844" s="185" t="s">
        <v>3475</v>
      </c>
      <c r="E844" s="188">
        <v>-108.52</v>
      </c>
      <c r="F844" s="183">
        <v>46190.0</v>
      </c>
      <c r="G844" s="185" t="s">
        <v>9</v>
      </c>
      <c r="H844" s="185" t="s">
        <v>53</v>
      </c>
      <c r="I844" s="189"/>
    </row>
    <row r="845" ht="22.5" hidden="1" customHeight="1">
      <c r="A845" s="395" t="s">
        <v>3855</v>
      </c>
      <c r="B845" s="396" t="s">
        <v>3856</v>
      </c>
      <c r="C845" s="211">
        <v>1.0</v>
      </c>
      <c r="D845" s="185" t="s">
        <v>1602</v>
      </c>
      <c r="E845" s="188">
        <v>68.25</v>
      </c>
      <c r="F845" s="183">
        <v>46190.0</v>
      </c>
      <c r="G845" s="185" t="s">
        <v>8</v>
      </c>
      <c r="H845" s="185" t="s">
        <v>12</v>
      </c>
      <c r="I845" s="313"/>
    </row>
    <row r="846" ht="22.5" hidden="1" customHeight="1">
      <c r="A846" s="176" t="s">
        <v>3857</v>
      </c>
      <c r="B846" s="397" t="s">
        <v>833</v>
      </c>
      <c r="C846" s="211">
        <v>1.0</v>
      </c>
      <c r="D846" s="185" t="s">
        <v>1602</v>
      </c>
      <c r="E846" s="188">
        <v>66.92</v>
      </c>
      <c r="F846" s="183">
        <v>46190.0</v>
      </c>
      <c r="G846" s="185" t="s">
        <v>9</v>
      </c>
      <c r="H846" s="185" t="s">
        <v>12</v>
      </c>
      <c r="I846" s="317"/>
    </row>
    <row r="847" ht="22.5" hidden="1" customHeight="1">
      <c r="A847" s="176" t="s">
        <v>3858</v>
      </c>
      <c r="B847" s="397" t="s">
        <v>2715</v>
      </c>
      <c r="C847" s="211">
        <v>1.0</v>
      </c>
      <c r="D847" s="185" t="s">
        <v>1602</v>
      </c>
      <c r="E847" s="188">
        <v>58.23</v>
      </c>
      <c r="F847" s="183">
        <v>46189.0</v>
      </c>
      <c r="G847" s="185" t="s">
        <v>8</v>
      </c>
      <c r="H847" s="185" t="s">
        <v>12</v>
      </c>
      <c r="I847" s="317"/>
    </row>
    <row r="848" ht="22.5" hidden="1" customHeight="1">
      <c r="A848" s="176" t="s">
        <v>3859</v>
      </c>
      <c r="B848" s="398" t="s">
        <v>394</v>
      </c>
      <c r="C848" s="211">
        <v>1.0</v>
      </c>
      <c r="D848" s="185" t="s">
        <v>1602</v>
      </c>
      <c r="E848" s="188">
        <v>34.43</v>
      </c>
      <c r="F848" s="183">
        <v>46190.0</v>
      </c>
      <c r="G848" s="185" t="s">
        <v>9</v>
      </c>
      <c r="H848" s="185" t="s">
        <v>12</v>
      </c>
      <c r="I848" s="189"/>
    </row>
    <row r="849" ht="22.5" hidden="1" customHeight="1">
      <c r="A849" s="176" t="s">
        <v>3860</v>
      </c>
      <c r="B849" s="396" t="s">
        <v>415</v>
      </c>
      <c r="C849" s="211">
        <v>1.0</v>
      </c>
      <c r="D849" s="185" t="s">
        <v>1602</v>
      </c>
      <c r="E849" s="188">
        <v>13.58</v>
      </c>
      <c r="F849" s="183">
        <v>46190.0</v>
      </c>
      <c r="G849" s="185" t="s">
        <v>8</v>
      </c>
      <c r="H849" s="185" t="s">
        <v>11</v>
      </c>
      <c r="I849" s="317"/>
    </row>
    <row r="850" ht="22.5" hidden="1" customHeight="1">
      <c r="A850" s="193"/>
      <c r="B850" s="194"/>
      <c r="C850" s="195"/>
      <c r="D850" s="194"/>
      <c r="E850" s="196">
        <f>SUM(E841:E849)</f>
        <v>247.61</v>
      </c>
      <c r="F850" s="193"/>
      <c r="G850" s="193"/>
      <c r="H850" s="193"/>
      <c r="I850" s="193"/>
    </row>
    <row r="851" hidden="1">
      <c r="A851" s="199"/>
      <c r="B851" s="200"/>
      <c r="C851" s="201"/>
      <c r="D851" s="200"/>
      <c r="E851" s="202"/>
      <c r="F851" s="199"/>
      <c r="G851" s="199"/>
      <c r="H851" s="199"/>
      <c r="I851" s="199"/>
    </row>
    <row r="852" hidden="1">
      <c r="A852" s="199"/>
      <c r="B852" s="200"/>
      <c r="C852" s="201"/>
      <c r="D852" s="203">
        <v>46191.0</v>
      </c>
      <c r="E852" s="202"/>
      <c r="F852" s="199"/>
      <c r="G852" s="199"/>
      <c r="H852" s="199"/>
      <c r="I852" s="199"/>
    </row>
    <row r="853" ht="22.5" hidden="1" customHeight="1">
      <c r="A853" s="175" t="s">
        <v>1467</v>
      </c>
      <c r="B853" s="175" t="s">
        <v>1477</v>
      </c>
      <c r="C853" s="175" t="s">
        <v>1478</v>
      </c>
      <c r="D853" s="175" t="s">
        <v>1479</v>
      </c>
      <c r="E853" s="175" t="s">
        <v>1481</v>
      </c>
      <c r="F853" s="175" t="s">
        <v>1483</v>
      </c>
      <c r="G853" s="175" t="s">
        <v>1484</v>
      </c>
      <c r="H853" s="175" t="s">
        <v>1486</v>
      </c>
      <c r="I853" s="175" t="s">
        <v>1489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22.5" hidden="1" customHeight="1">
      <c r="A854" s="176" t="s">
        <v>3861</v>
      </c>
      <c r="B854" s="391" t="s">
        <v>2810</v>
      </c>
      <c r="C854" s="211">
        <v>1.0</v>
      </c>
      <c r="D854" s="185" t="s">
        <v>1602</v>
      </c>
      <c r="E854" s="188">
        <v>175.56</v>
      </c>
      <c r="F854" s="183">
        <v>46189.0</v>
      </c>
      <c r="G854" s="185" t="s">
        <v>9</v>
      </c>
      <c r="H854" s="185" t="s">
        <v>3557</v>
      </c>
      <c r="I854" s="317" t="s">
        <v>3862</v>
      </c>
    </row>
    <row r="855" ht="22.5" hidden="1" customHeight="1">
      <c r="A855" s="176" t="s">
        <v>3863</v>
      </c>
      <c r="B855" s="399" t="s">
        <v>3864</v>
      </c>
      <c r="C855" s="211">
        <v>1.0</v>
      </c>
      <c r="D855" s="185" t="s">
        <v>1602</v>
      </c>
      <c r="E855" s="188">
        <v>41.99</v>
      </c>
      <c r="F855" s="183">
        <v>46190.0</v>
      </c>
      <c r="G855" s="185" t="s">
        <v>9</v>
      </c>
      <c r="H855" s="185" t="s">
        <v>12</v>
      </c>
      <c r="I855" s="189"/>
    </row>
    <row r="856" ht="22.5" hidden="1" customHeight="1">
      <c r="A856" s="176" t="s">
        <v>3865</v>
      </c>
      <c r="B856" s="177" t="s">
        <v>402</v>
      </c>
      <c r="C856" s="211">
        <v>1.0</v>
      </c>
      <c r="D856" s="185" t="s">
        <v>1602</v>
      </c>
      <c r="E856" s="188">
        <v>149.19</v>
      </c>
      <c r="F856" s="183">
        <v>46190.0</v>
      </c>
      <c r="G856" s="185" t="s">
        <v>9</v>
      </c>
      <c r="H856" s="185" t="s">
        <v>351</v>
      </c>
      <c r="I856" s="317"/>
    </row>
    <row r="857" ht="22.5" hidden="1" customHeight="1">
      <c r="A857" s="176" t="s">
        <v>3866</v>
      </c>
      <c r="B857" s="400" t="s">
        <v>3867</v>
      </c>
      <c r="C857" s="211">
        <v>1.0</v>
      </c>
      <c r="D857" s="185" t="s">
        <v>1602</v>
      </c>
      <c r="E857" s="188">
        <v>30.0</v>
      </c>
      <c r="F857" s="183">
        <v>46190.0</v>
      </c>
      <c r="G857" s="185" t="s">
        <v>9</v>
      </c>
      <c r="H857" s="185" t="s">
        <v>53</v>
      </c>
      <c r="I857" s="317"/>
    </row>
    <row r="858" ht="22.5" hidden="1" customHeight="1">
      <c r="A858" s="176" t="s">
        <v>3868</v>
      </c>
      <c r="B858" s="400" t="s">
        <v>3869</v>
      </c>
      <c r="C858" s="211">
        <v>1.0</v>
      </c>
      <c r="D858" s="185" t="s">
        <v>3475</v>
      </c>
      <c r="E858" s="188">
        <v>-108.52</v>
      </c>
      <c r="F858" s="183">
        <v>46191.0</v>
      </c>
      <c r="G858" s="185" t="s">
        <v>9</v>
      </c>
      <c r="H858" s="185" t="s">
        <v>53</v>
      </c>
      <c r="I858" s="189"/>
    </row>
    <row r="859" ht="22.5" hidden="1" customHeight="1">
      <c r="A859" s="176" t="s">
        <v>3870</v>
      </c>
      <c r="B859" s="177">
        <v>5.304538611E9</v>
      </c>
      <c r="C859" s="211">
        <v>1.0</v>
      </c>
      <c r="D859" s="185" t="s">
        <v>3475</v>
      </c>
      <c r="E859" s="188">
        <v>-86.45</v>
      </c>
      <c r="F859" s="183">
        <v>46191.0</v>
      </c>
      <c r="G859" s="185" t="s">
        <v>8</v>
      </c>
      <c r="H859" s="185" t="s">
        <v>12</v>
      </c>
      <c r="I859" s="313"/>
    </row>
    <row r="860" ht="22.5" hidden="1" customHeight="1">
      <c r="A860" s="176" t="s">
        <v>3871</v>
      </c>
      <c r="B860" s="314" t="s">
        <v>1345</v>
      </c>
      <c r="C860" s="211">
        <v>1.0</v>
      </c>
      <c r="D860" s="185" t="s">
        <v>1602</v>
      </c>
      <c r="E860" s="188">
        <v>45.76</v>
      </c>
      <c r="F860" s="183">
        <v>46191.0</v>
      </c>
      <c r="G860" s="185" t="s">
        <v>9</v>
      </c>
      <c r="H860" s="185" t="s">
        <v>1087</v>
      </c>
      <c r="I860" s="317"/>
    </row>
    <row r="861" ht="22.5" hidden="1" customHeight="1">
      <c r="A861" s="176" t="s">
        <v>3872</v>
      </c>
      <c r="B861" s="400" t="s">
        <v>3873</v>
      </c>
      <c r="C861" s="211">
        <v>1.0</v>
      </c>
      <c r="D861" s="185" t="s">
        <v>1602</v>
      </c>
      <c r="E861" s="188">
        <v>34.18</v>
      </c>
      <c r="F861" s="183">
        <v>46191.0</v>
      </c>
      <c r="G861" s="185" t="s">
        <v>9</v>
      </c>
      <c r="H861" s="185" t="s">
        <v>53</v>
      </c>
      <c r="I861" s="317"/>
    </row>
    <row r="862" ht="22.5" hidden="1" customHeight="1">
      <c r="A862" s="193"/>
      <c r="B862" s="194"/>
      <c r="C862" s="195"/>
      <c r="D862" s="194"/>
      <c r="E862" s="196">
        <f>SUM(E854:E861)</f>
        <v>281.71</v>
      </c>
      <c r="F862" s="193"/>
      <c r="G862" s="193"/>
      <c r="H862" s="193"/>
      <c r="I862" s="193"/>
    </row>
    <row r="863" hidden="1">
      <c r="A863" s="199"/>
      <c r="B863" s="200"/>
      <c r="C863" s="201"/>
      <c r="D863" s="200"/>
      <c r="E863" s="202"/>
      <c r="F863" s="199"/>
      <c r="G863" s="199"/>
      <c r="H863" s="199"/>
      <c r="I863" s="199"/>
    </row>
    <row r="864" hidden="1">
      <c r="A864" s="199"/>
      <c r="B864" s="200"/>
      <c r="C864" s="201"/>
      <c r="D864" s="203">
        <v>46192.0</v>
      </c>
      <c r="E864" s="202"/>
      <c r="F864" s="199"/>
      <c r="G864" s="199"/>
      <c r="H864" s="199"/>
      <c r="I864" s="199"/>
    </row>
    <row r="865" ht="22.5" hidden="1" customHeight="1">
      <c r="A865" s="175" t="s">
        <v>1467</v>
      </c>
      <c r="B865" s="175" t="s">
        <v>1477</v>
      </c>
      <c r="C865" s="175" t="s">
        <v>1478</v>
      </c>
      <c r="D865" s="175" t="s">
        <v>1479</v>
      </c>
      <c r="E865" s="175" t="s">
        <v>1481</v>
      </c>
      <c r="F865" s="175" t="s">
        <v>1483</v>
      </c>
      <c r="G865" s="175" t="s">
        <v>1484</v>
      </c>
      <c r="H865" s="175" t="s">
        <v>1486</v>
      </c>
      <c r="I865" s="175" t="s">
        <v>1489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22.5" hidden="1" customHeight="1">
      <c r="A866" s="176" t="s">
        <v>3874</v>
      </c>
      <c r="B866" s="367" t="s">
        <v>1116</v>
      </c>
      <c r="C866" s="211">
        <v>1.0</v>
      </c>
      <c r="D866" s="185" t="s">
        <v>1602</v>
      </c>
      <c r="E866" s="188">
        <v>60.91</v>
      </c>
      <c r="F866" s="183">
        <v>46191.0</v>
      </c>
      <c r="G866" s="185" t="s">
        <v>9</v>
      </c>
      <c r="H866" s="185" t="s">
        <v>12</v>
      </c>
      <c r="I866" s="189"/>
    </row>
    <row r="867" ht="22.5" hidden="1" customHeight="1">
      <c r="A867" s="176" t="s">
        <v>3875</v>
      </c>
      <c r="B867" s="318" t="s">
        <v>3876</v>
      </c>
      <c r="C867" s="211">
        <v>1.0</v>
      </c>
      <c r="D867" s="185" t="s">
        <v>1602</v>
      </c>
      <c r="E867" s="188">
        <v>69.08</v>
      </c>
      <c r="F867" s="183">
        <v>46191.0</v>
      </c>
      <c r="G867" s="185" t="s">
        <v>9</v>
      </c>
      <c r="H867" s="185" t="s">
        <v>11</v>
      </c>
      <c r="I867" s="317"/>
    </row>
    <row r="868" ht="22.5" hidden="1" customHeight="1">
      <c r="A868" s="401" t="s">
        <v>3877</v>
      </c>
      <c r="B868" s="314" t="s">
        <v>2394</v>
      </c>
      <c r="C868" s="211">
        <v>1.0</v>
      </c>
      <c r="D868" s="185" t="s">
        <v>1602</v>
      </c>
      <c r="E868" s="188">
        <v>27.67</v>
      </c>
      <c r="F868" s="183">
        <v>46192.0</v>
      </c>
      <c r="G868" s="185" t="s">
        <v>9</v>
      </c>
      <c r="H868" s="185" t="s">
        <v>3380</v>
      </c>
      <c r="I868" s="317"/>
    </row>
    <row r="869" ht="22.5" hidden="1" customHeight="1">
      <c r="A869" s="176" t="s">
        <v>3878</v>
      </c>
      <c r="B869" s="177" t="s">
        <v>584</v>
      </c>
      <c r="C869" s="211">
        <v>1.0</v>
      </c>
      <c r="D869" s="185" t="s">
        <v>1875</v>
      </c>
      <c r="E869" s="188">
        <v>-48.9</v>
      </c>
      <c r="F869" s="183">
        <v>46192.0</v>
      </c>
      <c r="G869" s="185" t="s">
        <v>8</v>
      </c>
      <c r="H869" s="185" t="s">
        <v>12</v>
      </c>
      <c r="I869" s="189"/>
    </row>
    <row r="870" ht="22.5" hidden="1" customHeight="1">
      <c r="A870" s="176" t="s">
        <v>3879</v>
      </c>
      <c r="B870" s="318" t="s">
        <v>3880</v>
      </c>
      <c r="C870" s="211">
        <v>1.0</v>
      </c>
      <c r="D870" s="185" t="s">
        <v>1602</v>
      </c>
      <c r="E870" s="188">
        <v>104.69</v>
      </c>
      <c r="F870" s="183">
        <v>46192.0</v>
      </c>
      <c r="G870" s="185" t="s">
        <v>9</v>
      </c>
      <c r="H870" s="185" t="s">
        <v>11</v>
      </c>
      <c r="I870" s="313"/>
    </row>
    <row r="871" ht="22.5" hidden="1" customHeight="1">
      <c r="A871" s="193"/>
      <c r="B871" s="194"/>
      <c r="C871" s="195"/>
      <c r="D871" s="194"/>
      <c r="E871" s="196">
        <f>SUM(E866:E870)</f>
        <v>213.45</v>
      </c>
      <c r="F871" s="193"/>
      <c r="G871" s="193"/>
      <c r="H871" s="193"/>
      <c r="I871" s="193"/>
    </row>
    <row r="872" hidden="1">
      <c r="A872" s="199"/>
      <c r="B872" s="200"/>
      <c r="C872" s="201"/>
      <c r="D872" s="200"/>
      <c r="E872" s="202"/>
      <c r="F872" s="199"/>
      <c r="G872" s="199"/>
      <c r="H872" s="199"/>
      <c r="I872" s="199"/>
    </row>
    <row r="873" hidden="1">
      <c r="A873" s="199"/>
      <c r="B873" s="200"/>
      <c r="C873" s="201"/>
      <c r="D873" s="203">
        <v>46195.0</v>
      </c>
      <c r="E873" s="202"/>
      <c r="F873" s="199"/>
      <c r="G873" s="199"/>
      <c r="H873" s="199"/>
      <c r="I873" s="199"/>
    </row>
    <row r="874" ht="22.5" hidden="1" customHeight="1">
      <c r="A874" s="175" t="s">
        <v>1467</v>
      </c>
      <c r="B874" s="175" t="s">
        <v>1477</v>
      </c>
      <c r="C874" s="175" t="s">
        <v>1478</v>
      </c>
      <c r="D874" s="175" t="s">
        <v>1479</v>
      </c>
      <c r="E874" s="175" t="s">
        <v>1481</v>
      </c>
      <c r="F874" s="175" t="s">
        <v>1483</v>
      </c>
      <c r="G874" s="175" t="s">
        <v>1484</v>
      </c>
      <c r="H874" s="175" t="s">
        <v>1486</v>
      </c>
      <c r="I874" s="175" t="s">
        <v>1489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22.5" hidden="1" customHeight="1">
      <c r="A875" s="176" t="s">
        <v>3881</v>
      </c>
      <c r="B875" s="367" t="s">
        <v>2438</v>
      </c>
      <c r="C875" s="211">
        <v>1.0</v>
      </c>
      <c r="D875" s="185" t="s">
        <v>1602</v>
      </c>
      <c r="E875" s="188">
        <v>44.96</v>
      </c>
      <c r="F875" s="183">
        <v>46193.0</v>
      </c>
      <c r="G875" s="185" t="s">
        <v>9</v>
      </c>
      <c r="H875" s="185" t="s">
        <v>3380</v>
      </c>
      <c r="I875" s="189"/>
    </row>
    <row r="876" ht="22.5" hidden="1" customHeight="1">
      <c r="A876" s="176" t="s">
        <v>3882</v>
      </c>
      <c r="B876" s="318" t="s">
        <v>1839</v>
      </c>
      <c r="C876" s="211">
        <v>1.0</v>
      </c>
      <c r="D876" s="185" t="s">
        <v>1602</v>
      </c>
      <c r="E876" s="188">
        <v>82.18</v>
      </c>
      <c r="F876" s="183">
        <v>46194.0</v>
      </c>
      <c r="G876" s="185" t="s">
        <v>9</v>
      </c>
      <c r="H876" s="185" t="s">
        <v>12</v>
      </c>
      <c r="I876" s="317"/>
    </row>
    <row r="877" ht="22.5" hidden="1" customHeight="1">
      <c r="A877" s="176" t="s">
        <v>3883</v>
      </c>
      <c r="B877" s="314" t="s">
        <v>584</v>
      </c>
      <c r="C877" s="211">
        <v>1.0</v>
      </c>
      <c r="D877" s="185" t="s">
        <v>1602</v>
      </c>
      <c r="E877" s="188">
        <v>39.97</v>
      </c>
      <c r="F877" s="183">
        <v>46194.0</v>
      </c>
      <c r="G877" s="185" t="s">
        <v>9</v>
      </c>
      <c r="H877" s="185" t="s">
        <v>12</v>
      </c>
      <c r="I877" s="317"/>
    </row>
    <row r="878" ht="22.5" hidden="1" customHeight="1">
      <c r="A878" s="176" t="s">
        <v>3884</v>
      </c>
      <c r="B878" s="177" t="s">
        <v>584</v>
      </c>
      <c r="C878" s="211">
        <v>1.0</v>
      </c>
      <c r="D878" s="185" t="s">
        <v>1602</v>
      </c>
      <c r="E878" s="188">
        <v>48.87</v>
      </c>
      <c r="F878" s="183">
        <v>46192.0</v>
      </c>
      <c r="G878" s="185" t="s">
        <v>9</v>
      </c>
      <c r="H878" s="185" t="s">
        <v>12</v>
      </c>
      <c r="I878" s="189"/>
    </row>
    <row r="879" ht="22.5" hidden="1" customHeight="1">
      <c r="A879" s="176" t="s">
        <v>3885</v>
      </c>
      <c r="B879" s="318" t="s">
        <v>3886</v>
      </c>
      <c r="C879" s="211">
        <v>1.0</v>
      </c>
      <c r="D879" s="185" t="s">
        <v>1602</v>
      </c>
      <c r="E879" s="188">
        <v>125.7</v>
      </c>
      <c r="F879" s="183">
        <v>46192.0</v>
      </c>
      <c r="G879" s="185" t="s">
        <v>9</v>
      </c>
      <c r="H879" s="185" t="s">
        <v>12</v>
      </c>
      <c r="I879" s="313"/>
    </row>
    <row r="880" ht="22.5" hidden="1" customHeight="1">
      <c r="A880" s="176" t="s">
        <v>3887</v>
      </c>
      <c r="B880" s="314" t="s">
        <v>1779</v>
      </c>
      <c r="C880" s="211">
        <v>1.0</v>
      </c>
      <c r="D880" s="185" t="s">
        <v>1532</v>
      </c>
      <c r="E880" s="188"/>
      <c r="F880" s="183">
        <v>46192.0</v>
      </c>
      <c r="G880" s="185" t="s">
        <v>8</v>
      </c>
      <c r="H880" s="185" t="s">
        <v>12</v>
      </c>
      <c r="I880" s="317" t="s">
        <v>3888</v>
      </c>
    </row>
    <row r="881" ht="22.5" hidden="1" customHeight="1">
      <c r="A881" s="176" t="s">
        <v>3889</v>
      </c>
      <c r="B881" s="388" t="s">
        <v>3890</v>
      </c>
      <c r="C881" s="211">
        <v>1.0</v>
      </c>
      <c r="D881" s="185" t="s">
        <v>1602</v>
      </c>
      <c r="E881" s="188">
        <v>125.7</v>
      </c>
      <c r="F881" s="183">
        <v>46192.0</v>
      </c>
      <c r="G881" s="185" t="s">
        <v>9</v>
      </c>
      <c r="H881" s="185" t="s">
        <v>1133</v>
      </c>
      <c r="I881" s="317"/>
    </row>
    <row r="882" ht="22.5" hidden="1" customHeight="1">
      <c r="A882" s="176" t="s">
        <v>3891</v>
      </c>
      <c r="B882" s="314" t="s">
        <v>3892</v>
      </c>
      <c r="C882" s="211">
        <v>1.0</v>
      </c>
      <c r="D882" s="185" t="s">
        <v>1602</v>
      </c>
      <c r="E882" s="188">
        <v>39.97</v>
      </c>
      <c r="F882" s="183">
        <v>46194.0</v>
      </c>
      <c r="G882" s="185" t="s">
        <v>9</v>
      </c>
      <c r="H882" s="185" t="s">
        <v>1087</v>
      </c>
      <c r="I882" s="317"/>
    </row>
    <row r="883" ht="22.5" hidden="1" customHeight="1">
      <c r="A883" s="176" t="s">
        <v>3893</v>
      </c>
      <c r="B883" s="367" t="s">
        <v>1354</v>
      </c>
      <c r="C883" s="211">
        <v>1.0</v>
      </c>
      <c r="D883" s="185" t="s">
        <v>1532</v>
      </c>
      <c r="E883" s="188"/>
      <c r="F883" s="183">
        <v>46194.0</v>
      </c>
      <c r="G883" s="185" t="s">
        <v>9</v>
      </c>
      <c r="H883" s="185" t="s">
        <v>1356</v>
      </c>
      <c r="I883" s="317" t="s">
        <v>3808</v>
      </c>
    </row>
    <row r="884" ht="22.5" hidden="1" customHeight="1">
      <c r="A884" s="176" t="s">
        <v>3894</v>
      </c>
      <c r="B884" s="402" t="s">
        <v>3895</v>
      </c>
      <c r="C884" s="211">
        <v>1.0</v>
      </c>
      <c r="D884" s="185" t="s">
        <v>3475</v>
      </c>
      <c r="E884" s="188">
        <v>-116.68</v>
      </c>
      <c r="F884" s="183">
        <v>46183.0</v>
      </c>
      <c r="G884" s="185" t="s">
        <v>9</v>
      </c>
      <c r="H884" s="185" t="s">
        <v>53</v>
      </c>
      <c r="I884" s="189"/>
    </row>
    <row r="885" ht="22.5" hidden="1" customHeight="1">
      <c r="B885" s="194"/>
      <c r="C885" s="195"/>
      <c r="D885" s="194"/>
      <c r="E885" s="196">
        <f>SUM(E875:E884)</f>
        <v>390.67</v>
      </c>
      <c r="F885" s="193"/>
      <c r="G885" s="193"/>
      <c r="H885" s="193"/>
      <c r="I885" s="193"/>
    </row>
    <row r="886" hidden="1">
      <c r="A886" s="199"/>
      <c r="B886" s="200"/>
      <c r="C886" s="201"/>
      <c r="D886" s="200"/>
      <c r="E886" s="202"/>
      <c r="F886" s="199"/>
      <c r="G886" s="199"/>
      <c r="H886" s="199"/>
      <c r="I886" s="199"/>
    </row>
    <row r="887" hidden="1">
      <c r="A887" s="199"/>
      <c r="B887" s="200"/>
      <c r="C887" s="201"/>
      <c r="D887" s="203">
        <v>46196.0</v>
      </c>
      <c r="E887" s="202"/>
      <c r="F887" s="199"/>
      <c r="G887" s="199"/>
      <c r="H887" s="199"/>
      <c r="I887" s="199"/>
    </row>
    <row r="888" ht="22.5" hidden="1" customHeight="1">
      <c r="A888" s="175" t="s">
        <v>1467</v>
      </c>
      <c r="B888" s="175" t="s">
        <v>1477</v>
      </c>
      <c r="C888" s="175" t="s">
        <v>1478</v>
      </c>
      <c r="D888" s="175" t="s">
        <v>1479</v>
      </c>
      <c r="E888" s="175" t="s">
        <v>1481</v>
      </c>
      <c r="F888" s="175" t="s">
        <v>1483</v>
      </c>
      <c r="G888" s="175" t="s">
        <v>1484</v>
      </c>
      <c r="H888" s="175" t="s">
        <v>1486</v>
      </c>
      <c r="I888" s="175" t="s">
        <v>1489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22.5" hidden="1" customHeight="1">
      <c r="A889" s="176" t="s">
        <v>3896</v>
      </c>
      <c r="B889" s="403">
        <v>8.07032601E8</v>
      </c>
      <c r="C889" s="211">
        <v>1.0</v>
      </c>
      <c r="D889" s="185" t="s">
        <v>1602</v>
      </c>
      <c r="E889" s="188">
        <v>18.05</v>
      </c>
      <c r="F889" s="183">
        <v>46195.0</v>
      </c>
      <c r="G889" s="185" t="s">
        <v>9</v>
      </c>
      <c r="H889" s="185" t="s">
        <v>53</v>
      </c>
      <c r="I889" s="189"/>
    </row>
    <row r="890" ht="22.5" hidden="1" customHeight="1">
      <c r="A890" s="176" t="s">
        <v>3897</v>
      </c>
      <c r="B890" s="404" t="s">
        <v>3193</v>
      </c>
      <c r="C890" s="211">
        <v>1.0</v>
      </c>
      <c r="D890" s="185" t="s">
        <v>1602</v>
      </c>
      <c r="E890" s="188">
        <v>15.26</v>
      </c>
      <c r="F890" s="183">
        <v>46196.0</v>
      </c>
      <c r="G890" s="185" t="s">
        <v>9</v>
      </c>
      <c r="H890" s="185" t="s">
        <v>53</v>
      </c>
      <c r="I890" s="317"/>
    </row>
    <row r="891" ht="22.5" hidden="1" customHeight="1">
      <c r="A891" s="176" t="s">
        <v>3898</v>
      </c>
      <c r="B891" s="405" t="s">
        <v>3899</v>
      </c>
      <c r="C891" s="211">
        <v>1.0</v>
      </c>
      <c r="D891" s="185" t="s">
        <v>1602</v>
      </c>
      <c r="E891" s="188">
        <v>20.57</v>
      </c>
      <c r="F891" s="183">
        <v>46195.0</v>
      </c>
      <c r="G891" s="185" t="s">
        <v>9</v>
      </c>
      <c r="H891" s="185" t="s">
        <v>351</v>
      </c>
      <c r="I891" s="317"/>
    </row>
    <row r="892" ht="22.5" hidden="1" customHeight="1">
      <c r="A892" s="176" t="s">
        <v>3900</v>
      </c>
      <c r="B892" s="177" t="s">
        <v>3901</v>
      </c>
      <c r="C892" s="211">
        <v>1.0</v>
      </c>
      <c r="D892" s="185" t="s">
        <v>1602</v>
      </c>
      <c r="E892" s="188">
        <v>49.39</v>
      </c>
      <c r="F892" s="183">
        <v>46195.0</v>
      </c>
      <c r="G892" s="185" t="s">
        <v>9</v>
      </c>
      <c r="H892" s="185" t="s">
        <v>1087</v>
      </c>
      <c r="I892" s="189"/>
    </row>
    <row r="893" ht="21.75" hidden="1" customHeight="1">
      <c r="A893" s="193"/>
      <c r="B893" s="194"/>
      <c r="C893" s="195"/>
      <c r="D893" s="194"/>
      <c r="E893" s="196">
        <f>SUM(E889:E892)</f>
        <v>103.27</v>
      </c>
      <c r="F893" s="193"/>
      <c r="G893" s="193"/>
      <c r="H893" s="193"/>
      <c r="I893" s="193"/>
    </row>
    <row r="894" hidden="1">
      <c r="A894" s="199"/>
      <c r="B894" s="200"/>
      <c r="C894" s="201"/>
      <c r="D894" s="200"/>
      <c r="E894" s="202"/>
      <c r="F894" s="199"/>
      <c r="G894" s="199"/>
      <c r="H894" s="199"/>
      <c r="I894" s="199"/>
    </row>
    <row r="895" hidden="1">
      <c r="A895" s="199"/>
      <c r="B895" s="200"/>
      <c r="C895" s="201"/>
      <c r="D895" s="203">
        <v>46197.0</v>
      </c>
      <c r="E895" s="202"/>
      <c r="F895" s="199"/>
      <c r="G895" s="199"/>
      <c r="H895" s="199"/>
      <c r="I895" s="199"/>
    </row>
    <row r="896" ht="22.5" hidden="1" customHeight="1">
      <c r="A896" s="175" t="s">
        <v>1467</v>
      </c>
      <c r="B896" s="175" t="s">
        <v>1477</v>
      </c>
      <c r="C896" s="175" t="s">
        <v>1478</v>
      </c>
      <c r="D896" s="175" t="s">
        <v>1479</v>
      </c>
      <c r="E896" s="175" t="s">
        <v>1481</v>
      </c>
      <c r="F896" s="175" t="s">
        <v>1483</v>
      </c>
      <c r="G896" s="175" t="s">
        <v>1484</v>
      </c>
      <c r="H896" s="175" t="s">
        <v>1486</v>
      </c>
      <c r="I896" s="175" t="s">
        <v>1489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22.5" hidden="1" customHeight="1">
      <c r="A897" s="376" t="s">
        <v>3902</v>
      </c>
      <c r="B897" s="367" t="s">
        <v>3903</v>
      </c>
      <c r="C897" s="211">
        <v>1.0</v>
      </c>
      <c r="D897" s="185" t="s">
        <v>1602</v>
      </c>
      <c r="E897" s="188">
        <v>23.04</v>
      </c>
      <c r="F897" s="183">
        <v>46196.0</v>
      </c>
      <c r="G897" s="185" t="s">
        <v>8</v>
      </c>
      <c r="H897" s="185" t="s">
        <v>12</v>
      </c>
      <c r="I897" s="189"/>
    </row>
    <row r="898" ht="22.5" hidden="1" customHeight="1">
      <c r="A898" s="176" t="s">
        <v>3904</v>
      </c>
      <c r="B898" s="318" t="s">
        <v>3752</v>
      </c>
      <c r="C898" s="211">
        <v>1.0</v>
      </c>
      <c r="D898" s="185" t="s">
        <v>1602</v>
      </c>
      <c r="E898" s="188">
        <v>13.55</v>
      </c>
      <c r="F898" s="183">
        <v>46196.0</v>
      </c>
      <c r="G898" s="185" t="s">
        <v>8</v>
      </c>
      <c r="H898" s="185" t="s">
        <v>12</v>
      </c>
      <c r="I898" s="317"/>
    </row>
    <row r="899" ht="22.5" hidden="1" customHeight="1">
      <c r="A899" s="176" t="s">
        <v>3905</v>
      </c>
      <c r="B899" s="314">
        <v>5.304529549E9</v>
      </c>
      <c r="C899" s="211">
        <v>1.0</v>
      </c>
      <c r="D899" s="185" t="s">
        <v>1602</v>
      </c>
      <c r="E899" s="188">
        <v>7.39</v>
      </c>
      <c r="F899" s="183">
        <v>46196.0</v>
      </c>
      <c r="G899" s="185" t="s">
        <v>9</v>
      </c>
      <c r="H899" s="185" t="s">
        <v>12</v>
      </c>
      <c r="I899" s="317"/>
    </row>
    <row r="900" ht="22.5" hidden="1" customHeight="1">
      <c r="A900" s="176" t="s">
        <v>3906</v>
      </c>
      <c r="B900" s="177" t="s">
        <v>362</v>
      </c>
      <c r="C900" s="211">
        <v>1.0</v>
      </c>
      <c r="D900" s="185" t="s">
        <v>1602</v>
      </c>
      <c r="E900" s="188">
        <v>93.38</v>
      </c>
      <c r="F900" s="183">
        <v>46197.0</v>
      </c>
      <c r="G900" s="185" t="s">
        <v>9</v>
      </c>
      <c r="H900" s="185" t="s">
        <v>12</v>
      </c>
      <c r="I900" s="317"/>
    </row>
    <row r="901" ht="22.5" hidden="1" customHeight="1">
      <c r="A901" s="176" t="s">
        <v>3907</v>
      </c>
      <c r="B901" s="177" t="s">
        <v>1292</v>
      </c>
      <c r="C901" s="211">
        <v>1.0</v>
      </c>
      <c r="D901" s="185" t="s">
        <v>1602</v>
      </c>
      <c r="E901" s="188">
        <v>4.18</v>
      </c>
      <c r="F901" s="183">
        <v>46196.0</v>
      </c>
      <c r="G901" s="185" t="s">
        <v>9</v>
      </c>
      <c r="H901" s="185" t="s">
        <v>1087</v>
      </c>
      <c r="I901" s="189"/>
    </row>
    <row r="902" ht="22.5" hidden="1" customHeight="1">
      <c r="A902" s="176" t="s">
        <v>3908</v>
      </c>
      <c r="B902" s="388">
        <v>5.304535923E9</v>
      </c>
      <c r="C902" s="211">
        <v>1.0</v>
      </c>
      <c r="D902" s="185" t="s">
        <v>1602</v>
      </c>
      <c r="E902" s="188">
        <v>56.19</v>
      </c>
      <c r="F902" s="183">
        <v>46196.0</v>
      </c>
      <c r="G902" s="185" t="s">
        <v>9</v>
      </c>
      <c r="H902" s="185" t="s">
        <v>1133</v>
      </c>
      <c r="I902" s="317" t="s">
        <v>3909</v>
      </c>
    </row>
    <row r="903" ht="22.5" hidden="1" customHeight="1">
      <c r="A903" s="176" t="s">
        <v>3910</v>
      </c>
      <c r="B903" s="406">
        <v>5.304524887E9</v>
      </c>
      <c r="C903" s="211">
        <v>1.0</v>
      </c>
      <c r="D903" s="185" t="s">
        <v>1602</v>
      </c>
      <c r="E903" s="188">
        <v>45.8</v>
      </c>
      <c r="F903" s="183">
        <v>46196.0</v>
      </c>
      <c r="G903" s="185" t="s">
        <v>9</v>
      </c>
      <c r="H903" s="185" t="s">
        <v>53</v>
      </c>
      <c r="I903" s="317"/>
    </row>
    <row r="904" ht="22.5" hidden="1" customHeight="1">
      <c r="A904" s="176" t="s">
        <v>3911</v>
      </c>
      <c r="B904" s="402" t="s">
        <v>3912</v>
      </c>
      <c r="C904" s="211">
        <v>1.0</v>
      </c>
      <c r="D904" s="185" t="s">
        <v>1602</v>
      </c>
      <c r="E904" s="188">
        <v>42.61</v>
      </c>
      <c r="F904" s="183">
        <v>46196.0</v>
      </c>
      <c r="G904" s="185" t="s">
        <v>9</v>
      </c>
      <c r="H904" s="185" t="s">
        <v>53</v>
      </c>
      <c r="I904" s="317"/>
    </row>
    <row r="905" ht="22.5" hidden="1" customHeight="1">
      <c r="A905" s="176" t="s">
        <v>3913</v>
      </c>
      <c r="B905" s="314" t="s">
        <v>649</v>
      </c>
      <c r="C905" s="211">
        <v>1.0</v>
      </c>
      <c r="D905" s="185" t="s">
        <v>1602</v>
      </c>
      <c r="E905" s="188">
        <v>66.26</v>
      </c>
      <c r="F905" s="183">
        <v>46197.0</v>
      </c>
      <c r="G905" s="185" t="s">
        <v>8</v>
      </c>
      <c r="H905" s="185" t="s">
        <v>53</v>
      </c>
      <c r="I905" s="317"/>
    </row>
    <row r="906" ht="22.5" hidden="1" customHeight="1">
      <c r="A906" s="176" t="s">
        <v>3914</v>
      </c>
      <c r="B906" s="402" t="s">
        <v>3915</v>
      </c>
      <c r="C906" s="211">
        <v>1.0</v>
      </c>
      <c r="D906" s="185" t="s">
        <v>1602</v>
      </c>
      <c r="E906" s="188">
        <v>70.44</v>
      </c>
      <c r="F906" s="183">
        <v>46196.0</v>
      </c>
      <c r="G906" s="185" t="s">
        <v>9</v>
      </c>
      <c r="H906" s="185" t="s">
        <v>351</v>
      </c>
      <c r="I906" s="317"/>
    </row>
    <row r="907" ht="22.5" hidden="1" customHeight="1">
      <c r="A907" s="176" t="s">
        <v>3916</v>
      </c>
      <c r="B907" s="399" t="s">
        <v>940</v>
      </c>
      <c r="C907" s="211">
        <v>1.0</v>
      </c>
      <c r="D907" s="185" t="s">
        <v>1602</v>
      </c>
      <c r="E907" s="188">
        <v>27.24</v>
      </c>
      <c r="F907" s="183">
        <v>46196.0</v>
      </c>
      <c r="G907" s="185" t="s">
        <v>9</v>
      </c>
      <c r="H907" s="185" t="s">
        <v>351</v>
      </c>
      <c r="I907" s="317"/>
    </row>
    <row r="908" ht="22.5" hidden="1" customHeight="1">
      <c r="A908" s="176" t="s">
        <v>3917</v>
      </c>
      <c r="B908" s="399" t="s">
        <v>584</v>
      </c>
      <c r="C908" s="211">
        <v>1.0</v>
      </c>
      <c r="D908" s="185" t="s">
        <v>1602</v>
      </c>
      <c r="E908" s="188">
        <v>37.0</v>
      </c>
      <c r="F908" s="183">
        <v>46197.0</v>
      </c>
      <c r="G908" s="185" t="s">
        <v>9</v>
      </c>
      <c r="H908" s="185" t="s">
        <v>351</v>
      </c>
      <c r="I908" s="189"/>
    </row>
    <row r="909" ht="21.75" hidden="1" customHeight="1">
      <c r="A909" s="193"/>
      <c r="B909" s="194"/>
      <c r="C909" s="195"/>
      <c r="D909" s="194"/>
      <c r="E909" s="196">
        <f>SUM(E897:E908)</f>
        <v>487.08</v>
      </c>
      <c r="F909" s="193"/>
      <c r="G909" s="193"/>
      <c r="H909" s="193"/>
      <c r="I909" s="193"/>
    </row>
    <row r="910" hidden="1">
      <c r="A910" s="199"/>
      <c r="B910" s="200"/>
      <c r="C910" s="201"/>
      <c r="D910" s="200"/>
      <c r="E910" s="202"/>
      <c r="F910" s="199"/>
      <c r="G910" s="199"/>
      <c r="H910" s="199"/>
      <c r="I910" s="199"/>
    </row>
    <row r="911" hidden="1">
      <c r="A911" s="199"/>
      <c r="B911" s="200"/>
      <c r="C911" s="201"/>
      <c r="D911" s="203">
        <v>46198.0</v>
      </c>
      <c r="E911" s="202"/>
      <c r="F911" s="199"/>
      <c r="G911" s="199"/>
      <c r="H911" s="199"/>
      <c r="I911" s="199"/>
    </row>
    <row r="912" ht="22.5" hidden="1" customHeight="1">
      <c r="A912" s="175" t="s">
        <v>1467</v>
      </c>
      <c r="B912" s="175" t="s">
        <v>1477</v>
      </c>
      <c r="C912" s="175" t="s">
        <v>1478</v>
      </c>
      <c r="D912" s="175" t="s">
        <v>1479</v>
      </c>
      <c r="E912" s="175" t="s">
        <v>1481</v>
      </c>
      <c r="F912" s="175" t="s">
        <v>1483</v>
      </c>
      <c r="G912" s="175" t="s">
        <v>1484</v>
      </c>
      <c r="H912" s="175" t="s">
        <v>1486</v>
      </c>
      <c r="I912" s="175" t="s">
        <v>1489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22.5" hidden="1" customHeight="1">
      <c r="A913" s="176" t="s">
        <v>3918</v>
      </c>
      <c r="B913" s="407" t="s">
        <v>3028</v>
      </c>
      <c r="C913" s="211">
        <v>1.0</v>
      </c>
      <c r="D913" s="185" t="s">
        <v>1602</v>
      </c>
      <c r="E913" s="188">
        <v>21.1</v>
      </c>
      <c r="F913" s="183">
        <v>46197.0</v>
      </c>
      <c r="G913" s="185" t="s">
        <v>8</v>
      </c>
      <c r="H913" s="185" t="s">
        <v>1601</v>
      </c>
      <c r="I913" s="408" t="s">
        <v>3909</v>
      </c>
    </row>
    <row r="914" ht="22.5" hidden="1" customHeight="1">
      <c r="A914" s="176" t="s">
        <v>3919</v>
      </c>
      <c r="B914" s="407" t="s">
        <v>362</v>
      </c>
      <c r="C914" s="211">
        <v>1.0</v>
      </c>
      <c r="D914" s="185" t="s">
        <v>1602</v>
      </c>
      <c r="E914" s="188">
        <v>89.16</v>
      </c>
      <c r="F914" s="183">
        <v>46198.0</v>
      </c>
      <c r="G914" s="185" t="s">
        <v>9</v>
      </c>
      <c r="H914" s="185" t="s">
        <v>12</v>
      </c>
      <c r="I914" s="409"/>
    </row>
    <row r="915" ht="22.5" hidden="1" customHeight="1">
      <c r="A915" s="176" t="s">
        <v>3920</v>
      </c>
      <c r="B915" s="410" t="s">
        <v>28</v>
      </c>
      <c r="C915" s="211">
        <v>1.0</v>
      </c>
      <c r="D915" s="185" t="s">
        <v>1602</v>
      </c>
      <c r="E915" s="188">
        <v>67.85</v>
      </c>
      <c r="F915" s="183">
        <v>46197.0</v>
      </c>
      <c r="G915" s="185" t="s">
        <v>9</v>
      </c>
      <c r="H915" s="185" t="s">
        <v>12</v>
      </c>
      <c r="I915" s="409"/>
    </row>
    <row r="916" ht="22.5" hidden="1" customHeight="1">
      <c r="A916" s="176" t="s">
        <v>3921</v>
      </c>
      <c r="B916" s="411" t="s">
        <v>3922</v>
      </c>
      <c r="C916" s="211">
        <v>2.0</v>
      </c>
      <c r="D916" s="185" t="s">
        <v>1602</v>
      </c>
      <c r="E916" s="188">
        <v>9.14</v>
      </c>
      <c r="F916" s="183">
        <v>46198.0</v>
      </c>
      <c r="G916" s="185" t="s">
        <v>9</v>
      </c>
      <c r="H916" s="185" t="s">
        <v>12</v>
      </c>
      <c r="I916" s="317"/>
    </row>
    <row r="917" ht="22.5" hidden="1" customHeight="1">
      <c r="A917" s="176" t="s">
        <v>3923</v>
      </c>
      <c r="B917" s="397">
        <v>5.304516862E9</v>
      </c>
      <c r="C917" s="211">
        <v>1.0</v>
      </c>
      <c r="D917" s="185" t="s">
        <v>1602</v>
      </c>
      <c r="E917" s="188">
        <v>58.12</v>
      </c>
      <c r="F917" s="183">
        <v>46198.0</v>
      </c>
      <c r="G917" s="185" t="s">
        <v>9</v>
      </c>
      <c r="H917" s="185" t="s">
        <v>12</v>
      </c>
      <c r="I917" s="317"/>
    </row>
    <row r="918" ht="22.5" hidden="1" customHeight="1">
      <c r="A918" s="176" t="s">
        <v>3924</v>
      </c>
      <c r="B918" s="397" t="s">
        <v>925</v>
      </c>
      <c r="C918" s="211">
        <v>1.0</v>
      </c>
      <c r="D918" s="185" t="s">
        <v>1602</v>
      </c>
      <c r="E918" s="188">
        <v>47.9</v>
      </c>
      <c r="F918" s="183">
        <v>46197.0</v>
      </c>
      <c r="G918" s="185" t="s">
        <v>9</v>
      </c>
      <c r="H918" s="185" t="s">
        <v>1133</v>
      </c>
      <c r="I918" s="409" t="s">
        <v>3909</v>
      </c>
    </row>
    <row r="919" ht="22.5" hidden="1" customHeight="1">
      <c r="A919" s="176" t="s">
        <v>3925</v>
      </c>
      <c r="B919" s="314">
        <v>5.304505004E9</v>
      </c>
      <c r="C919" s="211">
        <v>1.0</v>
      </c>
      <c r="D919" s="185" t="s">
        <v>1602</v>
      </c>
      <c r="E919" s="188">
        <v>14.13</v>
      </c>
      <c r="F919" s="183">
        <v>46198.0</v>
      </c>
      <c r="G919" s="185" t="s">
        <v>9</v>
      </c>
      <c r="H919" s="185" t="s">
        <v>1133</v>
      </c>
      <c r="I919" s="317" t="s">
        <v>3926</v>
      </c>
    </row>
    <row r="920" ht="22.5" hidden="1" customHeight="1">
      <c r="A920" s="176" t="s">
        <v>3927</v>
      </c>
      <c r="B920" s="399">
        <v>1.1001011001649E13</v>
      </c>
      <c r="C920" s="211">
        <v>1.0</v>
      </c>
      <c r="D920" s="185" t="s">
        <v>1602</v>
      </c>
      <c r="E920" s="188">
        <v>33.5</v>
      </c>
      <c r="F920" s="183">
        <v>46198.0</v>
      </c>
      <c r="G920" s="185" t="s">
        <v>9</v>
      </c>
      <c r="H920" s="185" t="s">
        <v>11</v>
      </c>
      <c r="I920" s="317"/>
    </row>
    <row r="921" ht="22.5" hidden="1" customHeight="1">
      <c r="A921" s="176" t="s">
        <v>3928</v>
      </c>
      <c r="B921" s="399" t="s">
        <v>1381</v>
      </c>
      <c r="C921" s="211">
        <v>1.0</v>
      </c>
      <c r="D921" s="185" t="s">
        <v>1602</v>
      </c>
      <c r="E921" s="188">
        <v>14.69</v>
      </c>
      <c r="F921" s="183">
        <v>46197.0</v>
      </c>
      <c r="G921" s="185" t="s">
        <v>9</v>
      </c>
      <c r="H921" s="185" t="s">
        <v>1356</v>
      </c>
      <c r="I921" s="189"/>
    </row>
    <row r="922" ht="22.5" hidden="1" customHeight="1">
      <c r="A922" s="176" t="s">
        <v>3929</v>
      </c>
      <c r="B922" s="412">
        <v>1.2131000033524E13</v>
      </c>
      <c r="C922" s="211">
        <v>1.0</v>
      </c>
      <c r="D922" s="185" t="s">
        <v>1602</v>
      </c>
      <c r="E922" s="188">
        <v>64.17</v>
      </c>
      <c r="F922" s="183">
        <v>46198.0</v>
      </c>
      <c r="G922" s="185" t="s">
        <v>9</v>
      </c>
      <c r="H922" s="185" t="s">
        <v>53</v>
      </c>
      <c r="I922" s="317" t="s">
        <v>3909</v>
      </c>
    </row>
    <row r="923" ht="22.5" hidden="1" customHeight="1">
      <c r="A923" s="176" t="s">
        <v>3930</v>
      </c>
      <c r="B923" s="399" t="s">
        <v>2950</v>
      </c>
      <c r="C923" s="211">
        <v>1.0</v>
      </c>
      <c r="D923" s="185" t="s">
        <v>1602</v>
      </c>
      <c r="E923" s="188">
        <v>63.55</v>
      </c>
      <c r="F923" s="183">
        <v>46198.0</v>
      </c>
      <c r="G923" s="185" t="s">
        <v>8</v>
      </c>
      <c r="H923" s="185" t="s">
        <v>53</v>
      </c>
      <c r="I923" s="408" t="s">
        <v>3909</v>
      </c>
    </row>
    <row r="924" ht="22.5" hidden="1" customHeight="1">
      <c r="A924" s="176" t="s">
        <v>3931</v>
      </c>
      <c r="B924" s="407" t="s">
        <v>2418</v>
      </c>
      <c r="C924" s="211">
        <v>1.0</v>
      </c>
      <c r="D924" s="185" t="s">
        <v>1602</v>
      </c>
      <c r="E924" s="188">
        <v>27.3</v>
      </c>
      <c r="F924" s="183">
        <v>46197.0</v>
      </c>
      <c r="G924" s="185" t="s">
        <v>9</v>
      </c>
      <c r="H924" s="185" t="s">
        <v>53</v>
      </c>
      <c r="I924" s="408" t="s">
        <v>3909</v>
      </c>
    </row>
    <row r="925" ht="21.75" hidden="1" customHeight="1">
      <c r="A925" s="193"/>
      <c r="B925" s="194"/>
      <c r="C925" s="195"/>
      <c r="D925" s="194"/>
      <c r="E925" s="196">
        <f>SUM(E913:E924)</f>
        <v>510.61</v>
      </c>
      <c r="F925" s="193"/>
      <c r="G925" s="193"/>
      <c r="H925" s="193"/>
      <c r="I925" s="193"/>
    </row>
    <row r="926" hidden="1">
      <c r="A926" s="199"/>
      <c r="B926" s="200"/>
      <c r="C926" s="201"/>
      <c r="D926" s="200"/>
      <c r="E926" s="202"/>
      <c r="F926" s="199"/>
      <c r="G926" s="199"/>
      <c r="H926" s="199"/>
      <c r="I926" s="199"/>
    </row>
    <row r="927" hidden="1">
      <c r="A927" s="199"/>
      <c r="B927" s="200"/>
      <c r="C927" s="201"/>
      <c r="D927" s="203">
        <v>46199.0</v>
      </c>
      <c r="E927" s="202"/>
      <c r="F927" s="199"/>
      <c r="G927" s="199"/>
      <c r="H927" s="199"/>
      <c r="I927" s="199"/>
    </row>
    <row r="928" ht="22.5" hidden="1" customHeight="1">
      <c r="A928" s="175" t="s">
        <v>1467</v>
      </c>
      <c r="B928" s="175" t="s">
        <v>1477</v>
      </c>
      <c r="C928" s="175" t="s">
        <v>1478</v>
      </c>
      <c r="D928" s="175" t="s">
        <v>1479</v>
      </c>
      <c r="E928" s="175" t="s">
        <v>1481</v>
      </c>
      <c r="F928" s="175" t="s">
        <v>1483</v>
      </c>
      <c r="G928" s="175" t="s">
        <v>1484</v>
      </c>
      <c r="H928" s="175" t="s">
        <v>1486</v>
      </c>
      <c r="I928" s="175" t="s">
        <v>1489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22.5" hidden="1" customHeight="1">
      <c r="A929" s="176" t="s">
        <v>3932</v>
      </c>
      <c r="B929" s="367" t="s">
        <v>3096</v>
      </c>
      <c r="C929" s="211">
        <v>1.0</v>
      </c>
      <c r="D929" s="185" t="s">
        <v>1602</v>
      </c>
      <c r="E929" s="188">
        <v>168.64</v>
      </c>
      <c r="F929" s="183">
        <v>46198.0</v>
      </c>
      <c r="G929" s="185" t="s">
        <v>8</v>
      </c>
      <c r="H929" s="185" t="s">
        <v>12</v>
      </c>
      <c r="I929" s="189"/>
    </row>
    <row r="930" ht="22.5" hidden="1" customHeight="1">
      <c r="A930" s="176" t="s">
        <v>3933</v>
      </c>
      <c r="B930" s="314">
        <v>1.213100004336E13</v>
      </c>
      <c r="C930" s="211">
        <v>1.0</v>
      </c>
      <c r="D930" s="185" t="s">
        <v>1602</v>
      </c>
      <c r="E930" s="188">
        <v>34.79</v>
      </c>
      <c r="F930" s="183">
        <v>46198.0</v>
      </c>
      <c r="G930" s="185" t="s">
        <v>9</v>
      </c>
      <c r="H930" s="185" t="s">
        <v>12</v>
      </c>
      <c r="I930" s="317"/>
    </row>
    <row r="931" ht="22.5" hidden="1" customHeight="1">
      <c r="A931" s="176" t="s">
        <v>3934</v>
      </c>
      <c r="B931" s="314" t="s">
        <v>3935</v>
      </c>
      <c r="C931" s="211">
        <v>1.0</v>
      </c>
      <c r="D931" s="185" t="s">
        <v>1602</v>
      </c>
      <c r="E931" s="188">
        <v>81.39</v>
      </c>
      <c r="F931" s="183">
        <v>46198.0</v>
      </c>
      <c r="G931" s="185" t="s">
        <v>9</v>
      </c>
      <c r="H931" s="185" t="s">
        <v>12</v>
      </c>
      <c r="I931" s="317"/>
    </row>
    <row r="932" ht="22.5" hidden="1" customHeight="1">
      <c r="A932" s="176" t="s">
        <v>3936</v>
      </c>
      <c r="B932" s="314" t="s">
        <v>794</v>
      </c>
      <c r="C932" s="211">
        <v>1.0</v>
      </c>
      <c r="D932" s="185" t="s">
        <v>1875</v>
      </c>
      <c r="E932" s="188">
        <v>-83.57</v>
      </c>
      <c r="F932" s="183">
        <v>46168.0</v>
      </c>
      <c r="G932" s="185" t="s">
        <v>9</v>
      </c>
      <c r="H932" s="185" t="s">
        <v>12</v>
      </c>
      <c r="I932" s="317" t="s">
        <v>3344</v>
      </c>
    </row>
    <row r="933" ht="22.5" hidden="1" customHeight="1">
      <c r="A933" s="176" t="s">
        <v>3937</v>
      </c>
      <c r="B933" s="318" t="s">
        <v>1589</v>
      </c>
      <c r="C933" s="211">
        <v>1.0</v>
      </c>
      <c r="D933" s="185" t="s">
        <v>1602</v>
      </c>
      <c r="E933" s="188">
        <v>92.1</v>
      </c>
      <c r="F933" s="183">
        <v>46198.0</v>
      </c>
      <c r="G933" s="185" t="s">
        <v>8</v>
      </c>
      <c r="H933" s="185" t="s">
        <v>1601</v>
      </c>
      <c r="I933" s="317"/>
    </row>
    <row r="934" ht="22.5" hidden="1" customHeight="1">
      <c r="A934" s="176" t="s">
        <v>3938</v>
      </c>
      <c r="B934" s="318" t="s">
        <v>1399</v>
      </c>
      <c r="C934" s="211">
        <v>1.0</v>
      </c>
      <c r="D934" s="185" t="s">
        <v>1532</v>
      </c>
      <c r="E934" s="188"/>
      <c r="F934" s="183">
        <v>46198.0</v>
      </c>
      <c r="G934" s="185" t="s">
        <v>9</v>
      </c>
      <c r="H934" s="185" t="s">
        <v>1356</v>
      </c>
      <c r="I934" s="313"/>
    </row>
    <row r="935" ht="22.5" hidden="1" customHeight="1">
      <c r="A935" s="176" t="s">
        <v>3939</v>
      </c>
      <c r="B935" s="413" t="s">
        <v>3940</v>
      </c>
      <c r="C935" s="211">
        <v>1.0</v>
      </c>
      <c r="D935" s="185" t="s">
        <v>1602</v>
      </c>
      <c r="E935" s="188">
        <v>14.46</v>
      </c>
      <c r="F935" s="183">
        <v>46198.0</v>
      </c>
      <c r="G935" s="185" t="s">
        <v>9</v>
      </c>
      <c r="H935" s="185" t="s">
        <v>11</v>
      </c>
      <c r="I935" s="317"/>
    </row>
    <row r="936" ht="21.75" hidden="1" customHeight="1">
      <c r="A936" s="193"/>
      <c r="B936" s="194"/>
      <c r="C936" s="195"/>
      <c r="D936" s="194"/>
      <c r="E936" s="196">
        <f>SUM(E929:E935)</f>
        <v>307.81</v>
      </c>
      <c r="F936" s="193"/>
      <c r="G936" s="193"/>
      <c r="H936" s="193"/>
      <c r="I936" s="193"/>
    </row>
    <row r="937" hidden="1">
      <c r="A937" s="199"/>
      <c r="B937" s="200"/>
      <c r="C937" s="201"/>
      <c r="D937" s="200"/>
      <c r="E937" s="202"/>
      <c r="F937" s="199"/>
      <c r="G937" s="199"/>
      <c r="H937" s="199"/>
      <c r="I937" s="199"/>
    </row>
    <row r="938" hidden="1">
      <c r="A938" s="199"/>
      <c r="B938" s="200"/>
      <c r="C938" s="201"/>
      <c r="D938" s="203">
        <v>46202.0</v>
      </c>
      <c r="E938" s="202"/>
      <c r="F938" s="199"/>
      <c r="G938" s="199"/>
      <c r="H938" s="199"/>
      <c r="I938" s="199"/>
    </row>
    <row r="939" ht="22.5" hidden="1" customHeight="1">
      <c r="A939" s="175" t="s">
        <v>1467</v>
      </c>
      <c r="B939" s="175" t="s">
        <v>1477</v>
      </c>
      <c r="C939" s="175" t="s">
        <v>1478</v>
      </c>
      <c r="D939" s="175" t="s">
        <v>1479</v>
      </c>
      <c r="E939" s="175" t="s">
        <v>1481</v>
      </c>
      <c r="F939" s="175" t="s">
        <v>1483</v>
      </c>
      <c r="G939" s="175" t="s">
        <v>1484</v>
      </c>
      <c r="H939" s="175" t="s">
        <v>1486</v>
      </c>
      <c r="I939" s="175" t="s">
        <v>1489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22.5" hidden="1" customHeight="1">
      <c r="A940" s="176" t="s">
        <v>3941</v>
      </c>
      <c r="B940" s="396" t="s">
        <v>2302</v>
      </c>
      <c r="C940" s="211">
        <v>1.0</v>
      </c>
      <c r="D940" s="185" t="s">
        <v>1602</v>
      </c>
      <c r="E940" s="188">
        <v>29.77</v>
      </c>
      <c r="F940" s="183">
        <v>46198.0</v>
      </c>
      <c r="G940" s="185" t="s">
        <v>9</v>
      </c>
      <c r="H940" s="185" t="s">
        <v>3380</v>
      </c>
      <c r="I940" s="189"/>
    </row>
    <row r="941" ht="22.5" hidden="1" customHeight="1">
      <c r="A941" s="176" t="s">
        <v>3942</v>
      </c>
      <c r="B941" s="396" t="s">
        <v>3943</v>
      </c>
      <c r="C941" s="211">
        <v>1.0</v>
      </c>
      <c r="D941" s="185" t="s">
        <v>1602</v>
      </c>
      <c r="E941" s="188">
        <v>155.36</v>
      </c>
      <c r="F941" s="183">
        <v>46199.0</v>
      </c>
      <c r="G941" s="185" t="s">
        <v>9</v>
      </c>
      <c r="H941" s="185" t="s">
        <v>12</v>
      </c>
      <c r="I941" s="189"/>
    </row>
    <row r="942" ht="22.5" hidden="1" customHeight="1">
      <c r="A942" s="176" t="s">
        <v>3944</v>
      </c>
      <c r="B942" s="396">
        <v>1.0397318E7</v>
      </c>
      <c r="C942" s="211">
        <v>1.0</v>
      </c>
      <c r="D942" s="185" t="s">
        <v>1602</v>
      </c>
      <c r="E942" s="188">
        <v>437.56</v>
      </c>
      <c r="F942" s="183">
        <v>46199.0</v>
      </c>
      <c r="G942" s="185" t="s">
        <v>9</v>
      </c>
      <c r="H942" s="185" t="s">
        <v>12</v>
      </c>
      <c r="I942" s="317"/>
    </row>
    <row r="943" ht="22.5" hidden="1" customHeight="1">
      <c r="A943" s="176" t="s">
        <v>3945</v>
      </c>
      <c r="B943" s="397" t="s">
        <v>647</v>
      </c>
      <c r="C943" s="211">
        <v>1.0</v>
      </c>
      <c r="D943" s="185" t="s">
        <v>1602</v>
      </c>
      <c r="E943" s="188">
        <v>92.62</v>
      </c>
      <c r="F943" s="183">
        <v>46198.0</v>
      </c>
      <c r="G943" s="185" t="s">
        <v>9</v>
      </c>
      <c r="H943" s="185" t="s">
        <v>3596</v>
      </c>
      <c r="I943" s="317"/>
    </row>
    <row r="944" ht="22.5" hidden="1" customHeight="1">
      <c r="A944" s="176" t="s">
        <v>3946</v>
      </c>
      <c r="B944" s="414" t="s">
        <v>69</v>
      </c>
      <c r="C944" s="211">
        <v>1.0</v>
      </c>
      <c r="D944" s="185" t="s">
        <v>1602</v>
      </c>
      <c r="E944" s="188">
        <v>86.14</v>
      </c>
      <c r="F944" s="183">
        <v>46200.0</v>
      </c>
      <c r="G944" s="185" t="s">
        <v>8</v>
      </c>
      <c r="H944" s="185" t="s">
        <v>53</v>
      </c>
      <c r="I944" s="186" t="s">
        <v>3947</v>
      </c>
    </row>
    <row r="945" ht="22.5" hidden="1" customHeight="1">
      <c r="A945" s="176" t="s">
        <v>3948</v>
      </c>
      <c r="B945" s="415" t="s">
        <v>668</v>
      </c>
      <c r="C945" s="211">
        <v>1.0</v>
      </c>
      <c r="D945" s="185" t="s">
        <v>1602</v>
      </c>
      <c r="E945" s="188">
        <v>14.11</v>
      </c>
      <c r="F945" s="183">
        <v>46202.0</v>
      </c>
      <c r="G945" s="185" t="s">
        <v>9</v>
      </c>
      <c r="H945" s="185" t="s">
        <v>53</v>
      </c>
      <c r="I945" s="313" t="s">
        <v>3947</v>
      </c>
    </row>
    <row r="946" ht="22.5" hidden="1" customHeight="1">
      <c r="A946" s="176" t="s">
        <v>3949</v>
      </c>
      <c r="B946" s="415" t="s">
        <v>2392</v>
      </c>
      <c r="C946" s="211">
        <v>1.0</v>
      </c>
      <c r="D946" s="185" t="s">
        <v>1602</v>
      </c>
      <c r="E946" s="188">
        <v>49.79</v>
      </c>
      <c r="F946" s="183">
        <v>46202.0</v>
      </c>
      <c r="G946" s="185" t="s">
        <v>9</v>
      </c>
      <c r="H946" s="185" t="s">
        <v>53</v>
      </c>
      <c r="I946" s="317" t="s">
        <v>3947</v>
      </c>
    </row>
    <row r="947" ht="22.5" hidden="1" customHeight="1">
      <c r="A947" s="176" t="s">
        <v>3950</v>
      </c>
      <c r="B947" s="415" t="s">
        <v>2961</v>
      </c>
      <c r="C947" s="211">
        <v>1.0</v>
      </c>
      <c r="D947" s="185" t="s">
        <v>1602</v>
      </c>
      <c r="E947" s="188">
        <v>149.79</v>
      </c>
      <c r="F947" s="183">
        <v>46201.0</v>
      </c>
      <c r="G947" s="185" t="s">
        <v>9</v>
      </c>
      <c r="H947" s="185" t="s">
        <v>53</v>
      </c>
      <c r="I947" s="317"/>
    </row>
    <row r="948" ht="22.5" hidden="1" customHeight="1">
      <c r="A948" s="176" t="s">
        <v>3951</v>
      </c>
      <c r="B948" s="415" t="s">
        <v>3073</v>
      </c>
      <c r="C948" s="211">
        <v>1.0</v>
      </c>
      <c r="D948" s="185" t="s">
        <v>1602</v>
      </c>
      <c r="E948" s="188">
        <v>34.57</v>
      </c>
      <c r="F948" s="183">
        <v>46201.0</v>
      </c>
      <c r="G948" s="185" t="s">
        <v>9</v>
      </c>
      <c r="H948" s="185" t="s">
        <v>53</v>
      </c>
      <c r="I948" s="317" t="s">
        <v>3947</v>
      </c>
    </row>
    <row r="949" ht="22.5" hidden="1" customHeight="1">
      <c r="A949" s="176" t="s">
        <v>3952</v>
      </c>
      <c r="B949" s="415" t="s">
        <v>567</v>
      </c>
      <c r="C949" s="211">
        <v>1.0</v>
      </c>
      <c r="D949" s="185" t="s">
        <v>1602</v>
      </c>
      <c r="E949" s="188">
        <v>37.13</v>
      </c>
      <c r="F949" s="183">
        <v>46200.0</v>
      </c>
      <c r="G949" s="185" t="s">
        <v>9</v>
      </c>
      <c r="H949" s="185" t="s">
        <v>53</v>
      </c>
      <c r="I949" s="186" t="s">
        <v>3947</v>
      </c>
    </row>
    <row r="950" ht="22.5" hidden="1" customHeight="1">
      <c r="A950" s="176" t="s">
        <v>3953</v>
      </c>
      <c r="B950" s="402" t="s">
        <v>3954</v>
      </c>
      <c r="C950" s="211">
        <v>1.0</v>
      </c>
      <c r="D950" s="185" t="s">
        <v>3475</v>
      </c>
      <c r="E950" s="188">
        <v>-78.5</v>
      </c>
      <c r="F950" s="183">
        <v>46176.0</v>
      </c>
      <c r="G950" s="185" t="s">
        <v>9</v>
      </c>
      <c r="H950" s="185" t="s">
        <v>53</v>
      </c>
      <c r="I950" s="317"/>
    </row>
    <row r="951" ht="22.5" hidden="1" customHeight="1">
      <c r="A951" s="176" t="s">
        <v>3955</v>
      </c>
      <c r="B951" s="416" t="s">
        <v>3956</v>
      </c>
      <c r="C951" s="211">
        <v>1.0</v>
      </c>
      <c r="D951" s="185" t="s">
        <v>1602</v>
      </c>
      <c r="E951" s="188">
        <v>27.5</v>
      </c>
      <c r="F951" s="183">
        <v>46201.0</v>
      </c>
      <c r="G951" s="185" t="s">
        <v>9</v>
      </c>
      <c r="H951" s="185" t="s">
        <v>1133</v>
      </c>
      <c r="I951" s="317" t="s">
        <v>3957</v>
      </c>
    </row>
    <row r="952" ht="21.75" hidden="1" customHeight="1">
      <c r="A952" s="193"/>
      <c r="B952" s="194"/>
      <c r="C952" s="195"/>
      <c r="D952" s="194"/>
      <c r="E952" s="196">
        <f>SUM(E940:E951)</f>
        <v>1035.84</v>
      </c>
      <c r="F952" s="193"/>
      <c r="G952" s="193"/>
      <c r="H952" s="193"/>
      <c r="I952" s="193"/>
    </row>
    <row r="953" hidden="1">
      <c r="A953" s="199"/>
      <c r="B953" s="200"/>
      <c r="C953" s="201"/>
      <c r="D953" s="200"/>
      <c r="E953" s="202"/>
      <c r="F953" s="199"/>
      <c r="G953" s="199"/>
      <c r="H953" s="199"/>
      <c r="I953" s="199"/>
    </row>
    <row r="954" hidden="1">
      <c r="A954" s="199"/>
      <c r="B954" s="200"/>
      <c r="C954" s="201"/>
      <c r="D954" s="203">
        <v>46203.0</v>
      </c>
      <c r="E954" s="202"/>
      <c r="F954" s="199"/>
      <c r="G954" s="199"/>
      <c r="H954" s="199"/>
      <c r="I954" s="199"/>
    </row>
    <row r="955" ht="22.5" hidden="1" customHeight="1">
      <c r="A955" s="175" t="s">
        <v>1467</v>
      </c>
      <c r="B955" s="175" t="s">
        <v>1477</v>
      </c>
      <c r="C955" s="175" t="s">
        <v>1478</v>
      </c>
      <c r="D955" s="175" t="s">
        <v>1479</v>
      </c>
      <c r="E955" s="175" t="s">
        <v>1481</v>
      </c>
      <c r="F955" s="175" t="s">
        <v>1483</v>
      </c>
      <c r="G955" s="175" t="s">
        <v>1484</v>
      </c>
      <c r="H955" s="175" t="s">
        <v>1486</v>
      </c>
      <c r="I955" s="175" t="s">
        <v>1489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22.5" hidden="1" customHeight="1">
      <c r="A956" s="176" t="s">
        <v>3958</v>
      </c>
      <c r="B956" s="399" t="s">
        <v>779</v>
      </c>
      <c r="C956" s="211">
        <v>1.0</v>
      </c>
      <c r="D956" s="185" t="s">
        <v>1602</v>
      </c>
      <c r="E956" s="188">
        <v>23.67</v>
      </c>
      <c r="F956" s="183">
        <v>46202.0</v>
      </c>
      <c r="G956" s="185" t="s">
        <v>9</v>
      </c>
      <c r="H956" s="185" t="s">
        <v>12</v>
      </c>
      <c r="I956" s="189"/>
    </row>
    <row r="957" ht="22.5" hidden="1" customHeight="1">
      <c r="A957" s="176" t="s">
        <v>3959</v>
      </c>
      <c r="B957" s="415" t="s">
        <v>391</v>
      </c>
      <c r="C957" s="211">
        <v>1.0</v>
      </c>
      <c r="D957" s="185" t="s">
        <v>1602</v>
      </c>
      <c r="E957" s="188">
        <v>34.11</v>
      </c>
      <c r="F957" s="183">
        <v>46202.0</v>
      </c>
      <c r="G957" s="185" t="s">
        <v>9</v>
      </c>
      <c r="H957" s="185" t="s">
        <v>351</v>
      </c>
      <c r="I957" s="317"/>
    </row>
    <row r="958" ht="22.5" hidden="1" customHeight="1">
      <c r="A958" s="176" t="s">
        <v>3960</v>
      </c>
      <c r="B958" s="414">
        <v>5.304524953E9</v>
      </c>
      <c r="C958" s="211">
        <v>1.0</v>
      </c>
      <c r="D958" s="185" t="s">
        <v>1602</v>
      </c>
      <c r="E958" s="188">
        <v>50.74</v>
      </c>
      <c r="F958" s="183">
        <v>46202.0</v>
      </c>
      <c r="G958" s="185" t="s">
        <v>9</v>
      </c>
      <c r="H958" s="185" t="s">
        <v>351</v>
      </c>
      <c r="I958" s="317"/>
    </row>
    <row r="959" ht="22.5" hidden="1" customHeight="1">
      <c r="A959" s="176" t="s">
        <v>3961</v>
      </c>
      <c r="B959" s="415" t="s">
        <v>840</v>
      </c>
      <c r="C959" s="211">
        <v>1.0</v>
      </c>
      <c r="D959" s="185" t="s">
        <v>1602</v>
      </c>
      <c r="E959" s="188">
        <v>14.07</v>
      </c>
      <c r="F959" s="183">
        <v>46202.0</v>
      </c>
      <c r="G959" s="185" t="s">
        <v>9</v>
      </c>
      <c r="H959" s="185" t="s">
        <v>351</v>
      </c>
      <c r="I959" s="186"/>
    </row>
    <row r="960" ht="22.5" hidden="1" customHeight="1">
      <c r="A960" s="176" t="s">
        <v>3962</v>
      </c>
      <c r="B960" s="415" t="s">
        <v>3173</v>
      </c>
      <c r="C960" s="211">
        <v>1.0</v>
      </c>
      <c r="D960" s="185" t="s">
        <v>1602</v>
      </c>
      <c r="E960" s="188">
        <v>25.92</v>
      </c>
      <c r="F960" s="183">
        <v>46202.0</v>
      </c>
      <c r="G960" s="185" t="s">
        <v>9</v>
      </c>
      <c r="H960" s="185" t="s">
        <v>53</v>
      </c>
      <c r="I960" s="313" t="s">
        <v>3947</v>
      </c>
    </row>
    <row r="961" ht="22.5" hidden="1" customHeight="1">
      <c r="A961" s="176" t="s">
        <v>3963</v>
      </c>
      <c r="B961" s="417" t="s">
        <v>1537</v>
      </c>
      <c r="C961" s="211">
        <v>1.0</v>
      </c>
      <c r="D961" s="185" t="s">
        <v>1602</v>
      </c>
      <c r="E961" s="188">
        <v>18.47</v>
      </c>
      <c r="F961" s="183">
        <v>46203.0</v>
      </c>
      <c r="G961" s="185" t="s">
        <v>9</v>
      </c>
      <c r="H961" s="185" t="s">
        <v>53</v>
      </c>
      <c r="I961" s="317" t="s">
        <v>3947</v>
      </c>
    </row>
    <row r="962" ht="22.5" hidden="1" customHeight="1">
      <c r="A962" s="176" t="s">
        <v>3964</v>
      </c>
      <c r="B962" s="397" t="s">
        <v>3965</v>
      </c>
      <c r="C962" s="211">
        <v>1.0</v>
      </c>
      <c r="D962" s="185" t="s">
        <v>1602</v>
      </c>
      <c r="E962" s="188">
        <v>291.55</v>
      </c>
      <c r="F962" s="183">
        <v>46202.0</v>
      </c>
      <c r="G962" s="185" t="s">
        <v>9</v>
      </c>
      <c r="H962" s="185" t="s">
        <v>1133</v>
      </c>
      <c r="I962" s="317" t="s">
        <v>3947</v>
      </c>
    </row>
    <row r="963" ht="22.5" hidden="1" customHeight="1">
      <c r="A963" s="418" t="s">
        <v>3966</v>
      </c>
      <c r="B963" s="419" t="s">
        <v>531</v>
      </c>
      <c r="C963" s="420">
        <v>1.0</v>
      </c>
      <c r="D963" s="185" t="s">
        <v>1602</v>
      </c>
      <c r="E963" s="188">
        <v>16.71</v>
      </c>
      <c r="F963" s="183">
        <v>46203.0</v>
      </c>
      <c r="G963" s="185" t="s">
        <v>8</v>
      </c>
      <c r="H963" s="185" t="s">
        <v>1601</v>
      </c>
      <c r="I963" s="317"/>
    </row>
    <row r="964" ht="22.5" hidden="1" customHeight="1">
      <c r="A964" s="176" t="s">
        <v>3967</v>
      </c>
      <c r="B964" s="397" t="s">
        <v>1706</v>
      </c>
      <c r="C964" s="211">
        <v>1.0</v>
      </c>
      <c r="D964" s="185" t="s">
        <v>1602</v>
      </c>
      <c r="E964" s="188">
        <v>37.75</v>
      </c>
      <c r="F964" s="183">
        <v>46199.0</v>
      </c>
      <c r="G964" s="185" t="s">
        <v>8</v>
      </c>
      <c r="H964" s="185" t="s">
        <v>1601</v>
      </c>
      <c r="I964" s="317" t="s">
        <v>3947</v>
      </c>
    </row>
    <row r="965" ht="22.5" hidden="1" customHeight="1">
      <c r="A965" s="176" t="s">
        <v>3968</v>
      </c>
      <c r="B965" s="399" t="s">
        <v>3969</v>
      </c>
      <c r="C965" s="211">
        <v>1.0</v>
      </c>
      <c r="D965" s="185" t="s">
        <v>1532</v>
      </c>
      <c r="E965" s="188"/>
      <c r="F965" s="183">
        <v>46202.0</v>
      </c>
      <c r="G965" s="185" t="s">
        <v>9</v>
      </c>
      <c r="H965" s="185" t="s">
        <v>11</v>
      </c>
      <c r="I965" s="317" t="s">
        <v>3970</v>
      </c>
    </row>
    <row r="966" ht="22.5" hidden="1" customHeight="1">
      <c r="A966" s="176" t="s">
        <v>3971</v>
      </c>
      <c r="B966" s="399" t="s">
        <v>3972</v>
      </c>
      <c r="C966" s="211">
        <v>1.0</v>
      </c>
      <c r="D966" s="185" t="s">
        <v>1602</v>
      </c>
      <c r="E966" s="188">
        <v>105.08</v>
      </c>
      <c r="F966" s="183">
        <v>46202.0</v>
      </c>
      <c r="G966" s="185" t="s">
        <v>9</v>
      </c>
      <c r="H966" s="185" t="s">
        <v>11</v>
      </c>
      <c r="I966" s="186" t="s">
        <v>3973</v>
      </c>
    </row>
    <row r="967" ht="22.5" hidden="1" customHeight="1">
      <c r="A967" s="176" t="s">
        <v>3974</v>
      </c>
      <c r="B967" s="399" t="s">
        <v>1789</v>
      </c>
      <c r="C967" s="211">
        <v>1.0</v>
      </c>
      <c r="D967" s="185" t="s">
        <v>1602</v>
      </c>
      <c r="E967" s="188">
        <v>38.92</v>
      </c>
      <c r="F967" s="183">
        <v>46199.0</v>
      </c>
      <c r="G967" s="185" t="s">
        <v>9</v>
      </c>
      <c r="H967" s="185" t="s">
        <v>11</v>
      </c>
      <c r="I967" s="317" t="s">
        <v>3975</v>
      </c>
    </row>
    <row r="968" ht="21.75" hidden="1" customHeight="1">
      <c r="A968" s="193"/>
      <c r="B968" s="421"/>
      <c r="C968" s="195"/>
      <c r="D968" s="194"/>
      <c r="E968" s="196">
        <f>SUM(E956:E967)</f>
        <v>656.99</v>
      </c>
      <c r="F968" s="193"/>
      <c r="G968" s="193"/>
      <c r="H968" s="193"/>
      <c r="I968" s="193"/>
    </row>
    <row r="969" hidden="1">
      <c r="A969" s="199"/>
      <c r="B969" s="422"/>
      <c r="C969" s="201"/>
      <c r="D969" s="200"/>
      <c r="E969" s="202"/>
      <c r="F969" s="199"/>
      <c r="G969" s="199"/>
      <c r="H969" s="199"/>
      <c r="I969" s="199"/>
    </row>
    <row r="970" hidden="1">
      <c r="A970" s="199"/>
      <c r="B970" s="422"/>
      <c r="C970" s="201"/>
      <c r="D970" s="203">
        <v>46204.0</v>
      </c>
      <c r="E970" s="202"/>
      <c r="F970" s="199"/>
      <c r="G970" s="199"/>
      <c r="H970" s="199"/>
      <c r="I970" s="199"/>
    </row>
    <row r="971" ht="22.5" hidden="1" customHeight="1">
      <c r="A971" s="175" t="s">
        <v>1467</v>
      </c>
      <c r="B971" s="423" t="s">
        <v>1477</v>
      </c>
      <c r="C971" s="175" t="s">
        <v>1478</v>
      </c>
      <c r="D971" s="175" t="s">
        <v>1479</v>
      </c>
      <c r="E971" s="175" t="s">
        <v>1481</v>
      </c>
      <c r="F971" s="175" t="s">
        <v>1483</v>
      </c>
      <c r="G971" s="175" t="s">
        <v>1484</v>
      </c>
      <c r="H971" s="175" t="s">
        <v>1486</v>
      </c>
      <c r="I971" s="175" t="s">
        <v>1489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22.5" hidden="1" customHeight="1">
      <c r="A972" s="176" t="s">
        <v>3976</v>
      </c>
      <c r="B972" s="399" t="s">
        <v>1029</v>
      </c>
      <c r="C972" s="211">
        <v>1.0</v>
      </c>
      <c r="D972" s="185" t="s">
        <v>1602</v>
      </c>
      <c r="E972" s="188">
        <v>200.24</v>
      </c>
      <c r="F972" s="183">
        <v>46203.0</v>
      </c>
      <c r="G972" s="185" t="s">
        <v>9</v>
      </c>
      <c r="H972" s="185" t="s">
        <v>12</v>
      </c>
      <c r="I972" s="189"/>
    </row>
    <row r="973" ht="22.5" hidden="1" customHeight="1">
      <c r="A973" s="176" t="s">
        <v>3977</v>
      </c>
      <c r="B973" s="399" t="s">
        <v>1617</v>
      </c>
      <c r="C973" s="211">
        <v>1.0</v>
      </c>
      <c r="D973" s="185" t="s">
        <v>1602</v>
      </c>
      <c r="E973" s="188">
        <v>81.06</v>
      </c>
      <c r="F973" s="183">
        <v>46204.0</v>
      </c>
      <c r="G973" s="185" t="s">
        <v>9</v>
      </c>
      <c r="H973" s="185" t="s">
        <v>12</v>
      </c>
      <c r="I973" s="317"/>
    </row>
    <row r="974" ht="22.5" hidden="1" customHeight="1">
      <c r="A974" s="176" t="s">
        <v>3978</v>
      </c>
      <c r="B974" s="407" t="s">
        <v>1137</v>
      </c>
      <c r="C974" s="211">
        <v>1.0</v>
      </c>
      <c r="D974" s="185" t="s">
        <v>1602</v>
      </c>
      <c r="E974" s="188">
        <v>8.01</v>
      </c>
      <c r="F974" s="183">
        <v>46203.0</v>
      </c>
      <c r="G974" s="185" t="s">
        <v>9</v>
      </c>
      <c r="H974" s="185" t="s">
        <v>1133</v>
      </c>
      <c r="I974" s="317" t="s">
        <v>3979</v>
      </c>
    </row>
    <row r="975" ht="22.5" hidden="1" customHeight="1">
      <c r="A975" s="176" t="s">
        <v>3980</v>
      </c>
      <c r="B975" s="397" t="s">
        <v>102</v>
      </c>
      <c r="C975" s="211">
        <v>1.0</v>
      </c>
      <c r="D975" s="185" t="s">
        <v>1602</v>
      </c>
      <c r="E975" s="188">
        <v>22.05</v>
      </c>
      <c r="F975" s="183">
        <v>46199.0</v>
      </c>
      <c r="G975" s="185" t="s">
        <v>9</v>
      </c>
      <c r="H975" s="185" t="s">
        <v>1356</v>
      </c>
      <c r="I975" s="317"/>
    </row>
    <row r="976" ht="22.5" hidden="1" customHeight="1">
      <c r="A976" s="176" t="s">
        <v>3981</v>
      </c>
      <c r="B976" s="399" t="s">
        <v>3982</v>
      </c>
      <c r="C976" s="211">
        <v>1.0</v>
      </c>
      <c r="D976" s="185" t="s">
        <v>1602</v>
      </c>
      <c r="E976" s="188">
        <v>14.42</v>
      </c>
      <c r="F976" s="183">
        <v>46203.0</v>
      </c>
      <c r="G976" s="185" t="s">
        <v>9</v>
      </c>
      <c r="H976" s="185" t="s">
        <v>11</v>
      </c>
      <c r="I976" s="189"/>
    </row>
    <row r="977" ht="22.5" hidden="1" customHeight="1">
      <c r="A977" s="176" t="s">
        <v>3983</v>
      </c>
      <c r="B977" s="402" t="s">
        <v>3984</v>
      </c>
      <c r="C977" s="211">
        <v>1.0</v>
      </c>
      <c r="D977" s="185" t="s">
        <v>1602</v>
      </c>
      <c r="E977" s="188">
        <v>17.59</v>
      </c>
      <c r="F977" s="183">
        <v>46204.0</v>
      </c>
      <c r="G977" s="185" t="s">
        <v>9</v>
      </c>
      <c r="H977" s="185" t="s">
        <v>53</v>
      </c>
      <c r="I977" s="317" t="s">
        <v>3947</v>
      </c>
    </row>
    <row r="978" ht="21.75" hidden="1" customHeight="1">
      <c r="A978" s="193"/>
      <c r="B978" s="194"/>
      <c r="C978" s="195"/>
      <c r="D978" s="194"/>
      <c r="E978" s="196">
        <f>SUM(E972:E977)</f>
        <v>343.37</v>
      </c>
      <c r="F978" s="193"/>
      <c r="G978" s="193"/>
      <c r="H978" s="193"/>
      <c r="I978" s="193"/>
    </row>
    <row r="979" hidden="1">
      <c r="A979" s="199"/>
      <c r="B979" s="200"/>
      <c r="C979" s="201"/>
      <c r="D979" s="200"/>
      <c r="E979" s="202"/>
      <c r="F979" s="199"/>
      <c r="G979" s="199"/>
      <c r="H979" s="199"/>
      <c r="I979" s="199"/>
    </row>
    <row r="980" hidden="1">
      <c r="A980" s="199"/>
      <c r="B980" s="200"/>
      <c r="C980" s="201"/>
      <c r="D980" s="203">
        <v>46205.0</v>
      </c>
      <c r="E980" s="202"/>
      <c r="F980" s="199"/>
      <c r="G980" s="199"/>
      <c r="H980" s="199"/>
      <c r="I980" s="199"/>
    </row>
    <row r="981" ht="22.5" hidden="1" customHeight="1">
      <c r="A981" s="175" t="s">
        <v>1467</v>
      </c>
      <c r="B981" s="175" t="s">
        <v>1477</v>
      </c>
      <c r="C981" s="175" t="s">
        <v>1478</v>
      </c>
      <c r="D981" s="175" t="s">
        <v>1479</v>
      </c>
      <c r="E981" s="175" t="s">
        <v>1481</v>
      </c>
      <c r="F981" s="175" t="s">
        <v>1483</v>
      </c>
      <c r="G981" s="175" t="s">
        <v>1484</v>
      </c>
      <c r="H981" s="175" t="s">
        <v>1486</v>
      </c>
      <c r="I981" s="175" t="s">
        <v>1489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22.5" hidden="1" customHeight="1">
      <c r="A982" s="176" t="s">
        <v>3985</v>
      </c>
      <c r="B982" s="367" t="s">
        <v>472</v>
      </c>
      <c r="C982" s="211">
        <v>1.0</v>
      </c>
      <c r="D982" s="185" t="s">
        <v>1602</v>
      </c>
      <c r="E982" s="188">
        <v>32.58</v>
      </c>
      <c r="F982" s="183">
        <v>46204.0</v>
      </c>
      <c r="G982" s="185" t="s">
        <v>9</v>
      </c>
      <c r="H982" s="185" t="s">
        <v>12</v>
      </c>
      <c r="I982" s="189"/>
    </row>
    <row r="983" ht="22.5" hidden="1" customHeight="1">
      <c r="A983" s="176" t="s">
        <v>3986</v>
      </c>
      <c r="B983" s="177" t="s">
        <v>3987</v>
      </c>
      <c r="C983" s="211">
        <v>1.0</v>
      </c>
      <c r="D983" s="185" t="s">
        <v>1875</v>
      </c>
      <c r="E983" s="188">
        <v>-54.21</v>
      </c>
      <c r="F983" s="183">
        <v>46205.0</v>
      </c>
      <c r="G983" s="185" t="s">
        <v>8</v>
      </c>
      <c r="H983" s="185" t="s">
        <v>12</v>
      </c>
      <c r="I983" s="317"/>
    </row>
    <row r="984" ht="22.5" hidden="1" customHeight="1">
      <c r="A984" s="176" t="s">
        <v>3988</v>
      </c>
      <c r="B984" s="318">
        <v>1.2131000016674E13</v>
      </c>
      <c r="C984" s="211">
        <v>1.0</v>
      </c>
      <c r="D984" s="185" t="s">
        <v>1602</v>
      </c>
      <c r="E984" s="188">
        <v>37.02</v>
      </c>
      <c r="F984" s="183">
        <v>46204.0</v>
      </c>
      <c r="G984" s="185" t="s">
        <v>8</v>
      </c>
      <c r="H984" s="185" t="s">
        <v>11</v>
      </c>
      <c r="I984" s="317"/>
    </row>
    <row r="985" ht="22.5" hidden="1" customHeight="1">
      <c r="A985" s="176" t="s">
        <v>3989</v>
      </c>
      <c r="B985" s="424" t="s">
        <v>1514</v>
      </c>
      <c r="C985" s="211">
        <v>1.0</v>
      </c>
      <c r="D985" s="185" t="s">
        <v>1602</v>
      </c>
      <c r="E985" s="188">
        <v>13.98</v>
      </c>
      <c r="F985" s="183">
        <v>46205.0</v>
      </c>
      <c r="G985" s="185" t="s">
        <v>9</v>
      </c>
      <c r="H985" s="185" t="s">
        <v>11</v>
      </c>
      <c r="I985" s="313"/>
    </row>
    <row r="986" ht="22.5" hidden="1" customHeight="1">
      <c r="A986" s="176" t="s">
        <v>3990</v>
      </c>
      <c r="B986" s="314">
        <v>5.304524887E9</v>
      </c>
      <c r="C986" s="211">
        <v>1.0</v>
      </c>
      <c r="D986" s="185" t="s">
        <v>1602</v>
      </c>
      <c r="E986" s="188">
        <v>45.83</v>
      </c>
      <c r="F986" s="183">
        <v>46205.0</v>
      </c>
      <c r="G986" s="185" t="s">
        <v>9</v>
      </c>
      <c r="H986" s="185" t="s">
        <v>1087</v>
      </c>
      <c r="I986" s="317"/>
    </row>
    <row r="987" ht="22.5" hidden="1" customHeight="1">
      <c r="A987" s="176" t="s">
        <v>3991</v>
      </c>
      <c r="B987" s="367">
        <v>5.30452631E9</v>
      </c>
      <c r="C987" s="211">
        <v>1.0</v>
      </c>
      <c r="D987" s="185" t="s">
        <v>1602</v>
      </c>
      <c r="E987" s="188">
        <v>13.7</v>
      </c>
      <c r="F987" s="183">
        <v>46204.0</v>
      </c>
      <c r="G987" s="185" t="s">
        <v>9</v>
      </c>
      <c r="H987" s="185" t="s">
        <v>1356</v>
      </c>
      <c r="I987" s="317" t="s">
        <v>3992</v>
      </c>
    </row>
    <row r="988" ht="22.5" hidden="1" customHeight="1">
      <c r="A988" s="176" t="s">
        <v>3993</v>
      </c>
      <c r="B988" s="367" t="s">
        <v>2810</v>
      </c>
      <c r="C988" s="211">
        <v>1.0</v>
      </c>
      <c r="D988" s="185" t="s">
        <v>3475</v>
      </c>
      <c r="E988" s="188">
        <v>-204.05</v>
      </c>
      <c r="F988" s="183">
        <v>46205.0</v>
      </c>
      <c r="G988" s="185" t="s">
        <v>9</v>
      </c>
      <c r="H988" s="185" t="s">
        <v>3557</v>
      </c>
      <c r="I988" s="313" t="s">
        <v>3994</v>
      </c>
    </row>
    <row r="989" ht="21.75" hidden="1" customHeight="1">
      <c r="A989" s="193"/>
      <c r="B989" s="194"/>
      <c r="C989" s="195"/>
      <c r="D989" s="194"/>
      <c r="E989" s="196">
        <f>SUM(E982:E988)</f>
        <v>-115.15</v>
      </c>
      <c r="F989" s="193"/>
      <c r="G989" s="193"/>
      <c r="H989" s="193"/>
      <c r="I989" s="193"/>
    </row>
    <row r="990" hidden="1">
      <c r="A990" s="199"/>
      <c r="B990" s="200"/>
      <c r="C990" s="201"/>
      <c r="D990" s="200"/>
      <c r="E990" s="202"/>
      <c r="F990" s="199"/>
      <c r="G990" s="199"/>
      <c r="H990" s="199"/>
      <c r="I990" s="199"/>
    </row>
    <row r="991" hidden="1">
      <c r="A991" s="199"/>
      <c r="B991" s="200"/>
      <c r="C991" s="201"/>
      <c r="D991" s="203">
        <v>46209.0</v>
      </c>
      <c r="E991" s="202"/>
      <c r="F991" s="199"/>
      <c r="G991" s="199"/>
      <c r="H991" s="199"/>
      <c r="I991" s="199"/>
    </row>
    <row r="992" ht="22.5" hidden="1" customHeight="1">
      <c r="A992" s="175" t="s">
        <v>1467</v>
      </c>
      <c r="B992" s="175" t="s">
        <v>1477</v>
      </c>
      <c r="C992" s="175" t="s">
        <v>1478</v>
      </c>
      <c r="D992" s="175" t="s">
        <v>1479</v>
      </c>
      <c r="E992" s="175" t="s">
        <v>1481</v>
      </c>
      <c r="F992" s="175" t="s">
        <v>1483</v>
      </c>
      <c r="G992" s="175" t="s">
        <v>1484</v>
      </c>
      <c r="H992" s="175" t="s">
        <v>1486</v>
      </c>
      <c r="I992" s="175" t="s">
        <v>1489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22.5" hidden="1" customHeight="1">
      <c r="A993" s="176" t="s">
        <v>3995</v>
      </c>
      <c r="B993" s="367">
        <v>1.1635932E7</v>
      </c>
      <c r="C993" s="211">
        <v>1.0</v>
      </c>
      <c r="D993" s="185" t="s">
        <v>1602</v>
      </c>
      <c r="E993" s="188">
        <v>251.59</v>
      </c>
      <c r="F993" s="183">
        <v>46206.0</v>
      </c>
      <c r="G993" s="185" t="s">
        <v>8</v>
      </c>
      <c r="H993" s="185" t="s">
        <v>11</v>
      </c>
      <c r="I993" s="189"/>
    </row>
    <row r="994" ht="22.5" hidden="1" customHeight="1">
      <c r="A994" s="176" t="s">
        <v>3996</v>
      </c>
      <c r="B994" s="318" t="s">
        <v>1395</v>
      </c>
      <c r="C994" s="211">
        <v>1.0</v>
      </c>
      <c r="D994" s="185" t="s">
        <v>1602</v>
      </c>
      <c r="E994" s="188">
        <v>18.09</v>
      </c>
      <c r="F994" s="183">
        <v>46208.0</v>
      </c>
      <c r="G994" s="185" t="s">
        <v>9</v>
      </c>
      <c r="H994" s="185" t="s">
        <v>11</v>
      </c>
      <c r="I994" s="317"/>
    </row>
    <row r="995" ht="22.5" hidden="1" customHeight="1">
      <c r="A995" s="176" t="s">
        <v>3997</v>
      </c>
      <c r="B995" s="314" t="s">
        <v>3287</v>
      </c>
      <c r="C995" s="211">
        <v>1.0</v>
      </c>
      <c r="D995" s="185" t="s">
        <v>1532</v>
      </c>
      <c r="E995" s="188"/>
      <c r="F995" s="183">
        <v>46209.0</v>
      </c>
      <c r="G995" s="185" t="s">
        <v>9</v>
      </c>
      <c r="H995" s="185" t="s">
        <v>11</v>
      </c>
      <c r="I995" s="317" t="s">
        <v>3998</v>
      </c>
    </row>
    <row r="996" ht="22.5" hidden="1" customHeight="1">
      <c r="A996" s="176" t="s">
        <v>3999</v>
      </c>
      <c r="B996" s="386" t="s">
        <v>1369</v>
      </c>
      <c r="C996" s="211">
        <v>1.0</v>
      </c>
      <c r="D996" s="185" t="s">
        <v>1875</v>
      </c>
      <c r="E996" s="188"/>
      <c r="F996" s="183">
        <v>46182.0</v>
      </c>
      <c r="G996" s="185" t="s">
        <v>9</v>
      </c>
      <c r="H996" s="185" t="s">
        <v>1356</v>
      </c>
      <c r="I996" s="317" t="s">
        <v>4000</v>
      </c>
    </row>
    <row r="997" ht="22.5" hidden="1" customHeight="1">
      <c r="A997" s="176" t="s">
        <v>4001</v>
      </c>
      <c r="B997" s="367" t="s">
        <v>318</v>
      </c>
      <c r="C997" s="211">
        <v>1.0</v>
      </c>
      <c r="D997" s="185" t="s">
        <v>1532</v>
      </c>
      <c r="E997" s="188"/>
      <c r="F997" s="183">
        <v>46208.0</v>
      </c>
      <c r="G997" s="185" t="s">
        <v>9</v>
      </c>
      <c r="H997" s="185" t="s">
        <v>12</v>
      </c>
      <c r="I997" s="317" t="s">
        <v>3998</v>
      </c>
    </row>
    <row r="998" ht="22.5" hidden="1" customHeight="1">
      <c r="A998" s="176" t="s">
        <v>4002</v>
      </c>
      <c r="B998" s="177" t="s">
        <v>132</v>
      </c>
      <c r="C998" s="211">
        <v>1.0</v>
      </c>
      <c r="D998" s="185" t="s">
        <v>1602</v>
      </c>
      <c r="E998" s="188">
        <v>33.8</v>
      </c>
      <c r="F998" s="183">
        <v>46208.0</v>
      </c>
      <c r="G998" s="185" t="s">
        <v>9</v>
      </c>
      <c r="H998" s="185" t="s">
        <v>12</v>
      </c>
      <c r="I998" s="317"/>
    </row>
    <row r="999" ht="22.5" hidden="1" customHeight="1">
      <c r="A999" s="176" t="s">
        <v>4003</v>
      </c>
      <c r="B999" s="425" t="s">
        <v>4004</v>
      </c>
      <c r="C999" s="211">
        <v>1.0</v>
      </c>
      <c r="D999" s="185" t="s">
        <v>1602</v>
      </c>
      <c r="E999" s="188">
        <v>3.01</v>
      </c>
      <c r="F999" s="183">
        <v>46208.0</v>
      </c>
      <c r="G999" s="185" t="s">
        <v>9</v>
      </c>
      <c r="H999" s="185" t="s">
        <v>12</v>
      </c>
      <c r="I999" s="317"/>
    </row>
    <row r="1000" ht="22.5" hidden="1" customHeight="1">
      <c r="A1000" s="176" t="s">
        <v>4005</v>
      </c>
      <c r="B1000" s="425" t="s">
        <v>4004</v>
      </c>
      <c r="C1000" s="211">
        <v>1.0</v>
      </c>
      <c r="D1000" s="185" t="s">
        <v>1602</v>
      </c>
      <c r="E1000" s="188">
        <v>2.98</v>
      </c>
      <c r="F1000" s="183">
        <v>46208.0</v>
      </c>
      <c r="G1000" s="185" t="s">
        <v>9</v>
      </c>
      <c r="H1000" s="185" t="s">
        <v>12</v>
      </c>
      <c r="I1000" s="317"/>
    </row>
    <row r="1001" ht="22.5" hidden="1" customHeight="1">
      <c r="A1001" s="176" t="s">
        <v>4006</v>
      </c>
      <c r="B1001" s="425" t="s">
        <v>4004</v>
      </c>
      <c r="C1001" s="211">
        <v>1.0</v>
      </c>
      <c r="D1001" s="185" t="s">
        <v>1602</v>
      </c>
      <c r="E1001" s="188">
        <v>3.13</v>
      </c>
      <c r="F1001" s="183">
        <v>46208.0</v>
      </c>
      <c r="G1001" s="185" t="s">
        <v>9</v>
      </c>
      <c r="H1001" s="185" t="s">
        <v>12</v>
      </c>
      <c r="I1001" s="317"/>
    </row>
    <row r="1002" ht="22.5" hidden="1" customHeight="1">
      <c r="A1002" s="176" t="s">
        <v>4007</v>
      </c>
      <c r="B1002" s="314" t="s">
        <v>14</v>
      </c>
      <c r="C1002" s="211">
        <v>1.0</v>
      </c>
      <c r="D1002" s="185" t="s">
        <v>1602</v>
      </c>
      <c r="E1002" s="188">
        <v>22.36</v>
      </c>
      <c r="F1002" s="183">
        <v>46207.0</v>
      </c>
      <c r="G1002" s="185" t="s">
        <v>9</v>
      </c>
      <c r="H1002" s="185" t="s">
        <v>12</v>
      </c>
      <c r="I1002" s="317"/>
    </row>
    <row r="1003" ht="22.5" hidden="1" customHeight="1">
      <c r="A1003" s="176" t="s">
        <v>4008</v>
      </c>
      <c r="B1003" s="369" t="s">
        <v>1265</v>
      </c>
      <c r="C1003" s="211">
        <v>1.0</v>
      </c>
      <c r="D1003" s="185" t="s">
        <v>1602</v>
      </c>
      <c r="E1003" s="338">
        <v>30.0</v>
      </c>
      <c r="F1003" s="339">
        <v>46206.0</v>
      </c>
      <c r="G1003" s="185" t="s">
        <v>9</v>
      </c>
      <c r="H1003" s="185" t="s">
        <v>12</v>
      </c>
      <c r="I1003" s="335"/>
    </row>
    <row r="1004" ht="22.5" hidden="1" customHeight="1">
      <c r="A1004" s="176" t="s">
        <v>4009</v>
      </c>
      <c r="B1004" s="318" t="s">
        <v>794</v>
      </c>
      <c r="C1004" s="211">
        <v>1.0</v>
      </c>
      <c r="D1004" s="185" t="s">
        <v>1602</v>
      </c>
      <c r="E1004" s="188">
        <v>51.83</v>
      </c>
      <c r="F1004" s="183">
        <v>46206.0</v>
      </c>
      <c r="G1004" s="185" t="s">
        <v>9</v>
      </c>
      <c r="H1004" s="185" t="s">
        <v>12</v>
      </c>
      <c r="I1004" s="317"/>
    </row>
    <row r="1005" ht="22.5" hidden="1" customHeight="1">
      <c r="A1005" s="176" t="s">
        <v>4010</v>
      </c>
      <c r="B1005" s="314" t="s">
        <v>868</v>
      </c>
      <c r="C1005" s="211">
        <v>1.0</v>
      </c>
      <c r="D1005" s="185" t="s">
        <v>1602</v>
      </c>
      <c r="E1005" s="188">
        <v>72.73</v>
      </c>
      <c r="F1005" s="183">
        <v>46206.0</v>
      </c>
      <c r="G1005" s="185" t="s">
        <v>9</v>
      </c>
      <c r="H1005" s="185" t="s">
        <v>12</v>
      </c>
      <c r="I1005" s="317"/>
    </row>
    <row r="1006" ht="22.5" hidden="1" customHeight="1">
      <c r="A1006" s="176" t="s">
        <v>4011</v>
      </c>
      <c r="B1006" s="367" t="s">
        <v>1052</v>
      </c>
      <c r="C1006" s="211">
        <v>1.0</v>
      </c>
      <c r="D1006" s="185" t="s">
        <v>1602</v>
      </c>
      <c r="E1006" s="188">
        <v>77.11</v>
      </c>
      <c r="F1006" s="183">
        <v>46206.0</v>
      </c>
      <c r="G1006" s="185" t="s">
        <v>9</v>
      </c>
      <c r="H1006" s="185" t="s">
        <v>12</v>
      </c>
      <c r="I1006" s="317"/>
    </row>
    <row r="1007" ht="22.5" hidden="1" customHeight="1">
      <c r="A1007" s="376" t="s">
        <v>4012</v>
      </c>
      <c r="B1007" s="367" t="s">
        <v>1092</v>
      </c>
      <c r="C1007" s="211">
        <v>1.0</v>
      </c>
      <c r="D1007" s="185" t="s">
        <v>1602</v>
      </c>
      <c r="E1007" s="188">
        <v>115.59</v>
      </c>
      <c r="F1007" s="183">
        <v>46209.0</v>
      </c>
      <c r="G1007" s="185" t="s">
        <v>9</v>
      </c>
      <c r="H1007" s="185" t="s">
        <v>12</v>
      </c>
      <c r="I1007" s="189"/>
    </row>
    <row r="1008" ht="22.5" hidden="1" customHeight="1">
      <c r="A1008" s="176" t="s">
        <v>4013</v>
      </c>
      <c r="B1008" s="367" t="s">
        <v>923</v>
      </c>
      <c r="C1008" s="211">
        <v>1.0</v>
      </c>
      <c r="D1008" s="185" t="s">
        <v>1602</v>
      </c>
      <c r="E1008" s="188">
        <v>42.39</v>
      </c>
      <c r="F1008" s="183">
        <v>46205.0</v>
      </c>
      <c r="G1008" s="185" t="s">
        <v>9</v>
      </c>
      <c r="H1008" s="185" t="s">
        <v>12</v>
      </c>
      <c r="I1008" s="189"/>
    </row>
    <row r="1009" ht="22.5" hidden="1" customHeight="1">
      <c r="A1009" s="176" t="s">
        <v>4014</v>
      </c>
      <c r="B1009" s="425" t="s">
        <v>4004</v>
      </c>
      <c r="C1009" s="211">
        <v>1.0</v>
      </c>
      <c r="D1009" s="185" t="s">
        <v>1602</v>
      </c>
      <c r="E1009" s="188">
        <v>3.13</v>
      </c>
      <c r="F1009" s="183">
        <v>46205.0</v>
      </c>
      <c r="G1009" s="185" t="s">
        <v>9</v>
      </c>
      <c r="H1009" s="185" t="s">
        <v>12</v>
      </c>
      <c r="I1009" s="317"/>
    </row>
    <row r="1010" ht="22.5" hidden="1" customHeight="1">
      <c r="A1010" s="176" t="s">
        <v>4015</v>
      </c>
      <c r="B1010" s="314" t="s">
        <v>734</v>
      </c>
      <c r="C1010" s="211">
        <v>1.0</v>
      </c>
      <c r="D1010" s="185" t="s">
        <v>1602</v>
      </c>
      <c r="E1010" s="188">
        <v>5.77</v>
      </c>
      <c r="F1010" s="183">
        <v>46208.0</v>
      </c>
      <c r="G1010" s="185" t="s">
        <v>8</v>
      </c>
      <c r="H1010" s="185" t="s">
        <v>12</v>
      </c>
      <c r="I1010" s="317"/>
    </row>
    <row r="1011" ht="22.5" hidden="1" customHeight="1">
      <c r="A1011" s="176" t="s">
        <v>4016</v>
      </c>
      <c r="B1011" s="314" t="s">
        <v>768</v>
      </c>
      <c r="C1011" s="211"/>
      <c r="D1011" s="185" t="s">
        <v>1875</v>
      </c>
      <c r="E1011" s="188">
        <v>-30.68</v>
      </c>
      <c r="F1011" s="183">
        <v>6697275.0</v>
      </c>
      <c r="G1011" s="185" t="s">
        <v>8</v>
      </c>
      <c r="H1011" s="185" t="s">
        <v>12</v>
      </c>
      <c r="I1011" s="317"/>
    </row>
    <row r="1012" ht="22.5" hidden="1" customHeight="1">
      <c r="A1012" s="176" t="s">
        <v>4017</v>
      </c>
      <c r="B1012" s="314" t="s">
        <v>4018</v>
      </c>
      <c r="C1012" s="211">
        <v>1.0</v>
      </c>
      <c r="D1012" s="185" t="s">
        <v>1532</v>
      </c>
      <c r="E1012" s="188"/>
      <c r="F1012" s="183">
        <v>46205.0</v>
      </c>
      <c r="G1012" s="185" t="s">
        <v>9</v>
      </c>
      <c r="H1012" s="185" t="s">
        <v>3557</v>
      </c>
      <c r="I1012" s="317" t="s">
        <v>3998</v>
      </c>
    </row>
    <row r="1013" ht="22.5" hidden="1" customHeight="1">
      <c r="A1013" s="176" t="s">
        <v>4019</v>
      </c>
      <c r="B1013" s="314" t="s">
        <v>205</v>
      </c>
      <c r="C1013" s="211">
        <v>1.0</v>
      </c>
      <c r="D1013" s="185" t="s">
        <v>1602</v>
      </c>
      <c r="E1013" s="188">
        <v>61.07</v>
      </c>
      <c r="F1013" s="183">
        <v>46209.0</v>
      </c>
      <c r="G1013" s="185" t="s">
        <v>8</v>
      </c>
      <c r="H1013" s="185" t="s">
        <v>53</v>
      </c>
      <c r="I1013" s="317"/>
    </row>
    <row r="1014" ht="22.5" hidden="1" customHeight="1">
      <c r="A1014" s="176" t="s">
        <v>4020</v>
      </c>
      <c r="B1014" s="314" t="s">
        <v>3166</v>
      </c>
      <c r="C1014" s="211">
        <v>1.0</v>
      </c>
      <c r="D1014" s="185" t="s">
        <v>1602</v>
      </c>
      <c r="E1014" s="188">
        <v>21.22</v>
      </c>
      <c r="F1014" s="183">
        <v>46209.0</v>
      </c>
      <c r="G1014" s="185" t="s">
        <v>9</v>
      </c>
      <c r="H1014" s="185" t="s">
        <v>53</v>
      </c>
      <c r="I1014" s="317"/>
    </row>
    <row r="1015" ht="22.5" hidden="1" customHeight="1">
      <c r="A1015" s="176" t="s">
        <v>4021</v>
      </c>
      <c r="B1015" s="314" t="s">
        <v>4022</v>
      </c>
      <c r="C1015" s="211">
        <v>1.0</v>
      </c>
      <c r="D1015" s="185" t="s">
        <v>1602</v>
      </c>
      <c r="E1015" s="188">
        <v>64.59</v>
      </c>
      <c r="F1015" s="183">
        <v>46206.0</v>
      </c>
      <c r="G1015" s="185" t="s">
        <v>8</v>
      </c>
      <c r="H1015" s="185" t="s">
        <v>1601</v>
      </c>
      <c r="I1015" s="317"/>
    </row>
    <row r="1016" ht="22.5" hidden="1" customHeight="1">
      <c r="A1016" s="176" t="s">
        <v>4023</v>
      </c>
      <c r="B1016" s="314" t="s">
        <v>4024</v>
      </c>
      <c r="C1016" s="211">
        <v>1.0</v>
      </c>
      <c r="D1016" s="185" t="s">
        <v>1602</v>
      </c>
      <c r="E1016" s="188">
        <v>17.76</v>
      </c>
      <c r="F1016" s="183">
        <v>46208.0</v>
      </c>
      <c r="G1016" s="185" t="s">
        <v>9</v>
      </c>
      <c r="H1016" s="185" t="s">
        <v>351</v>
      </c>
      <c r="I1016" s="317"/>
    </row>
    <row r="1017" ht="21.75" hidden="1" customHeight="1">
      <c r="A1017" s="176" t="s">
        <v>4025</v>
      </c>
      <c r="B1017" s="314" t="s">
        <v>106</v>
      </c>
      <c r="C1017" s="211">
        <v>1.0</v>
      </c>
      <c r="D1017" s="185" t="s">
        <v>1602</v>
      </c>
      <c r="E1017" s="188">
        <v>20.91</v>
      </c>
      <c r="F1017" s="183">
        <v>46207.0</v>
      </c>
      <c r="G1017" s="185" t="s">
        <v>9</v>
      </c>
      <c r="H1017" s="185" t="s">
        <v>351</v>
      </c>
      <c r="I1017" s="317"/>
    </row>
    <row r="1018" ht="22.5" hidden="1" customHeight="1">
      <c r="A1018" s="176" t="s">
        <v>4026</v>
      </c>
      <c r="B1018" s="314" t="s">
        <v>4027</v>
      </c>
      <c r="C1018" s="211">
        <v>1.0</v>
      </c>
      <c r="D1018" s="185" t="s">
        <v>1602</v>
      </c>
      <c r="E1018" s="188">
        <v>34.49</v>
      </c>
      <c r="F1018" s="183">
        <v>46206.0</v>
      </c>
      <c r="G1018" s="185" t="s">
        <v>9</v>
      </c>
      <c r="H1018" s="185" t="s">
        <v>351</v>
      </c>
      <c r="I1018" s="317"/>
    </row>
    <row r="1019" ht="22.5" hidden="1" customHeight="1">
      <c r="A1019" s="193"/>
      <c r="B1019" s="194"/>
      <c r="C1019" s="195"/>
      <c r="D1019" s="194"/>
      <c r="E1019" s="196">
        <f>SUM(E993:E1018)</f>
        <v>922.87</v>
      </c>
      <c r="F1019" s="193"/>
      <c r="G1019" s="193"/>
      <c r="H1019" s="193"/>
      <c r="I1019" s="193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hidden="1">
      <c r="A1020" s="199"/>
      <c r="B1020" s="200"/>
      <c r="C1020" s="201"/>
      <c r="D1020" s="200"/>
      <c r="E1020" s="202"/>
      <c r="F1020" s="199"/>
      <c r="G1020" s="199"/>
      <c r="H1020" s="199"/>
      <c r="I1020" s="199"/>
    </row>
    <row r="1021" hidden="1">
      <c r="A1021" s="199"/>
      <c r="B1021" s="200"/>
      <c r="C1021" s="201"/>
      <c r="D1021" s="203">
        <v>46210.0</v>
      </c>
      <c r="E1021" s="202"/>
      <c r="F1021" s="199"/>
      <c r="G1021" s="199"/>
      <c r="H1021" s="199"/>
      <c r="I1021" s="199"/>
    </row>
    <row r="1022" ht="22.5" hidden="1" customHeight="1">
      <c r="A1022" s="175" t="s">
        <v>1467</v>
      </c>
      <c r="B1022" s="175" t="s">
        <v>1477</v>
      </c>
      <c r="C1022" s="175" t="s">
        <v>1478</v>
      </c>
      <c r="D1022" s="175" t="s">
        <v>1479</v>
      </c>
      <c r="E1022" s="175" t="s">
        <v>1481</v>
      </c>
      <c r="F1022" s="175" t="s">
        <v>1483</v>
      </c>
      <c r="G1022" s="175" t="s">
        <v>1484</v>
      </c>
      <c r="H1022" s="175" t="s">
        <v>1486</v>
      </c>
      <c r="I1022" s="175" t="s">
        <v>1489</v>
      </c>
    </row>
    <row r="1023" ht="22.5" hidden="1" customHeight="1">
      <c r="A1023" s="176" t="s">
        <v>4028</v>
      </c>
      <c r="B1023" s="410" t="s">
        <v>2794</v>
      </c>
      <c r="C1023" s="211">
        <v>1.0</v>
      </c>
      <c r="D1023" s="185" t="s">
        <v>1602</v>
      </c>
      <c r="E1023" s="188">
        <v>78.42</v>
      </c>
      <c r="F1023" s="183">
        <v>46207.0</v>
      </c>
      <c r="G1023" s="185" t="s">
        <v>9</v>
      </c>
      <c r="H1023" s="185" t="s">
        <v>3557</v>
      </c>
      <c r="I1023" s="317" t="s">
        <v>3947</v>
      </c>
    </row>
    <row r="1024" ht="22.5" hidden="1" customHeight="1">
      <c r="A1024" s="176" t="s">
        <v>4029</v>
      </c>
      <c r="B1024" s="410" t="s">
        <v>782</v>
      </c>
      <c r="C1024" s="211">
        <v>1.0</v>
      </c>
      <c r="D1024" s="185" t="s">
        <v>1602</v>
      </c>
      <c r="E1024" s="188">
        <v>95.66</v>
      </c>
      <c r="F1024" s="183">
        <v>46206.0</v>
      </c>
      <c r="G1024" s="185" t="s">
        <v>9</v>
      </c>
      <c r="H1024" s="185" t="s">
        <v>3557</v>
      </c>
      <c r="I1024" s="317" t="s">
        <v>4030</v>
      </c>
    </row>
    <row r="1025" ht="22.5" hidden="1" customHeight="1">
      <c r="A1025" s="176" t="s">
        <v>4031</v>
      </c>
      <c r="B1025" s="426" t="s">
        <v>876</v>
      </c>
      <c r="C1025" s="337">
        <v>1.0</v>
      </c>
      <c r="D1025" s="384" t="s">
        <v>1602</v>
      </c>
      <c r="E1025" s="338">
        <v>20.63</v>
      </c>
      <c r="F1025" s="339">
        <v>46209.0</v>
      </c>
      <c r="G1025" s="185" t="s">
        <v>9</v>
      </c>
      <c r="H1025" s="334" t="s">
        <v>1133</v>
      </c>
      <c r="I1025" s="427" t="s">
        <v>4032</v>
      </c>
    </row>
    <row r="1026" ht="22.5" hidden="1" customHeight="1">
      <c r="A1026" s="176" t="s">
        <v>4033</v>
      </c>
      <c r="B1026" s="410">
        <v>5.304535923E9</v>
      </c>
      <c r="C1026" s="428">
        <v>1.0</v>
      </c>
      <c r="D1026" s="384" t="s">
        <v>3475</v>
      </c>
      <c r="E1026" s="338">
        <v>-79.57</v>
      </c>
      <c r="F1026" s="339">
        <v>46210.0</v>
      </c>
      <c r="G1026" s="185" t="s">
        <v>9</v>
      </c>
      <c r="H1026" s="334" t="s">
        <v>1133</v>
      </c>
      <c r="I1026" s="335"/>
    </row>
    <row r="1027" ht="22.5" hidden="1" customHeight="1">
      <c r="A1027" s="176" t="s">
        <v>4034</v>
      </c>
      <c r="B1027" s="396" t="s">
        <v>4035</v>
      </c>
      <c r="C1027" s="211">
        <v>1.0</v>
      </c>
      <c r="D1027" s="185" t="s">
        <v>1602</v>
      </c>
      <c r="E1027" s="188">
        <v>85.51</v>
      </c>
      <c r="F1027" s="183">
        <v>46209.0</v>
      </c>
      <c r="G1027" s="185" t="s">
        <v>8</v>
      </c>
      <c r="H1027" s="185" t="s">
        <v>3530</v>
      </c>
      <c r="I1027" s="189"/>
    </row>
    <row r="1028" ht="22.5" hidden="1" customHeight="1">
      <c r="A1028" s="176" t="s">
        <v>4036</v>
      </c>
      <c r="B1028" s="410" t="s">
        <v>219</v>
      </c>
      <c r="C1028" s="211">
        <v>1.0</v>
      </c>
      <c r="D1028" s="185" t="s">
        <v>1602</v>
      </c>
      <c r="E1028" s="188">
        <v>26.09</v>
      </c>
      <c r="F1028" s="183">
        <v>46209.0</v>
      </c>
      <c r="G1028" s="185" t="s">
        <v>9</v>
      </c>
      <c r="H1028" s="185" t="s">
        <v>12</v>
      </c>
      <c r="I1028" s="317"/>
    </row>
    <row r="1029" ht="22.5" hidden="1" customHeight="1">
      <c r="A1029" s="176" t="s">
        <v>4037</v>
      </c>
      <c r="B1029" s="410" t="s">
        <v>1163</v>
      </c>
      <c r="C1029" s="211">
        <v>1.0</v>
      </c>
      <c r="D1029" s="185" t="s">
        <v>1602</v>
      </c>
      <c r="E1029" s="188">
        <v>103.87</v>
      </c>
      <c r="F1029" s="183">
        <v>46209.0</v>
      </c>
      <c r="G1029" s="185" t="s">
        <v>9</v>
      </c>
      <c r="H1029" s="185" t="s">
        <v>12</v>
      </c>
      <c r="I1029" s="317"/>
    </row>
    <row r="1030" ht="22.5" hidden="1" customHeight="1">
      <c r="A1030" s="176" t="s">
        <v>4038</v>
      </c>
      <c r="B1030" s="410" t="s">
        <v>4039</v>
      </c>
      <c r="C1030" s="211">
        <v>1.0</v>
      </c>
      <c r="D1030" s="185" t="s">
        <v>1602</v>
      </c>
      <c r="E1030" s="188">
        <v>57.33</v>
      </c>
      <c r="F1030" s="183">
        <v>46209.0</v>
      </c>
      <c r="G1030" s="185" t="s">
        <v>9</v>
      </c>
      <c r="H1030" s="185" t="s">
        <v>12</v>
      </c>
      <c r="I1030" s="317"/>
    </row>
    <row r="1031" ht="22.5" hidden="1" customHeight="1">
      <c r="A1031" s="176" t="s">
        <v>4040</v>
      </c>
      <c r="B1031" s="410" t="s">
        <v>584</v>
      </c>
      <c r="C1031" s="211">
        <v>1.0</v>
      </c>
      <c r="D1031" s="185" t="s">
        <v>3475</v>
      </c>
      <c r="E1031" s="188">
        <v>-40.38</v>
      </c>
      <c r="F1031" s="183">
        <v>46210.0</v>
      </c>
      <c r="G1031" s="185" t="s">
        <v>9</v>
      </c>
      <c r="H1031" s="185" t="s">
        <v>351</v>
      </c>
      <c r="I1031" s="317"/>
    </row>
    <row r="1032" ht="22.5" hidden="1" customHeight="1">
      <c r="A1032" s="176" t="s">
        <v>4041</v>
      </c>
      <c r="B1032" s="410" t="s">
        <v>14</v>
      </c>
      <c r="C1032" s="211">
        <v>1.0</v>
      </c>
      <c r="D1032" s="185" t="s">
        <v>1602</v>
      </c>
      <c r="E1032" s="188">
        <v>21.87</v>
      </c>
      <c r="F1032" s="183">
        <v>46210.0</v>
      </c>
      <c r="G1032" s="185" t="s">
        <v>9</v>
      </c>
      <c r="H1032" s="185" t="s">
        <v>1356</v>
      </c>
      <c r="I1032" s="317"/>
    </row>
    <row r="1033" ht="22.5" hidden="1" customHeight="1">
      <c r="A1033" s="176" t="s">
        <v>4042</v>
      </c>
      <c r="B1033" s="410" t="s">
        <v>1367</v>
      </c>
      <c r="C1033" s="211">
        <v>1.0</v>
      </c>
      <c r="D1033" s="185" t="s">
        <v>1602</v>
      </c>
      <c r="E1033" s="188">
        <v>7.15</v>
      </c>
      <c r="F1033" s="183">
        <v>46209.0</v>
      </c>
      <c r="G1033" s="185" t="s">
        <v>9</v>
      </c>
      <c r="H1033" s="185" t="s">
        <v>1356</v>
      </c>
      <c r="I1033" s="317"/>
    </row>
    <row r="1034" ht="21.75" hidden="1" customHeight="1">
      <c r="A1034" s="176" t="s">
        <v>4043</v>
      </c>
      <c r="B1034" s="429" t="s">
        <v>4044</v>
      </c>
      <c r="C1034" s="337">
        <v>1.0</v>
      </c>
      <c r="D1034" s="384" t="s">
        <v>3475</v>
      </c>
      <c r="E1034" s="338">
        <v>-175.29</v>
      </c>
      <c r="F1034" s="339">
        <v>46210.0</v>
      </c>
      <c r="G1034" s="185" t="s">
        <v>9</v>
      </c>
      <c r="H1034" s="334" t="s">
        <v>53</v>
      </c>
      <c r="I1034" s="335"/>
    </row>
    <row r="1035" ht="22.5" hidden="1" customHeight="1">
      <c r="A1035" s="176" t="s">
        <v>4045</v>
      </c>
      <c r="B1035" s="396" t="s">
        <v>654</v>
      </c>
      <c r="C1035" s="211">
        <v>1.0</v>
      </c>
      <c r="D1035" s="185" t="s">
        <v>1602</v>
      </c>
      <c r="E1035" s="188">
        <v>22.42</v>
      </c>
      <c r="F1035" s="183">
        <v>46210.0</v>
      </c>
      <c r="G1035" s="185" t="s">
        <v>8</v>
      </c>
      <c r="H1035" s="185" t="s">
        <v>53</v>
      </c>
      <c r="I1035" s="317"/>
    </row>
    <row r="1036" ht="22.5" hidden="1" customHeight="1">
      <c r="A1036" s="176" t="s">
        <v>4046</v>
      </c>
      <c r="B1036" s="387" t="s">
        <v>102</v>
      </c>
      <c r="C1036" s="211">
        <v>1.0</v>
      </c>
      <c r="D1036" s="185" t="s">
        <v>1602</v>
      </c>
      <c r="E1036" s="188">
        <v>25.53</v>
      </c>
      <c r="F1036" s="183">
        <v>46210.0</v>
      </c>
      <c r="G1036" s="185" t="s">
        <v>9</v>
      </c>
      <c r="H1036" s="185" t="s">
        <v>53</v>
      </c>
      <c r="I1036" s="317" t="s">
        <v>4047</v>
      </c>
    </row>
    <row r="1037" ht="22.5" hidden="1" customHeight="1">
      <c r="A1037" s="176" t="s">
        <v>4048</v>
      </c>
      <c r="B1037" s="387">
        <v>5.304526032E9</v>
      </c>
      <c r="C1037" s="211">
        <v>1.0</v>
      </c>
      <c r="D1037" s="185" t="s">
        <v>1602</v>
      </c>
      <c r="E1037" s="188">
        <v>30.18</v>
      </c>
      <c r="F1037" s="183">
        <v>46210.0</v>
      </c>
      <c r="G1037" s="185" t="s">
        <v>8</v>
      </c>
      <c r="H1037" s="185" t="s">
        <v>1601</v>
      </c>
      <c r="I1037" s="317"/>
    </row>
    <row r="1038" ht="22.5" hidden="1" customHeight="1">
      <c r="A1038" s="176" t="s">
        <v>4049</v>
      </c>
      <c r="B1038" s="387" t="s">
        <v>1656</v>
      </c>
      <c r="C1038" s="211">
        <v>1.0</v>
      </c>
      <c r="D1038" s="185" t="s">
        <v>1602</v>
      </c>
      <c r="E1038" s="188">
        <v>93.99</v>
      </c>
      <c r="F1038" s="183">
        <v>46209.0</v>
      </c>
      <c r="G1038" s="185" t="s">
        <v>8</v>
      </c>
      <c r="H1038" s="185" t="s">
        <v>1601</v>
      </c>
      <c r="I1038" s="317"/>
    </row>
    <row r="1039" ht="22.5" hidden="1" customHeight="1">
      <c r="A1039" s="176" t="s">
        <v>4050</v>
      </c>
      <c r="B1039" s="388" t="s">
        <v>1274</v>
      </c>
      <c r="C1039" s="211">
        <v>1.0</v>
      </c>
      <c r="D1039" s="185" t="s">
        <v>1602</v>
      </c>
      <c r="E1039" s="188">
        <v>8.24</v>
      </c>
      <c r="F1039" s="183">
        <v>46210.0</v>
      </c>
      <c r="G1039" s="185" t="s">
        <v>9</v>
      </c>
      <c r="H1039" s="185" t="s">
        <v>1601</v>
      </c>
      <c r="I1039" s="317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ht="22.5" hidden="1" customHeight="1">
      <c r="A1040" s="176" t="s">
        <v>4051</v>
      </c>
      <c r="B1040" s="387" t="s">
        <v>106</v>
      </c>
      <c r="C1040" s="211">
        <v>1.0</v>
      </c>
      <c r="D1040" s="185" t="s">
        <v>1602</v>
      </c>
      <c r="E1040" s="188">
        <v>20.98</v>
      </c>
      <c r="F1040" s="183">
        <v>46210.0</v>
      </c>
      <c r="G1040" s="185" t="s">
        <v>9</v>
      </c>
      <c r="H1040" s="185" t="s">
        <v>1601</v>
      </c>
      <c r="I1040" s="317"/>
    </row>
    <row r="1041" ht="22.5" hidden="1" customHeight="1">
      <c r="A1041" s="193"/>
      <c r="B1041" s="194"/>
      <c r="C1041" s="195"/>
      <c r="D1041" s="194"/>
      <c r="E1041" s="196">
        <f>SUM(E1023:E1040)</f>
        <v>402.63</v>
      </c>
      <c r="F1041" s="193"/>
      <c r="G1041" s="193"/>
      <c r="H1041" s="193"/>
      <c r="I1041" s="193"/>
    </row>
    <row r="1042" hidden="1">
      <c r="A1042" s="199"/>
      <c r="B1042" s="200"/>
      <c r="C1042" s="201"/>
      <c r="D1042" s="200"/>
      <c r="E1042" s="202"/>
      <c r="F1042" s="199"/>
      <c r="G1042" s="199"/>
      <c r="H1042" s="199"/>
      <c r="I1042" s="199"/>
    </row>
    <row r="1043" hidden="1">
      <c r="A1043" s="199"/>
      <c r="B1043" s="200"/>
      <c r="C1043" s="201"/>
      <c r="D1043" s="200"/>
      <c r="E1043" s="202"/>
      <c r="F1043" s="199"/>
      <c r="G1043" s="199"/>
      <c r="H1043" s="199"/>
      <c r="I1043" s="199"/>
    </row>
    <row r="1044" hidden="1">
      <c r="A1044" s="199"/>
      <c r="B1044" s="200"/>
      <c r="C1044" s="201"/>
      <c r="D1044" s="203">
        <v>46211.0</v>
      </c>
      <c r="E1044" s="202"/>
      <c r="F1044" s="199"/>
      <c r="G1044" s="199"/>
      <c r="H1044" s="199"/>
      <c r="I1044" s="199"/>
    </row>
    <row r="1045" ht="21.75" hidden="1" customHeight="1">
      <c r="A1045" s="175" t="s">
        <v>1467</v>
      </c>
      <c r="B1045" s="175" t="s">
        <v>1477</v>
      </c>
      <c r="C1045" s="175" t="s">
        <v>1478</v>
      </c>
      <c r="D1045" s="175" t="s">
        <v>1479</v>
      </c>
      <c r="E1045" s="175" t="s">
        <v>1481</v>
      </c>
      <c r="F1045" s="175" t="s">
        <v>1483</v>
      </c>
      <c r="G1045" s="175" t="s">
        <v>1484</v>
      </c>
      <c r="H1045" s="175" t="s">
        <v>1486</v>
      </c>
      <c r="I1045" s="175" t="s">
        <v>1489</v>
      </c>
    </row>
    <row r="1046" ht="22.5" hidden="1" customHeight="1">
      <c r="A1046" s="176" t="s">
        <v>4052</v>
      </c>
      <c r="B1046" s="410" t="s">
        <v>1320</v>
      </c>
      <c r="C1046" s="211">
        <v>1.0</v>
      </c>
      <c r="D1046" s="185" t="s">
        <v>1532</v>
      </c>
      <c r="E1046" s="188"/>
      <c r="F1046" s="183">
        <v>46209.0</v>
      </c>
      <c r="G1046" s="185" t="s">
        <v>9</v>
      </c>
      <c r="H1046" s="185" t="s">
        <v>1087</v>
      </c>
      <c r="I1046" s="317" t="s">
        <v>4053</v>
      </c>
    </row>
    <row r="1047" ht="22.5" hidden="1" customHeight="1">
      <c r="A1047" s="176" t="s">
        <v>4054</v>
      </c>
      <c r="B1047" s="399" t="s">
        <v>4055</v>
      </c>
      <c r="C1047" s="211">
        <v>1.0</v>
      </c>
      <c r="D1047" s="185" t="s">
        <v>1602</v>
      </c>
      <c r="E1047" s="188">
        <v>52.69</v>
      </c>
      <c r="F1047" s="183">
        <v>46209.0</v>
      </c>
      <c r="G1047" s="185" t="s">
        <v>9</v>
      </c>
      <c r="H1047" s="185" t="s">
        <v>12</v>
      </c>
      <c r="I1047" s="189"/>
    </row>
    <row r="1048" ht="22.5" hidden="1" customHeight="1">
      <c r="A1048" s="376" t="s">
        <v>4056</v>
      </c>
      <c r="B1048" s="399" t="s">
        <v>4057</v>
      </c>
      <c r="C1048" s="211">
        <v>1.0</v>
      </c>
      <c r="D1048" s="185" t="s">
        <v>1602</v>
      </c>
      <c r="E1048" s="188">
        <v>166.52</v>
      </c>
      <c r="F1048" s="183">
        <v>46211.0</v>
      </c>
      <c r="G1048" s="185" t="s">
        <v>9</v>
      </c>
      <c r="H1048" s="185" t="s">
        <v>12</v>
      </c>
      <c r="I1048" s="317"/>
    </row>
    <row r="1049" ht="22.5" hidden="1" customHeight="1">
      <c r="A1049" s="176" t="s">
        <v>4058</v>
      </c>
      <c r="B1049" s="397" t="s">
        <v>818</v>
      </c>
      <c r="C1049" s="211">
        <v>1.0</v>
      </c>
      <c r="D1049" s="185" t="s">
        <v>1602</v>
      </c>
      <c r="E1049" s="188">
        <v>36.84</v>
      </c>
      <c r="F1049" s="183">
        <v>46211.0</v>
      </c>
      <c r="G1049" s="185" t="s">
        <v>9</v>
      </c>
      <c r="H1049" s="185" t="s">
        <v>12</v>
      </c>
      <c r="I1049" s="317"/>
    </row>
    <row r="1050" ht="22.5" hidden="1" customHeight="1">
      <c r="A1050" s="176" t="s">
        <v>4059</v>
      </c>
      <c r="B1050" s="407" t="s">
        <v>4060</v>
      </c>
      <c r="C1050" s="211">
        <v>1.0</v>
      </c>
      <c r="D1050" s="185" t="s">
        <v>1602</v>
      </c>
      <c r="E1050" s="188">
        <v>48.86</v>
      </c>
      <c r="F1050" s="183">
        <v>46210.0</v>
      </c>
      <c r="G1050" s="185" t="s">
        <v>9</v>
      </c>
      <c r="H1050" s="185" t="s">
        <v>53</v>
      </c>
      <c r="I1050" s="317"/>
    </row>
    <row r="1051" ht="22.5" hidden="1" customHeight="1">
      <c r="A1051" s="176" t="s">
        <v>4061</v>
      </c>
      <c r="B1051" s="410" t="s">
        <v>3176</v>
      </c>
      <c r="C1051" s="211">
        <v>1.0</v>
      </c>
      <c r="D1051" s="185" t="s">
        <v>1602</v>
      </c>
      <c r="E1051" s="188">
        <v>17.82</v>
      </c>
      <c r="F1051" s="183">
        <v>46210.0</v>
      </c>
      <c r="G1051" s="185" t="s">
        <v>9</v>
      </c>
      <c r="H1051" s="185" t="s">
        <v>53</v>
      </c>
      <c r="I1051" s="317"/>
    </row>
    <row r="1052" ht="22.5" hidden="1" customHeight="1">
      <c r="A1052" s="176" t="s">
        <v>4062</v>
      </c>
      <c r="B1052" s="399" t="s">
        <v>2500</v>
      </c>
      <c r="C1052" s="211">
        <v>1.0</v>
      </c>
      <c r="D1052" s="185" t="s">
        <v>3475</v>
      </c>
      <c r="E1052" s="188">
        <v>-28.19</v>
      </c>
      <c r="F1052" s="183">
        <v>46211.0</v>
      </c>
      <c r="G1052" s="185" t="s">
        <v>9</v>
      </c>
      <c r="H1052" s="185" t="s">
        <v>53</v>
      </c>
      <c r="I1052" s="189"/>
    </row>
    <row r="1053" ht="22.5" hidden="1" customHeight="1">
      <c r="A1053" s="176" t="s">
        <v>4063</v>
      </c>
      <c r="B1053" s="399" t="s">
        <v>3013</v>
      </c>
      <c r="C1053" s="211">
        <v>1.0</v>
      </c>
      <c r="D1053" s="185" t="s">
        <v>1602</v>
      </c>
      <c r="E1053" s="188">
        <v>80.36</v>
      </c>
      <c r="F1053" s="183">
        <v>46211.0</v>
      </c>
      <c r="G1053" s="185" t="s">
        <v>9</v>
      </c>
      <c r="H1053" s="185" t="s">
        <v>53</v>
      </c>
      <c r="I1053" s="317"/>
    </row>
    <row r="1054" ht="22.5" hidden="1" customHeight="1">
      <c r="A1054" s="193"/>
      <c r="B1054" s="194"/>
      <c r="C1054" s="195"/>
      <c r="D1054" s="194"/>
      <c r="E1054" s="196">
        <f>SUM(E1046:E1053)</f>
        <v>374.9</v>
      </c>
      <c r="F1054" s="193"/>
      <c r="G1054" s="193"/>
      <c r="H1054" s="193"/>
      <c r="I1054" s="193"/>
    </row>
    <row r="1055" hidden="1">
      <c r="A1055" s="199"/>
      <c r="B1055" s="200"/>
      <c r="C1055" s="201"/>
      <c r="D1055" s="200"/>
      <c r="E1055" s="202"/>
      <c r="F1055" s="199"/>
      <c r="G1055" s="199"/>
      <c r="H1055" s="199"/>
      <c r="I1055" s="199"/>
    </row>
    <row r="1056" hidden="1">
      <c r="A1056" s="199"/>
      <c r="B1056" s="200"/>
      <c r="C1056" s="201"/>
      <c r="D1056" s="203">
        <v>46212.0</v>
      </c>
      <c r="E1056" s="202"/>
      <c r="F1056" s="199"/>
      <c r="G1056" s="199"/>
      <c r="H1056" s="199"/>
      <c r="I1056" s="199"/>
    </row>
    <row r="1057" ht="21.75" hidden="1" customHeight="1">
      <c r="A1057" s="175" t="s">
        <v>1467</v>
      </c>
      <c r="B1057" s="175" t="s">
        <v>1477</v>
      </c>
      <c r="C1057" s="175" t="s">
        <v>1478</v>
      </c>
      <c r="D1057" s="175" t="s">
        <v>1479</v>
      </c>
      <c r="E1057" s="175" t="s">
        <v>1481</v>
      </c>
      <c r="F1057" s="175" t="s">
        <v>1483</v>
      </c>
      <c r="G1057" s="175" t="s">
        <v>1484</v>
      </c>
      <c r="H1057" s="175" t="s">
        <v>1486</v>
      </c>
      <c r="I1057" s="175" t="s">
        <v>1489</v>
      </c>
    </row>
    <row r="1058" ht="22.5" hidden="1" customHeight="1">
      <c r="A1058" s="176" t="s">
        <v>4064</v>
      </c>
      <c r="B1058" s="399" t="s">
        <v>2902</v>
      </c>
      <c r="C1058" s="211">
        <v>1.0</v>
      </c>
      <c r="D1058" s="185" t="s">
        <v>1532</v>
      </c>
      <c r="E1058" s="188"/>
      <c r="F1058" s="183">
        <v>46211.0</v>
      </c>
      <c r="G1058" s="185" t="s">
        <v>9</v>
      </c>
      <c r="H1058" s="185" t="s">
        <v>3557</v>
      </c>
      <c r="I1058" s="186" t="s">
        <v>4065</v>
      </c>
    </row>
    <row r="1059" ht="22.5" hidden="1" customHeight="1">
      <c r="A1059" s="176" t="s">
        <v>4066</v>
      </c>
      <c r="B1059" s="397">
        <v>5.304536607E9</v>
      </c>
      <c r="C1059" s="211">
        <v>1.0</v>
      </c>
      <c r="D1059" s="185" t="s">
        <v>1602</v>
      </c>
      <c r="E1059" s="188">
        <v>30.04</v>
      </c>
      <c r="F1059" s="183">
        <v>46211.0</v>
      </c>
      <c r="G1059" s="185" t="s">
        <v>9</v>
      </c>
      <c r="H1059" s="185" t="s">
        <v>3596</v>
      </c>
      <c r="I1059" s="317" t="s">
        <v>4067</v>
      </c>
    </row>
    <row r="1060" ht="22.5" hidden="1" customHeight="1">
      <c r="A1060" s="176" t="s">
        <v>4068</v>
      </c>
      <c r="B1060" s="399" t="s">
        <v>274</v>
      </c>
      <c r="C1060" s="211">
        <v>1.0</v>
      </c>
      <c r="D1060" s="185" t="s">
        <v>1602</v>
      </c>
      <c r="E1060" s="188">
        <v>65.09</v>
      </c>
      <c r="F1060" s="183">
        <v>46211.0</v>
      </c>
      <c r="G1060" s="185" t="s">
        <v>8</v>
      </c>
      <c r="H1060" s="185" t="s">
        <v>12</v>
      </c>
      <c r="I1060" s="317"/>
    </row>
    <row r="1061" ht="22.5" hidden="1" customHeight="1">
      <c r="A1061" s="176" t="s">
        <v>4069</v>
      </c>
      <c r="B1061" s="399" t="s">
        <v>106</v>
      </c>
      <c r="C1061" s="211">
        <v>1.0</v>
      </c>
      <c r="D1061" s="185" t="s">
        <v>1602</v>
      </c>
      <c r="E1061" s="188">
        <v>25.68</v>
      </c>
      <c r="F1061" s="183">
        <v>46211.0</v>
      </c>
      <c r="G1061" s="185" t="s">
        <v>9</v>
      </c>
      <c r="H1061" s="185" t="s">
        <v>53</v>
      </c>
      <c r="I1061" s="186" t="s">
        <v>3947</v>
      </c>
    </row>
    <row r="1062" ht="22.5" hidden="1" customHeight="1">
      <c r="A1062" s="176" t="s">
        <v>4070</v>
      </c>
      <c r="B1062" s="177" t="s">
        <v>3165</v>
      </c>
      <c r="C1062" s="211">
        <v>1.0</v>
      </c>
      <c r="D1062" s="185" t="s">
        <v>1602</v>
      </c>
      <c r="E1062" s="188">
        <v>96.55</v>
      </c>
      <c r="F1062" s="183">
        <v>46212.0</v>
      </c>
      <c r="G1062" s="185" t="s">
        <v>9</v>
      </c>
      <c r="H1062" s="185" t="s">
        <v>53</v>
      </c>
      <c r="I1062" s="317" t="s">
        <v>3947</v>
      </c>
    </row>
    <row r="1063" ht="22.5" hidden="1" customHeight="1">
      <c r="A1063" s="193"/>
      <c r="B1063" s="194"/>
      <c r="C1063" s="195"/>
      <c r="D1063" s="194"/>
      <c r="E1063" s="196">
        <f>SUM(E1058:E1062)</f>
        <v>217.36</v>
      </c>
      <c r="F1063" s="193"/>
      <c r="G1063" s="193"/>
      <c r="H1063" s="193"/>
      <c r="I1063" s="193"/>
    </row>
    <row r="1064" hidden="1">
      <c r="A1064" s="199"/>
      <c r="B1064" s="200"/>
      <c r="C1064" s="201"/>
      <c r="D1064" s="200"/>
      <c r="E1064" s="202"/>
      <c r="F1064" s="199"/>
      <c r="G1064" s="199"/>
      <c r="H1064" s="199"/>
      <c r="I1064" s="199"/>
    </row>
    <row r="1065" hidden="1">
      <c r="A1065" s="199"/>
      <c r="B1065" s="200"/>
      <c r="C1065" s="201"/>
      <c r="D1065" s="203">
        <v>46213.0</v>
      </c>
      <c r="E1065" s="202"/>
      <c r="F1065" s="199"/>
      <c r="G1065" s="199"/>
      <c r="H1065" s="199"/>
      <c r="I1065" s="199"/>
    </row>
    <row r="1066" ht="21.75" hidden="1" customHeight="1">
      <c r="A1066" s="175" t="s">
        <v>1467</v>
      </c>
      <c r="B1066" s="175" t="s">
        <v>1477</v>
      </c>
      <c r="C1066" s="175" t="s">
        <v>1478</v>
      </c>
      <c r="D1066" s="175" t="s">
        <v>1479</v>
      </c>
      <c r="E1066" s="175" t="s">
        <v>1481</v>
      </c>
      <c r="F1066" s="175" t="s">
        <v>1483</v>
      </c>
      <c r="G1066" s="175" t="s">
        <v>1484</v>
      </c>
      <c r="H1066" s="175" t="s">
        <v>1486</v>
      </c>
      <c r="I1066" s="175" t="s">
        <v>1489</v>
      </c>
    </row>
    <row r="1067" ht="22.5" hidden="1" customHeight="1">
      <c r="A1067" s="176" t="s">
        <v>4071</v>
      </c>
      <c r="B1067" s="410" t="s">
        <v>2902</v>
      </c>
      <c r="C1067" s="211">
        <v>1.0</v>
      </c>
      <c r="D1067" s="185" t="s">
        <v>1532</v>
      </c>
      <c r="E1067" s="188"/>
      <c r="F1067" s="183">
        <v>46211.0</v>
      </c>
      <c r="G1067" s="185" t="s">
        <v>9</v>
      </c>
      <c r="H1067" s="185" t="s">
        <v>3557</v>
      </c>
      <c r="I1067" s="186" t="s">
        <v>4065</v>
      </c>
    </row>
    <row r="1068" ht="22.5" hidden="1" customHeight="1">
      <c r="A1068" s="176" t="s">
        <v>4072</v>
      </c>
      <c r="B1068" s="399" t="s">
        <v>2548</v>
      </c>
      <c r="C1068" s="211">
        <v>1.0</v>
      </c>
      <c r="D1068" s="185" t="s">
        <v>1602</v>
      </c>
      <c r="E1068" s="188">
        <v>83.88</v>
      </c>
      <c r="F1068" s="183">
        <v>46212.0</v>
      </c>
      <c r="G1068" s="185" t="s">
        <v>9</v>
      </c>
      <c r="H1068" s="185" t="s">
        <v>3380</v>
      </c>
      <c r="I1068" s="189"/>
    </row>
    <row r="1069" ht="22.5" hidden="1" customHeight="1">
      <c r="A1069" s="176" t="s">
        <v>4073</v>
      </c>
      <c r="B1069" s="399">
        <v>2.41872513E8</v>
      </c>
      <c r="C1069" s="211">
        <v>1.0</v>
      </c>
      <c r="D1069" s="185" t="s">
        <v>1602</v>
      </c>
      <c r="E1069" s="188">
        <v>35.86</v>
      </c>
      <c r="F1069" s="183">
        <v>46211.0</v>
      </c>
      <c r="G1069" s="185" t="s">
        <v>9</v>
      </c>
      <c r="H1069" s="185" t="s">
        <v>12</v>
      </c>
      <c r="I1069" s="317"/>
    </row>
    <row r="1070" ht="22.5" hidden="1" customHeight="1">
      <c r="A1070" s="376" t="s">
        <v>4074</v>
      </c>
      <c r="B1070" s="407" t="s">
        <v>888</v>
      </c>
      <c r="C1070" s="211">
        <v>1.0</v>
      </c>
      <c r="D1070" s="185" t="s">
        <v>1602</v>
      </c>
      <c r="E1070" s="188">
        <v>15.37</v>
      </c>
      <c r="F1070" s="183">
        <v>46212.0</v>
      </c>
      <c r="G1070" s="185" t="s">
        <v>9</v>
      </c>
      <c r="H1070" s="185" t="s">
        <v>12</v>
      </c>
      <c r="I1070" s="317"/>
    </row>
    <row r="1071" ht="22.5" hidden="1" customHeight="1">
      <c r="A1071" s="176" t="s">
        <v>4075</v>
      </c>
      <c r="B1071" s="410" t="s">
        <v>238</v>
      </c>
      <c r="C1071" s="211">
        <v>1.0</v>
      </c>
      <c r="D1071" s="185" t="s">
        <v>1602</v>
      </c>
      <c r="E1071" s="188">
        <v>9.04</v>
      </c>
      <c r="F1071" s="183">
        <v>46212.0</v>
      </c>
      <c r="G1071" s="185" t="s">
        <v>9</v>
      </c>
      <c r="H1071" s="185" t="s">
        <v>12</v>
      </c>
      <c r="I1071" s="317"/>
    </row>
    <row r="1072" ht="22.5" hidden="1" customHeight="1">
      <c r="A1072" s="176" t="s">
        <v>4076</v>
      </c>
      <c r="B1072" s="399">
        <v>5.304538618E9</v>
      </c>
      <c r="C1072" s="211">
        <v>1.0</v>
      </c>
      <c r="D1072" s="185" t="s">
        <v>1602</v>
      </c>
      <c r="E1072" s="188">
        <v>33.42</v>
      </c>
      <c r="F1072" s="183">
        <v>46212.0</v>
      </c>
      <c r="G1072" s="185" t="s">
        <v>8</v>
      </c>
      <c r="H1072" s="185" t="s">
        <v>12</v>
      </c>
      <c r="I1072" s="317"/>
    </row>
    <row r="1073" ht="22.5" hidden="1" customHeight="1">
      <c r="A1073" s="176" t="s">
        <v>4077</v>
      </c>
      <c r="B1073" s="410" t="s">
        <v>4078</v>
      </c>
      <c r="C1073" s="211">
        <v>1.0</v>
      </c>
      <c r="D1073" s="185" t="s">
        <v>1602</v>
      </c>
      <c r="E1073" s="188">
        <v>17.72</v>
      </c>
      <c r="F1073" s="183">
        <v>46212.0</v>
      </c>
      <c r="G1073" s="185" t="s">
        <v>9</v>
      </c>
      <c r="H1073" s="185" t="s">
        <v>53</v>
      </c>
      <c r="I1073" s="317" t="s">
        <v>3947</v>
      </c>
    </row>
    <row r="1074" ht="22.5" hidden="1" customHeight="1">
      <c r="A1074" s="176" t="s">
        <v>4079</v>
      </c>
      <c r="B1074" s="410" t="s">
        <v>4080</v>
      </c>
      <c r="C1074" s="211">
        <v>1.0</v>
      </c>
      <c r="D1074" s="185" t="s">
        <v>1602</v>
      </c>
      <c r="E1074" s="188">
        <v>54.01</v>
      </c>
      <c r="F1074" s="183">
        <v>46212.0</v>
      </c>
      <c r="G1074" s="185" t="s">
        <v>9</v>
      </c>
      <c r="H1074" s="185" t="s">
        <v>11</v>
      </c>
      <c r="I1074" s="317"/>
    </row>
    <row r="1075" ht="22.5" hidden="1" customHeight="1">
      <c r="A1075" s="176" t="s">
        <v>4081</v>
      </c>
      <c r="B1075" s="410" t="s">
        <v>1396</v>
      </c>
      <c r="C1075" s="211">
        <v>1.0</v>
      </c>
      <c r="D1075" s="185" t="s">
        <v>1602</v>
      </c>
      <c r="E1075" s="188">
        <v>119.25</v>
      </c>
      <c r="F1075" s="183">
        <v>46213.0</v>
      </c>
      <c r="G1075" s="185" t="s">
        <v>9</v>
      </c>
      <c r="H1075" s="185" t="s">
        <v>1356</v>
      </c>
      <c r="I1075" s="317"/>
    </row>
    <row r="1076" ht="22.5" hidden="1" customHeight="1">
      <c r="A1076" s="176" t="s">
        <v>4082</v>
      </c>
      <c r="B1076" s="396" t="s">
        <v>1039</v>
      </c>
      <c r="C1076" s="211">
        <v>1.0</v>
      </c>
      <c r="D1076" s="185" t="s">
        <v>1602</v>
      </c>
      <c r="E1076" s="188">
        <v>47.66</v>
      </c>
      <c r="F1076" s="183">
        <v>46213.0</v>
      </c>
      <c r="G1076" s="185" t="s">
        <v>9</v>
      </c>
      <c r="H1076" s="185" t="s">
        <v>53</v>
      </c>
      <c r="I1076" s="317" t="s">
        <v>3947</v>
      </c>
    </row>
    <row r="1077" ht="22.5" hidden="1" customHeight="1">
      <c r="A1077" s="193"/>
      <c r="B1077" s="194"/>
      <c r="C1077" s="195"/>
      <c r="D1077" s="194"/>
      <c r="E1077" s="196">
        <f>SUM(E1067:E1076)</f>
        <v>416.21</v>
      </c>
      <c r="F1077" s="193"/>
      <c r="G1077" s="193"/>
      <c r="H1077" s="193"/>
      <c r="I1077" s="193"/>
    </row>
    <row r="1078" hidden="1">
      <c r="A1078" s="199"/>
      <c r="B1078" s="200"/>
      <c r="C1078" s="201"/>
      <c r="D1078" s="200"/>
      <c r="E1078" s="202"/>
      <c r="F1078" s="199"/>
      <c r="G1078" s="199"/>
      <c r="H1078" s="199"/>
      <c r="I1078" s="199"/>
    </row>
    <row r="1079" hidden="1">
      <c r="A1079" s="199"/>
      <c r="B1079" s="200"/>
      <c r="C1079" s="201"/>
      <c r="D1079" s="203">
        <v>46216.0</v>
      </c>
      <c r="E1079" s="202"/>
      <c r="F1079" s="199"/>
      <c r="G1079" s="199"/>
      <c r="H1079" s="199"/>
      <c r="I1079" s="199"/>
    </row>
    <row r="1080" ht="21.75" hidden="1" customHeight="1">
      <c r="A1080" s="175" t="s">
        <v>1467</v>
      </c>
      <c r="B1080" s="175" t="s">
        <v>1477</v>
      </c>
      <c r="C1080" s="175" t="s">
        <v>1478</v>
      </c>
      <c r="D1080" s="175" t="s">
        <v>1479</v>
      </c>
      <c r="E1080" s="175" t="s">
        <v>1481</v>
      </c>
      <c r="F1080" s="175" t="s">
        <v>1483</v>
      </c>
      <c r="G1080" s="175" t="s">
        <v>1484</v>
      </c>
      <c r="H1080" s="175" t="s">
        <v>1486</v>
      </c>
      <c r="I1080" s="175" t="s">
        <v>1489</v>
      </c>
    </row>
    <row r="1081" ht="22.5" hidden="1" customHeight="1">
      <c r="A1081" s="176" t="s">
        <v>4083</v>
      </c>
      <c r="B1081" s="397" t="s">
        <v>2439</v>
      </c>
      <c r="C1081" s="211">
        <v>1.0</v>
      </c>
      <c r="D1081" s="185" t="s">
        <v>1602</v>
      </c>
      <c r="E1081" s="188">
        <v>16.21</v>
      </c>
      <c r="F1081" s="183">
        <v>46214.0</v>
      </c>
      <c r="G1081" s="185" t="s">
        <v>9</v>
      </c>
      <c r="H1081" s="185" t="s">
        <v>3380</v>
      </c>
      <c r="I1081" s="317"/>
    </row>
    <row r="1082" ht="22.5" hidden="1" customHeight="1">
      <c r="A1082" s="176" t="s">
        <v>4084</v>
      </c>
      <c r="B1082" s="318" t="s">
        <v>1901</v>
      </c>
      <c r="C1082" s="211">
        <v>1.0</v>
      </c>
      <c r="D1082" s="185" t="s">
        <v>1602</v>
      </c>
      <c r="E1082" s="188">
        <v>145.96</v>
      </c>
      <c r="F1082" s="183">
        <v>46214.0</v>
      </c>
      <c r="G1082" s="185" t="s">
        <v>9</v>
      </c>
      <c r="H1082" s="185" t="s">
        <v>12</v>
      </c>
      <c r="I1082" s="317"/>
    </row>
    <row r="1083" ht="22.5" hidden="1" customHeight="1">
      <c r="A1083" s="176" t="s">
        <v>4085</v>
      </c>
      <c r="B1083" s="367" t="s">
        <v>966</v>
      </c>
      <c r="C1083" s="211">
        <v>1.0</v>
      </c>
      <c r="D1083" s="185" t="s">
        <v>1602</v>
      </c>
      <c r="E1083" s="188">
        <v>126.2</v>
      </c>
      <c r="F1083" s="183">
        <v>46214.0</v>
      </c>
      <c r="G1083" s="185" t="s">
        <v>9</v>
      </c>
      <c r="H1083" s="185" t="s">
        <v>12</v>
      </c>
      <c r="I1083" s="189"/>
    </row>
    <row r="1084" ht="22.5" hidden="1" customHeight="1">
      <c r="A1084" s="176" t="s">
        <v>4086</v>
      </c>
      <c r="B1084" s="177">
        <v>5.304519116E9</v>
      </c>
      <c r="C1084" s="211">
        <v>1.0</v>
      </c>
      <c r="D1084" s="185" t="s">
        <v>1602</v>
      </c>
      <c r="E1084" s="188">
        <v>23.85</v>
      </c>
      <c r="F1084" s="183">
        <v>46213.0</v>
      </c>
      <c r="G1084" s="185" t="s">
        <v>9</v>
      </c>
      <c r="H1084" s="185" t="s">
        <v>12</v>
      </c>
      <c r="I1084" s="317"/>
    </row>
    <row r="1085" ht="22.5" hidden="1" customHeight="1">
      <c r="A1085" s="176" t="s">
        <v>4087</v>
      </c>
      <c r="B1085" s="314" t="s">
        <v>243</v>
      </c>
      <c r="C1085" s="211">
        <v>1.0</v>
      </c>
      <c r="D1085" s="185" t="s">
        <v>1602</v>
      </c>
      <c r="E1085" s="188">
        <v>4.1</v>
      </c>
      <c r="F1085" s="183">
        <v>46213.0</v>
      </c>
      <c r="G1085" s="185" t="s">
        <v>9</v>
      </c>
      <c r="H1085" s="185" t="s">
        <v>12</v>
      </c>
      <c r="I1085" s="317"/>
    </row>
    <row r="1086" ht="22.5" hidden="1" customHeight="1">
      <c r="A1086" s="176" t="s">
        <v>4088</v>
      </c>
      <c r="B1086" s="368" t="s">
        <v>3525</v>
      </c>
      <c r="C1086" s="337">
        <v>1.0</v>
      </c>
      <c r="D1086" s="384" t="s">
        <v>1875</v>
      </c>
      <c r="E1086" s="338">
        <v>-65.85</v>
      </c>
      <c r="F1086" s="339">
        <v>46195.0</v>
      </c>
      <c r="G1086" s="185" t="s">
        <v>8</v>
      </c>
      <c r="H1086" s="334" t="s">
        <v>12</v>
      </c>
      <c r="I1086" s="427" t="s">
        <v>4089</v>
      </c>
    </row>
    <row r="1087" ht="22.5" hidden="1" customHeight="1">
      <c r="A1087" s="430" t="s">
        <v>4090</v>
      </c>
      <c r="B1087" s="314">
        <v>5.304528029E9</v>
      </c>
      <c r="C1087" s="211">
        <v>1.0</v>
      </c>
      <c r="D1087" s="185" t="s">
        <v>1602</v>
      </c>
      <c r="E1087" s="188"/>
      <c r="F1087" s="183">
        <v>46213.0</v>
      </c>
      <c r="G1087" s="185" t="s">
        <v>9</v>
      </c>
      <c r="H1087" s="185" t="s">
        <v>12</v>
      </c>
      <c r="I1087" s="317" t="s">
        <v>4091</v>
      </c>
    </row>
    <row r="1088" ht="22.5" hidden="1" customHeight="1">
      <c r="A1088" s="430" t="s">
        <v>4092</v>
      </c>
      <c r="B1088" s="314">
        <v>5.304531961E9</v>
      </c>
      <c r="C1088" s="211">
        <v>1.0</v>
      </c>
      <c r="D1088" s="185" t="s">
        <v>1602</v>
      </c>
      <c r="E1088" s="188">
        <v>61.08</v>
      </c>
      <c r="F1088" s="183">
        <v>46213.0</v>
      </c>
      <c r="G1088" s="185" t="s">
        <v>9</v>
      </c>
      <c r="H1088" s="185" t="s">
        <v>1087</v>
      </c>
      <c r="I1088" s="317"/>
    </row>
    <row r="1089" ht="22.5" hidden="1" customHeight="1">
      <c r="A1089" s="176" t="s">
        <v>4093</v>
      </c>
      <c r="B1089" s="314" t="s">
        <v>4094</v>
      </c>
      <c r="C1089" s="211">
        <v>1.0</v>
      </c>
      <c r="D1089" s="185" t="s">
        <v>1602</v>
      </c>
      <c r="E1089" s="188">
        <v>65.6</v>
      </c>
      <c r="F1089" s="183">
        <v>46214.0</v>
      </c>
      <c r="G1089" s="185" t="s">
        <v>9</v>
      </c>
      <c r="H1089" s="185" t="s">
        <v>1087</v>
      </c>
      <c r="I1089" s="317"/>
    </row>
    <row r="1090" ht="22.5" hidden="1" customHeight="1">
      <c r="A1090" s="176" t="s">
        <v>4095</v>
      </c>
      <c r="B1090" s="314">
        <v>5.304506946E9</v>
      </c>
      <c r="C1090" s="211">
        <v>1.0</v>
      </c>
      <c r="D1090" s="185" t="s">
        <v>1602</v>
      </c>
      <c r="E1090" s="188">
        <v>28.74</v>
      </c>
      <c r="F1090" s="183">
        <v>46214.0</v>
      </c>
      <c r="G1090" s="185" t="s">
        <v>9</v>
      </c>
      <c r="H1090" s="185" t="s">
        <v>2243</v>
      </c>
      <c r="I1090" s="317"/>
    </row>
    <row r="1091" ht="22.5" hidden="1" customHeight="1">
      <c r="A1091" s="176" t="s">
        <v>4096</v>
      </c>
      <c r="B1091" s="314" t="s">
        <v>4097</v>
      </c>
      <c r="C1091" s="211">
        <v>1.0</v>
      </c>
      <c r="D1091" s="185" t="s">
        <v>1602</v>
      </c>
      <c r="E1091" s="188">
        <v>22.49</v>
      </c>
      <c r="F1091" s="183">
        <v>46216.0</v>
      </c>
      <c r="G1091" s="185" t="s">
        <v>9</v>
      </c>
      <c r="H1091" s="185" t="s">
        <v>1133</v>
      </c>
      <c r="I1091" s="317" t="s">
        <v>4098</v>
      </c>
    </row>
    <row r="1092" ht="22.5" hidden="1" customHeight="1">
      <c r="A1092" s="176" t="s">
        <v>4099</v>
      </c>
      <c r="B1092" s="314" t="s">
        <v>321</v>
      </c>
      <c r="C1092" s="211">
        <v>1.0</v>
      </c>
      <c r="D1092" s="185" t="s">
        <v>1602</v>
      </c>
      <c r="E1092" s="188">
        <v>6.23</v>
      </c>
      <c r="F1092" s="183">
        <v>46215.0</v>
      </c>
      <c r="G1092" s="185" t="s">
        <v>9</v>
      </c>
      <c r="H1092" s="185" t="s">
        <v>1133</v>
      </c>
      <c r="I1092" s="317" t="s">
        <v>3947</v>
      </c>
    </row>
    <row r="1093" ht="22.5" hidden="1" customHeight="1">
      <c r="A1093" s="176" t="s">
        <v>4100</v>
      </c>
      <c r="B1093" s="369" t="s">
        <v>353</v>
      </c>
      <c r="C1093" s="337">
        <v>1.0</v>
      </c>
      <c r="D1093" s="384" t="s">
        <v>1602</v>
      </c>
      <c r="E1093" s="338">
        <v>44.25</v>
      </c>
      <c r="F1093" s="339">
        <v>46214.0</v>
      </c>
      <c r="G1093" s="185" t="s">
        <v>9</v>
      </c>
      <c r="H1093" s="334" t="s">
        <v>1601</v>
      </c>
      <c r="I1093" s="427" t="s">
        <v>3947</v>
      </c>
    </row>
    <row r="1094" ht="22.5" hidden="1" customHeight="1">
      <c r="A1094" s="176" t="s">
        <v>4101</v>
      </c>
      <c r="B1094" s="314" t="s">
        <v>834</v>
      </c>
      <c r="C1094" s="211">
        <v>1.0</v>
      </c>
      <c r="D1094" s="185" t="s">
        <v>1602</v>
      </c>
      <c r="E1094" s="188">
        <v>36.91</v>
      </c>
      <c r="F1094" s="183">
        <v>46216.0</v>
      </c>
      <c r="G1094" s="185" t="s">
        <v>9</v>
      </c>
      <c r="H1094" s="185" t="s">
        <v>1601</v>
      </c>
      <c r="I1094" s="317" t="s">
        <v>3947</v>
      </c>
    </row>
    <row r="1095" ht="22.5" hidden="1" customHeight="1">
      <c r="A1095" s="176" t="s">
        <v>4102</v>
      </c>
      <c r="B1095" s="314" t="s">
        <v>1213</v>
      </c>
      <c r="C1095" s="211">
        <v>1.0</v>
      </c>
      <c r="D1095" s="185" t="s">
        <v>1602</v>
      </c>
      <c r="E1095" s="188">
        <v>225.2</v>
      </c>
      <c r="F1095" s="183">
        <v>46216.0</v>
      </c>
      <c r="G1095" s="185" t="s">
        <v>9</v>
      </c>
      <c r="H1095" s="185" t="s">
        <v>1601</v>
      </c>
      <c r="I1095" s="317" t="s">
        <v>3947</v>
      </c>
    </row>
    <row r="1096" ht="22.5" hidden="1" customHeight="1">
      <c r="A1096" s="176" t="s">
        <v>4103</v>
      </c>
      <c r="B1096" s="314" t="s">
        <v>1463</v>
      </c>
      <c r="C1096" s="211">
        <v>1.0</v>
      </c>
      <c r="D1096" s="185" t="s">
        <v>1602</v>
      </c>
      <c r="E1096" s="188">
        <v>29.44</v>
      </c>
      <c r="F1096" s="183">
        <v>46215.0</v>
      </c>
      <c r="G1096" s="185" t="s">
        <v>9</v>
      </c>
      <c r="H1096" s="185" t="s">
        <v>53</v>
      </c>
      <c r="I1096" s="317" t="s">
        <v>4104</v>
      </c>
    </row>
    <row r="1097" ht="22.5" hidden="1" customHeight="1">
      <c r="A1097" s="176" t="s">
        <v>4105</v>
      </c>
      <c r="B1097" s="314" t="s">
        <v>158</v>
      </c>
      <c r="C1097" s="211">
        <v>1.0</v>
      </c>
      <c r="D1097" s="185" t="s">
        <v>1602</v>
      </c>
      <c r="E1097" s="188">
        <v>29.45</v>
      </c>
      <c r="F1097" s="183">
        <v>46214.0</v>
      </c>
      <c r="G1097" s="185" t="s">
        <v>9</v>
      </c>
      <c r="H1097" s="185" t="s">
        <v>53</v>
      </c>
      <c r="I1097" s="317" t="s">
        <v>4106</v>
      </c>
    </row>
    <row r="1098" ht="22.5" hidden="1" customHeight="1">
      <c r="A1098" s="176" t="s">
        <v>4107</v>
      </c>
      <c r="B1098" s="314" t="s">
        <v>4108</v>
      </c>
      <c r="C1098" s="211">
        <v>1.0</v>
      </c>
      <c r="D1098" s="185" t="s">
        <v>1602</v>
      </c>
      <c r="E1098" s="188">
        <v>30.01</v>
      </c>
      <c r="F1098" s="183">
        <v>46213.0</v>
      </c>
      <c r="G1098" s="185" t="s">
        <v>9</v>
      </c>
      <c r="H1098" s="185" t="s">
        <v>53</v>
      </c>
      <c r="I1098" s="317" t="s">
        <v>3947</v>
      </c>
    </row>
    <row r="1099" ht="22.5" hidden="1" customHeight="1">
      <c r="A1099" s="176" t="s">
        <v>4109</v>
      </c>
      <c r="B1099" s="314" t="s">
        <v>4110</v>
      </c>
      <c r="C1099" s="211">
        <v>1.0</v>
      </c>
      <c r="D1099" s="185" t="s">
        <v>1602</v>
      </c>
      <c r="E1099" s="188">
        <v>153.96</v>
      </c>
      <c r="F1099" s="183">
        <v>46216.0</v>
      </c>
      <c r="G1099" s="185" t="s">
        <v>9</v>
      </c>
      <c r="H1099" s="185" t="s">
        <v>53</v>
      </c>
      <c r="I1099" s="317" t="s">
        <v>3947</v>
      </c>
    </row>
    <row r="1100" ht="22.5" hidden="1" customHeight="1">
      <c r="A1100" s="176" t="s">
        <v>4111</v>
      </c>
      <c r="B1100" s="431" t="s">
        <v>3014</v>
      </c>
      <c r="C1100" s="211">
        <v>1.0</v>
      </c>
      <c r="D1100" s="185" t="s">
        <v>3475</v>
      </c>
      <c r="E1100" s="188">
        <v>-108.52</v>
      </c>
      <c r="F1100" s="183">
        <v>46216.0</v>
      </c>
      <c r="G1100" s="185" t="s">
        <v>9</v>
      </c>
      <c r="H1100" s="185" t="s">
        <v>53</v>
      </c>
      <c r="I1100" s="317" t="s">
        <v>4112</v>
      </c>
    </row>
    <row r="1101" ht="22.5" hidden="1" customHeight="1">
      <c r="A1101" s="176" t="s">
        <v>4113</v>
      </c>
      <c r="B1101" s="314" t="s">
        <v>981</v>
      </c>
      <c r="C1101" s="211">
        <v>1.0</v>
      </c>
      <c r="D1101" s="185" t="s">
        <v>1602</v>
      </c>
      <c r="E1101" s="188">
        <v>13.18</v>
      </c>
      <c r="F1101" s="183">
        <v>46213.0</v>
      </c>
      <c r="G1101" s="185" t="s">
        <v>9</v>
      </c>
      <c r="H1101" s="185" t="s">
        <v>1356</v>
      </c>
      <c r="I1101" s="317"/>
    </row>
    <row r="1102" ht="22.5" hidden="1" customHeight="1">
      <c r="A1102" s="176" t="s">
        <v>4114</v>
      </c>
      <c r="B1102" s="314">
        <v>5.304530688E9</v>
      </c>
      <c r="C1102" s="211">
        <v>1.0</v>
      </c>
      <c r="D1102" s="185" t="s">
        <v>1602</v>
      </c>
      <c r="E1102" s="188">
        <v>50.64</v>
      </c>
      <c r="F1102" s="183">
        <v>46215.0</v>
      </c>
      <c r="G1102" s="185" t="s">
        <v>8</v>
      </c>
      <c r="H1102" s="185" t="s">
        <v>11</v>
      </c>
      <c r="I1102" s="317"/>
    </row>
    <row r="1103" ht="22.5" hidden="1" customHeight="1">
      <c r="A1103" s="176" t="s">
        <v>4115</v>
      </c>
      <c r="B1103" s="314" t="s">
        <v>915</v>
      </c>
      <c r="C1103" s="211">
        <v>1.0</v>
      </c>
      <c r="D1103" s="185" t="s">
        <v>3475</v>
      </c>
      <c r="E1103" s="188">
        <v>-20.57</v>
      </c>
      <c r="F1103" s="183">
        <v>46216.0</v>
      </c>
      <c r="G1103" s="185" t="s">
        <v>9</v>
      </c>
      <c r="H1103" s="185" t="s">
        <v>351</v>
      </c>
      <c r="I1103" s="317" t="s">
        <v>4116</v>
      </c>
    </row>
    <row r="1104" ht="22.5" hidden="1" customHeight="1">
      <c r="A1104" s="176" t="s">
        <v>4117</v>
      </c>
      <c r="B1104" s="314" t="s">
        <v>940</v>
      </c>
      <c r="C1104" s="211">
        <v>1.0</v>
      </c>
      <c r="D1104" s="185" t="s">
        <v>3475</v>
      </c>
      <c r="E1104" s="188">
        <v>-27.52</v>
      </c>
      <c r="F1104" s="183">
        <v>46216.0</v>
      </c>
      <c r="G1104" s="185" t="s">
        <v>9</v>
      </c>
      <c r="H1104" s="185" t="s">
        <v>351</v>
      </c>
      <c r="I1104" s="432" t="s">
        <v>4112</v>
      </c>
    </row>
    <row r="1105" ht="22.5" hidden="1" customHeight="1">
      <c r="A1105" s="176" t="s">
        <v>4118</v>
      </c>
      <c r="B1105" s="402" t="s">
        <v>4119</v>
      </c>
      <c r="C1105" s="211">
        <v>1.0</v>
      </c>
      <c r="D1105" s="179" t="s">
        <v>3475</v>
      </c>
      <c r="E1105" s="188">
        <v>-77.88</v>
      </c>
      <c r="F1105" s="183">
        <v>46216.0</v>
      </c>
      <c r="G1105" s="185" t="s">
        <v>9</v>
      </c>
      <c r="H1105" s="185" t="s">
        <v>351</v>
      </c>
      <c r="I1105" s="186" t="s">
        <v>4120</v>
      </c>
    </row>
    <row r="1106" ht="22.5" hidden="1" customHeight="1">
      <c r="A1106" s="189"/>
      <c r="B1106" s="194"/>
      <c r="C1106" s="195"/>
      <c r="D1106" s="433"/>
      <c r="E1106" s="181">
        <f>SUM(Table91[Order Earnings])</f>
        <v>813.16</v>
      </c>
      <c r="F1106" s="212"/>
      <c r="G1106" s="433"/>
      <c r="H1106" s="433"/>
      <c r="I1106" s="189"/>
    </row>
    <row r="1107" hidden="1">
      <c r="A1107" s="199"/>
      <c r="B1107" s="200"/>
      <c r="C1107" s="201"/>
      <c r="D1107" s="203">
        <v>46217.0</v>
      </c>
      <c r="E1107" s="202"/>
      <c r="F1107" s="199"/>
      <c r="G1107" s="199"/>
      <c r="H1107" s="199"/>
      <c r="I1107" s="199"/>
    </row>
    <row r="1108" ht="21.75" hidden="1" customHeight="1">
      <c r="A1108" s="175" t="s">
        <v>1467</v>
      </c>
      <c r="B1108" s="175" t="s">
        <v>1477</v>
      </c>
      <c r="C1108" s="175" t="s">
        <v>1478</v>
      </c>
      <c r="D1108" s="175" t="s">
        <v>1479</v>
      </c>
      <c r="E1108" s="175" t="s">
        <v>1481</v>
      </c>
      <c r="F1108" s="175" t="s">
        <v>1483</v>
      </c>
      <c r="G1108" s="175" t="s">
        <v>1484</v>
      </c>
      <c r="H1108" s="175" t="s">
        <v>1486</v>
      </c>
      <c r="I1108" s="175" t="s">
        <v>1489</v>
      </c>
    </row>
    <row r="1109" ht="22.5" hidden="1" customHeight="1">
      <c r="A1109" s="176" t="s">
        <v>4121</v>
      </c>
      <c r="B1109" s="367" t="s">
        <v>2842</v>
      </c>
      <c r="C1109" s="211">
        <v>1.0</v>
      </c>
      <c r="D1109" s="185" t="s">
        <v>1602</v>
      </c>
      <c r="E1109" s="188">
        <v>95.24</v>
      </c>
      <c r="F1109" s="183">
        <v>46214.0</v>
      </c>
      <c r="G1109" s="185" t="s">
        <v>9</v>
      </c>
      <c r="H1109" s="185" t="s">
        <v>3557</v>
      </c>
      <c r="I1109" s="317"/>
    </row>
    <row r="1110" ht="22.5" hidden="1" customHeight="1">
      <c r="A1110" s="176" t="s">
        <v>4122</v>
      </c>
      <c r="B1110" s="410" t="s">
        <v>854</v>
      </c>
      <c r="C1110" s="211">
        <v>1.0</v>
      </c>
      <c r="D1110" s="185" t="s">
        <v>1602</v>
      </c>
      <c r="E1110" s="188">
        <v>6.75</v>
      </c>
      <c r="F1110" s="183">
        <v>46217.0</v>
      </c>
      <c r="G1110" s="185" t="s">
        <v>9</v>
      </c>
      <c r="H1110" s="185" t="s">
        <v>2243</v>
      </c>
      <c r="I1110" s="189"/>
    </row>
    <row r="1111" ht="22.5" hidden="1" customHeight="1">
      <c r="A1111" s="176" t="s">
        <v>4123</v>
      </c>
      <c r="B1111" s="399" t="s">
        <v>638</v>
      </c>
      <c r="C1111" s="211">
        <v>1.0</v>
      </c>
      <c r="D1111" s="185" t="s">
        <v>1602</v>
      </c>
      <c r="E1111" s="188">
        <v>21.59</v>
      </c>
      <c r="F1111" s="183">
        <v>46216.0</v>
      </c>
      <c r="G1111" s="185" t="s">
        <v>9</v>
      </c>
      <c r="H1111" s="185" t="s">
        <v>12</v>
      </c>
      <c r="I1111" s="189"/>
    </row>
    <row r="1112" ht="22.5" hidden="1" customHeight="1">
      <c r="A1112" s="176" t="s">
        <v>4124</v>
      </c>
      <c r="B1112" s="410" t="s">
        <v>4125</v>
      </c>
      <c r="C1112" s="211">
        <v>1.0</v>
      </c>
      <c r="D1112" s="185" t="s">
        <v>1875</v>
      </c>
      <c r="E1112" s="188">
        <v>-55.64</v>
      </c>
      <c r="F1112" s="183">
        <v>46192.0</v>
      </c>
      <c r="G1112" s="185" t="s">
        <v>9</v>
      </c>
      <c r="H1112" s="185" t="s">
        <v>12</v>
      </c>
      <c r="I1112" s="317"/>
    </row>
    <row r="1113" ht="22.5" hidden="1" customHeight="1">
      <c r="A1113" s="176" t="s">
        <v>4126</v>
      </c>
      <c r="B1113" s="399" t="s">
        <v>4127</v>
      </c>
      <c r="C1113" s="211">
        <v>1.0</v>
      </c>
      <c r="D1113" s="185" t="s">
        <v>1875</v>
      </c>
      <c r="E1113" s="188"/>
      <c r="F1113" s="183">
        <v>46216.0</v>
      </c>
      <c r="G1113" s="185" t="s">
        <v>9</v>
      </c>
      <c r="H1113" s="185" t="s">
        <v>53</v>
      </c>
      <c r="I1113" s="317" t="s">
        <v>4128</v>
      </c>
    </row>
    <row r="1114" ht="22.5" hidden="1" customHeight="1">
      <c r="A1114" s="176" t="s">
        <v>4129</v>
      </c>
      <c r="B1114" s="434" t="s">
        <v>3017</v>
      </c>
      <c r="C1114" s="211">
        <v>1.0</v>
      </c>
      <c r="D1114" s="185" t="s">
        <v>1602</v>
      </c>
      <c r="E1114" s="188">
        <v>31.06</v>
      </c>
      <c r="F1114" s="183">
        <v>46216.0</v>
      </c>
      <c r="G1114" s="185" t="s">
        <v>9</v>
      </c>
      <c r="H1114" s="185" t="s">
        <v>53</v>
      </c>
      <c r="I1114" s="317" t="s">
        <v>3947</v>
      </c>
    </row>
    <row r="1115" ht="22.5" hidden="1" customHeight="1">
      <c r="A1115" s="176" t="s">
        <v>4130</v>
      </c>
      <c r="B1115" s="410" t="s">
        <v>363</v>
      </c>
      <c r="C1115" s="211">
        <v>1.0</v>
      </c>
      <c r="D1115" s="185" t="s">
        <v>1602</v>
      </c>
      <c r="E1115" s="188">
        <v>28.56</v>
      </c>
      <c r="F1115" s="183">
        <v>46216.0</v>
      </c>
      <c r="G1115" s="185" t="s">
        <v>8</v>
      </c>
      <c r="H1115" s="185" t="s">
        <v>53</v>
      </c>
      <c r="I1115" s="317" t="s">
        <v>3947</v>
      </c>
    </row>
    <row r="1116" ht="22.5" hidden="1" customHeight="1">
      <c r="A1116" s="176" t="s">
        <v>4131</v>
      </c>
      <c r="B1116" s="410" t="s">
        <v>4132</v>
      </c>
      <c r="C1116" s="211">
        <v>1.0</v>
      </c>
      <c r="D1116" s="185" t="s">
        <v>1602</v>
      </c>
      <c r="E1116" s="188">
        <v>13.37</v>
      </c>
      <c r="F1116" s="183">
        <v>46217.0</v>
      </c>
      <c r="G1116" s="185" t="s">
        <v>9</v>
      </c>
      <c r="H1116" s="185" t="s">
        <v>11</v>
      </c>
      <c r="I1116" s="317"/>
    </row>
    <row r="1117" ht="22.5" hidden="1" customHeight="1">
      <c r="A1117" s="176" t="s">
        <v>4133</v>
      </c>
      <c r="B1117" s="410" t="s">
        <v>2526</v>
      </c>
      <c r="C1117" s="211">
        <v>1.0</v>
      </c>
      <c r="D1117" s="185" t="s">
        <v>1602</v>
      </c>
      <c r="E1117" s="188">
        <v>73.87</v>
      </c>
      <c r="F1117" s="183">
        <v>46217.0</v>
      </c>
      <c r="G1117" s="185" t="s">
        <v>9</v>
      </c>
      <c r="H1117" s="185" t="s">
        <v>3380</v>
      </c>
      <c r="I1117" s="317"/>
    </row>
    <row r="1118" ht="22.5" hidden="1" customHeight="1">
      <c r="A1118" s="176" t="s">
        <v>4134</v>
      </c>
      <c r="B1118" s="396" t="s">
        <v>2302</v>
      </c>
      <c r="C1118" s="211">
        <v>1.0</v>
      </c>
      <c r="D1118" s="185" t="s">
        <v>1875</v>
      </c>
      <c r="E1118" s="188">
        <v>-29.77</v>
      </c>
      <c r="F1118" s="183">
        <v>46198.0</v>
      </c>
      <c r="G1118" s="185" t="s">
        <v>9</v>
      </c>
      <c r="H1118" s="185" t="s">
        <v>3380</v>
      </c>
      <c r="I1118" s="317"/>
    </row>
    <row r="1119" ht="22.5" hidden="1" customHeight="1">
      <c r="A1119" s="176" t="s">
        <v>4135</v>
      </c>
      <c r="B1119" s="399" t="s">
        <v>868</v>
      </c>
      <c r="C1119" s="211">
        <v>1.0</v>
      </c>
      <c r="D1119" s="185" t="s">
        <v>1602</v>
      </c>
      <c r="E1119" s="188">
        <v>76.39</v>
      </c>
      <c r="F1119" s="183">
        <v>46217.0</v>
      </c>
      <c r="G1119" s="185" t="s">
        <v>9</v>
      </c>
      <c r="H1119" s="185" t="s">
        <v>351</v>
      </c>
      <c r="I1119" s="317" t="s">
        <v>4136</v>
      </c>
    </row>
    <row r="1120" ht="22.5" hidden="1" customHeight="1">
      <c r="A1120" s="176" t="s">
        <v>4137</v>
      </c>
      <c r="B1120" s="396" t="s">
        <v>4138</v>
      </c>
      <c r="C1120" s="211">
        <v>1.0</v>
      </c>
      <c r="D1120" s="185" t="s">
        <v>1602</v>
      </c>
      <c r="E1120" s="188">
        <v>11.03</v>
      </c>
      <c r="F1120" s="183">
        <v>46217.0</v>
      </c>
      <c r="G1120" s="185" t="s">
        <v>9</v>
      </c>
      <c r="H1120" s="185" t="s">
        <v>351</v>
      </c>
      <c r="I1120" s="317"/>
    </row>
    <row r="1121" ht="22.5" hidden="1" customHeight="1">
      <c r="A1121" s="193"/>
      <c r="B1121" s="194"/>
      <c r="C1121" s="195"/>
      <c r="D1121" s="194"/>
      <c r="E1121" s="196">
        <f>SUM(E1109:E1120)</f>
        <v>272.45</v>
      </c>
      <c r="F1121" s="193"/>
      <c r="G1121" s="193"/>
      <c r="H1121" s="193"/>
      <c r="I1121" s="193"/>
    </row>
    <row r="1122" hidden="1">
      <c r="A1122" s="199"/>
      <c r="B1122" s="200"/>
      <c r="C1122" s="201"/>
      <c r="D1122" s="200"/>
      <c r="E1122" s="202"/>
      <c r="F1122" s="199"/>
      <c r="G1122" s="199"/>
      <c r="H1122" s="199"/>
      <c r="I1122" s="199"/>
    </row>
    <row r="1123" hidden="1">
      <c r="A1123" s="199"/>
      <c r="B1123" s="200"/>
      <c r="C1123" s="201"/>
      <c r="D1123" s="203">
        <v>46218.0</v>
      </c>
      <c r="E1123" s="202"/>
      <c r="F1123" s="199"/>
      <c r="G1123" s="199"/>
      <c r="H1123" s="199"/>
      <c r="I1123" s="199"/>
    </row>
    <row r="1124" ht="21.75" hidden="1" customHeight="1">
      <c r="A1124" s="175" t="s">
        <v>1467</v>
      </c>
      <c r="B1124" s="175" t="s">
        <v>1477</v>
      </c>
      <c r="C1124" s="175" t="s">
        <v>1478</v>
      </c>
      <c r="D1124" s="175" t="s">
        <v>1479</v>
      </c>
      <c r="E1124" s="175" t="s">
        <v>1481</v>
      </c>
      <c r="F1124" s="175" t="s">
        <v>1483</v>
      </c>
      <c r="G1124" s="175" t="s">
        <v>1484</v>
      </c>
      <c r="H1124" s="175" t="s">
        <v>1486</v>
      </c>
      <c r="I1124" s="175" t="s">
        <v>1489</v>
      </c>
    </row>
    <row r="1125" ht="22.5" hidden="1" customHeight="1">
      <c r="A1125" s="176" t="s">
        <v>4139</v>
      </c>
      <c r="B1125" s="435" t="s">
        <v>2718</v>
      </c>
      <c r="C1125" s="211">
        <v>1.0</v>
      </c>
      <c r="D1125" s="185" t="s">
        <v>1602</v>
      </c>
      <c r="E1125" s="188">
        <v>153.94</v>
      </c>
      <c r="F1125" s="183">
        <v>46217.0</v>
      </c>
      <c r="G1125" s="185" t="s">
        <v>9</v>
      </c>
      <c r="H1125" s="185" t="s">
        <v>53</v>
      </c>
      <c r="I1125" s="317" t="s">
        <v>3947</v>
      </c>
    </row>
    <row r="1126" ht="22.5" hidden="1" customHeight="1">
      <c r="A1126" s="176" t="s">
        <v>4140</v>
      </c>
      <c r="B1126" s="410" t="s">
        <v>415</v>
      </c>
      <c r="C1126" s="211">
        <v>1.0</v>
      </c>
      <c r="D1126" s="185" t="s">
        <v>1602</v>
      </c>
      <c r="E1126" s="188">
        <v>14.12</v>
      </c>
      <c r="F1126" s="183">
        <v>46217.0</v>
      </c>
      <c r="G1126" s="185" t="s">
        <v>8</v>
      </c>
      <c r="H1126" s="185" t="s">
        <v>11</v>
      </c>
      <c r="I1126" s="189"/>
    </row>
    <row r="1127" ht="22.5" hidden="1" customHeight="1">
      <c r="A1127" s="176" t="s">
        <v>4141</v>
      </c>
      <c r="B1127" s="399" t="s">
        <v>3781</v>
      </c>
      <c r="C1127" s="211">
        <v>1.0</v>
      </c>
      <c r="D1127" s="185" t="s">
        <v>1602</v>
      </c>
      <c r="E1127" s="188">
        <v>28.58</v>
      </c>
      <c r="F1127" s="183">
        <v>46218.0</v>
      </c>
      <c r="G1127" s="185" t="s">
        <v>9</v>
      </c>
      <c r="H1127" s="185" t="s">
        <v>11</v>
      </c>
      <c r="I1127" s="189"/>
    </row>
    <row r="1128" ht="22.5" hidden="1" customHeight="1">
      <c r="A1128" s="176" t="s">
        <v>4142</v>
      </c>
      <c r="B1128" s="399" t="s">
        <v>2626</v>
      </c>
      <c r="C1128" s="211">
        <v>1.0</v>
      </c>
      <c r="D1128" s="185" t="s">
        <v>1532</v>
      </c>
      <c r="E1128" s="188"/>
      <c r="F1128" s="183">
        <v>46215.0</v>
      </c>
      <c r="G1128" s="185" t="s">
        <v>9</v>
      </c>
      <c r="H1128" s="185" t="s">
        <v>1356</v>
      </c>
      <c r="I1128" s="317"/>
    </row>
    <row r="1129" ht="22.5" hidden="1" customHeight="1">
      <c r="A1129" s="176" t="s">
        <v>4143</v>
      </c>
      <c r="B1129" s="407" t="s">
        <v>892</v>
      </c>
      <c r="C1129" s="211">
        <v>1.0</v>
      </c>
      <c r="D1129" s="185" t="s">
        <v>1602</v>
      </c>
      <c r="E1129" s="188">
        <v>23.65</v>
      </c>
      <c r="F1129" s="183">
        <v>46217.0</v>
      </c>
      <c r="G1129" s="185" t="s">
        <v>8</v>
      </c>
      <c r="H1129" s="185" t="s">
        <v>12</v>
      </c>
      <c r="I1129" s="317" t="s">
        <v>4144</v>
      </c>
    </row>
    <row r="1130" ht="22.5" hidden="1" customHeight="1">
      <c r="A1130" s="176" t="s">
        <v>4145</v>
      </c>
      <c r="B1130" s="410" t="s">
        <v>3525</v>
      </c>
      <c r="C1130" s="211">
        <v>1.0</v>
      </c>
      <c r="D1130" s="185" t="s">
        <v>1602</v>
      </c>
      <c r="E1130" s="188">
        <v>68.38</v>
      </c>
      <c r="F1130" s="183">
        <v>46217.0</v>
      </c>
      <c r="G1130" s="185" t="s">
        <v>8</v>
      </c>
      <c r="H1130" s="185" t="s">
        <v>12</v>
      </c>
      <c r="I1130" s="317" t="s">
        <v>4144</v>
      </c>
    </row>
    <row r="1131" ht="22.5" hidden="1" customHeight="1">
      <c r="A1131" s="176" t="s">
        <v>4146</v>
      </c>
      <c r="B1131" s="410" t="s">
        <v>4147</v>
      </c>
      <c r="C1131" s="211">
        <v>1.0</v>
      </c>
      <c r="D1131" s="185" t="s">
        <v>1602</v>
      </c>
      <c r="E1131" s="188">
        <v>166.37</v>
      </c>
      <c r="F1131" s="183">
        <v>46217.0</v>
      </c>
      <c r="G1131" s="185" t="s">
        <v>9</v>
      </c>
      <c r="H1131" s="185" t="s">
        <v>1133</v>
      </c>
      <c r="I1131" s="317" t="s">
        <v>3947</v>
      </c>
    </row>
    <row r="1132" ht="22.5" hidden="1" customHeight="1">
      <c r="A1132" s="176" t="s">
        <v>4148</v>
      </c>
      <c r="B1132" s="410" t="s">
        <v>49</v>
      </c>
      <c r="C1132" s="211">
        <v>1.0</v>
      </c>
      <c r="D1132" s="185" t="s">
        <v>1602</v>
      </c>
      <c r="E1132" s="188">
        <v>51.34</v>
      </c>
      <c r="F1132" s="183">
        <v>46218.0</v>
      </c>
      <c r="G1132" s="185" t="s">
        <v>9</v>
      </c>
      <c r="H1132" s="185" t="s">
        <v>1601</v>
      </c>
      <c r="I1132" s="317" t="s">
        <v>3947</v>
      </c>
    </row>
    <row r="1133" ht="22.5" hidden="1" customHeight="1">
      <c r="A1133" s="176" t="s">
        <v>4149</v>
      </c>
      <c r="B1133" s="396" t="s">
        <v>4150</v>
      </c>
      <c r="C1133" s="211">
        <v>1.0</v>
      </c>
      <c r="D1133" s="185" t="s">
        <v>1602</v>
      </c>
      <c r="E1133" s="188">
        <v>89.62</v>
      </c>
      <c r="F1133" s="183">
        <v>46217.0</v>
      </c>
      <c r="G1133" s="185" t="s">
        <v>9</v>
      </c>
      <c r="H1133" s="185" t="s">
        <v>1601</v>
      </c>
      <c r="I1133" s="317" t="s">
        <v>3947</v>
      </c>
    </row>
    <row r="1134" ht="22.5" hidden="1" customHeight="1">
      <c r="A1134" s="176" t="s">
        <v>4151</v>
      </c>
      <c r="B1134" s="410" t="s">
        <v>49</v>
      </c>
      <c r="C1134" s="211">
        <v>1.0</v>
      </c>
      <c r="D1134" s="185" t="s">
        <v>1602</v>
      </c>
      <c r="E1134" s="188">
        <v>51.29</v>
      </c>
      <c r="F1134" s="183">
        <v>46218.0</v>
      </c>
      <c r="G1134" s="185" t="s">
        <v>9</v>
      </c>
      <c r="H1134" s="185" t="s">
        <v>1601</v>
      </c>
      <c r="I1134" s="317" t="s">
        <v>3947</v>
      </c>
    </row>
    <row r="1135" ht="22.5" hidden="1" customHeight="1">
      <c r="A1135" s="193"/>
      <c r="B1135" s="194"/>
      <c r="C1135" s="195"/>
      <c r="D1135" s="194"/>
      <c r="E1135" s="196">
        <f>SUM(E1125:E1134)</f>
        <v>647.29</v>
      </c>
      <c r="F1135" s="193"/>
      <c r="G1135" s="193"/>
      <c r="H1135" s="193"/>
      <c r="I1135" s="193"/>
    </row>
    <row r="1136" hidden="1">
      <c r="A1136" s="199"/>
      <c r="B1136" s="200"/>
      <c r="C1136" s="201"/>
      <c r="D1136" s="200"/>
      <c r="E1136" s="202"/>
      <c r="F1136" s="199"/>
      <c r="G1136" s="199"/>
      <c r="H1136" s="199"/>
      <c r="I1136" s="199"/>
    </row>
    <row r="1137" hidden="1">
      <c r="A1137" s="199"/>
      <c r="B1137" s="200"/>
      <c r="C1137" s="201"/>
      <c r="D1137" s="203">
        <v>46219.0</v>
      </c>
      <c r="E1137" s="202"/>
      <c r="F1137" s="199"/>
      <c r="G1137" s="199"/>
      <c r="H1137" s="199"/>
      <c r="I1137" s="199"/>
    </row>
    <row r="1138" ht="21.75" hidden="1" customHeight="1">
      <c r="A1138" s="175" t="s">
        <v>1467</v>
      </c>
      <c r="B1138" s="175" t="s">
        <v>1477</v>
      </c>
      <c r="C1138" s="175" t="s">
        <v>1478</v>
      </c>
      <c r="D1138" s="175" t="s">
        <v>1479</v>
      </c>
      <c r="E1138" s="175" t="s">
        <v>1481</v>
      </c>
      <c r="F1138" s="175" t="s">
        <v>1483</v>
      </c>
      <c r="G1138" s="175" t="s">
        <v>1484</v>
      </c>
      <c r="H1138" s="175" t="s">
        <v>1486</v>
      </c>
      <c r="I1138" s="175" t="s">
        <v>1489</v>
      </c>
    </row>
    <row r="1139" ht="22.5" hidden="1" customHeight="1">
      <c r="A1139" s="176" t="s">
        <v>4152</v>
      </c>
      <c r="B1139" s="435" t="s">
        <v>4153</v>
      </c>
      <c r="C1139" s="211">
        <v>1.0</v>
      </c>
      <c r="D1139" s="185" t="s">
        <v>1602</v>
      </c>
      <c r="E1139" s="188">
        <v>20.48</v>
      </c>
      <c r="F1139" s="183">
        <v>46218.0</v>
      </c>
      <c r="G1139" s="185" t="s">
        <v>9</v>
      </c>
      <c r="H1139" s="185" t="s">
        <v>3557</v>
      </c>
      <c r="I1139" s="317"/>
    </row>
    <row r="1140" ht="22.5" hidden="1" customHeight="1">
      <c r="A1140" s="176" t="s">
        <v>4154</v>
      </c>
      <c r="B1140" s="396" t="s">
        <v>4155</v>
      </c>
      <c r="C1140" s="211">
        <v>1.0</v>
      </c>
      <c r="D1140" s="185" t="s">
        <v>1602</v>
      </c>
      <c r="E1140" s="188">
        <v>101.16</v>
      </c>
      <c r="F1140" s="183">
        <v>46218.0</v>
      </c>
      <c r="G1140" s="185" t="s">
        <v>9</v>
      </c>
      <c r="H1140" s="185" t="s">
        <v>12</v>
      </c>
      <c r="I1140" s="317"/>
    </row>
    <row r="1141" ht="22.5" hidden="1" customHeight="1">
      <c r="A1141" s="176" t="s">
        <v>4156</v>
      </c>
      <c r="B1141" s="410">
        <v>5.304532555E9</v>
      </c>
      <c r="C1141" s="211">
        <v>1.0</v>
      </c>
      <c r="D1141" s="185" t="s">
        <v>1602</v>
      </c>
      <c r="E1141" s="188">
        <v>27.09</v>
      </c>
      <c r="F1141" s="183">
        <v>46218.0</v>
      </c>
      <c r="G1141" s="185" t="s">
        <v>9</v>
      </c>
      <c r="H1141" s="185" t="s">
        <v>3530</v>
      </c>
      <c r="I1141" s="189"/>
    </row>
    <row r="1142" ht="22.5" hidden="1" customHeight="1">
      <c r="A1142" s="176" t="s">
        <v>4157</v>
      </c>
      <c r="B1142" s="399">
        <v>2.42219302E8</v>
      </c>
      <c r="C1142" s="211">
        <v>1.0</v>
      </c>
      <c r="D1142" s="185" t="s">
        <v>1602</v>
      </c>
      <c r="E1142" s="188">
        <v>6.13</v>
      </c>
      <c r="F1142" s="183">
        <v>46219.0</v>
      </c>
      <c r="G1142" s="185" t="s">
        <v>9</v>
      </c>
      <c r="H1142" s="185" t="s">
        <v>1087</v>
      </c>
      <c r="I1142" s="189"/>
    </row>
    <row r="1143" ht="22.5" hidden="1" customHeight="1">
      <c r="A1143" s="176" t="s">
        <v>4158</v>
      </c>
      <c r="B1143" s="399">
        <v>5.304536159E9</v>
      </c>
      <c r="C1143" s="211">
        <v>1.0</v>
      </c>
      <c r="D1143" s="185" t="s">
        <v>1602</v>
      </c>
      <c r="E1143" s="188">
        <v>68.97</v>
      </c>
      <c r="F1143" s="183">
        <v>46219.0</v>
      </c>
      <c r="G1143" s="185" t="s">
        <v>9</v>
      </c>
      <c r="H1143" s="185" t="s">
        <v>1087</v>
      </c>
      <c r="I1143" s="317"/>
    </row>
    <row r="1144" ht="22.5" hidden="1" customHeight="1">
      <c r="A1144" s="176" t="s">
        <v>4159</v>
      </c>
      <c r="B1144" s="407" t="s">
        <v>1245</v>
      </c>
      <c r="C1144" s="211">
        <v>1.0</v>
      </c>
      <c r="D1144" s="185" t="s">
        <v>1602</v>
      </c>
      <c r="E1144" s="188">
        <v>15.59</v>
      </c>
      <c r="F1144" s="183">
        <v>46219.0</v>
      </c>
      <c r="G1144" s="185" t="s">
        <v>9</v>
      </c>
      <c r="H1144" s="185" t="s">
        <v>1087</v>
      </c>
      <c r="I1144" s="317"/>
    </row>
    <row r="1145" ht="22.5" hidden="1" customHeight="1">
      <c r="A1145" s="176" t="s">
        <v>4160</v>
      </c>
      <c r="B1145" s="410" t="s">
        <v>4161</v>
      </c>
      <c r="C1145" s="211">
        <v>1.0</v>
      </c>
      <c r="D1145" s="185" t="s">
        <v>3475</v>
      </c>
      <c r="E1145" s="188">
        <v>-99.72</v>
      </c>
      <c r="F1145" s="183">
        <v>46219.0</v>
      </c>
      <c r="G1145" s="185" t="s">
        <v>9</v>
      </c>
      <c r="H1145" s="185" t="s">
        <v>53</v>
      </c>
      <c r="I1145" s="317" t="s">
        <v>4162</v>
      </c>
    </row>
    <row r="1146" ht="22.5" hidden="1" customHeight="1">
      <c r="A1146" s="176" t="s">
        <v>4163</v>
      </c>
      <c r="B1146" s="388" t="s">
        <v>4164</v>
      </c>
      <c r="C1146" s="211">
        <v>1.0</v>
      </c>
      <c r="D1146" s="185" t="s">
        <v>1602</v>
      </c>
      <c r="E1146" s="188">
        <v>150.88</v>
      </c>
      <c r="F1146" s="183">
        <v>46218.0</v>
      </c>
      <c r="G1146" s="185" t="s">
        <v>9</v>
      </c>
      <c r="H1146" s="185" t="s">
        <v>53</v>
      </c>
      <c r="I1146" s="317" t="s">
        <v>3947</v>
      </c>
    </row>
    <row r="1147" ht="22.5" hidden="1" customHeight="1">
      <c r="A1147" s="176" t="s">
        <v>4165</v>
      </c>
      <c r="B1147" s="436">
        <v>2.42253002E8</v>
      </c>
      <c r="C1147" s="211">
        <v>1.0</v>
      </c>
      <c r="D1147" s="185" t="s">
        <v>1602</v>
      </c>
      <c r="E1147" s="188">
        <v>20.83</v>
      </c>
      <c r="F1147" s="183">
        <v>46218.0</v>
      </c>
      <c r="G1147" s="185" t="s">
        <v>9</v>
      </c>
      <c r="H1147" s="185" t="s">
        <v>1133</v>
      </c>
      <c r="I1147" s="317" t="s">
        <v>4166</v>
      </c>
    </row>
    <row r="1148" ht="22.5" hidden="1" customHeight="1">
      <c r="A1148" s="193"/>
      <c r="B1148" s="194"/>
      <c r="C1148" s="195"/>
      <c r="D1148" s="194"/>
      <c r="E1148" s="196">
        <f>SUM(E1139:E1147)</f>
        <v>311.41</v>
      </c>
      <c r="F1148" s="193"/>
      <c r="G1148" s="193"/>
      <c r="H1148" s="193"/>
      <c r="I1148" s="193"/>
    </row>
    <row r="1149" hidden="1">
      <c r="A1149" s="199"/>
      <c r="B1149" s="200"/>
      <c r="C1149" s="201"/>
      <c r="D1149" s="200"/>
      <c r="E1149" s="202"/>
      <c r="F1149" s="199"/>
      <c r="G1149" s="199"/>
      <c r="H1149" s="199"/>
      <c r="I1149" s="199"/>
    </row>
    <row r="1150" hidden="1">
      <c r="A1150" s="199"/>
      <c r="B1150" s="200"/>
      <c r="C1150" s="201"/>
      <c r="D1150" s="203">
        <v>46220.0</v>
      </c>
      <c r="E1150" s="202"/>
      <c r="F1150" s="199"/>
      <c r="G1150" s="199"/>
      <c r="H1150" s="199"/>
      <c r="I1150" s="199"/>
    </row>
    <row r="1151" ht="21.75" hidden="1" customHeight="1">
      <c r="A1151" s="175" t="s">
        <v>1467</v>
      </c>
      <c r="B1151" s="175" t="s">
        <v>1477</v>
      </c>
      <c r="C1151" s="175" t="s">
        <v>1478</v>
      </c>
      <c r="D1151" s="175" t="s">
        <v>1479</v>
      </c>
      <c r="E1151" s="175" t="s">
        <v>1481</v>
      </c>
      <c r="F1151" s="175" t="s">
        <v>1483</v>
      </c>
      <c r="G1151" s="175" t="s">
        <v>1484</v>
      </c>
      <c r="H1151" s="175" t="s">
        <v>1486</v>
      </c>
      <c r="I1151" s="175" t="s">
        <v>1489</v>
      </c>
    </row>
    <row r="1152" ht="22.5" hidden="1" customHeight="1">
      <c r="A1152" s="176" t="s">
        <v>4167</v>
      </c>
      <c r="B1152" s="437" t="s">
        <v>2711</v>
      </c>
      <c r="C1152" s="211">
        <v>1.0</v>
      </c>
      <c r="D1152" s="185" t="s">
        <v>1602</v>
      </c>
      <c r="E1152" s="188">
        <v>18.11</v>
      </c>
      <c r="F1152" s="183">
        <v>46220.0</v>
      </c>
      <c r="G1152" s="185" t="s">
        <v>9</v>
      </c>
      <c r="H1152" s="185" t="s">
        <v>3380</v>
      </c>
      <c r="I1152" s="317"/>
    </row>
    <row r="1153" ht="22.5" hidden="1" customHeight="1">
      <c r="A1153" s="376" t="s">
        <v>4168</v>
      </c>
      <c r="B1153" s="404" t="s">
        <v>4169</v>
      </c>
      <c r="C1153" s="211">
        <v>1.0</v>
      </c>
      <c r="D1153" s="185" t="s">
        <v>1602</v>
      </c>
      <c r="E1153" s="188">
        <v>25.98</v>
      </c>
      <c r="F1153" s="183">
        <v>46219.0</v>
      </c>
      <c r="G1153" s="185" t="s">
        <v>9</v>
      </c>
      <c r="H1153" s="185" t="s">
        <v>3557</v>
      </c>
      <c r="I1153" s="317"/>
    </row>
    <row r="1154" ht="22.5" hidden="1" customHeight="1">
      <c r="A1154" s="176" t="s">
        <v>4170</v>
      </c>
      <c r="B1154" s="438" t="s">
        <v>4171</v>
      </c>
      <c r="C1154" s="211">
        <v>1.0</v>
      </c>
      <c r="D1154" s="185" t="s">
        <v>1602</v>
      </c>
      <c r="E1154" s="188">
        <v>25.61</v>
      </c>
      <c r="F1154" s="183">
        <v>46220.0</v>
      </c>
      <c r="G1154" s="185" t="s">
        <v>9</v>
      </c>
      <c r="H1154" s="185" t="s">
        <v>53</v>
      </c>
      <c r="I1154" s="186" t="s">
        <v>3947</v>
      </c>
    </row>
    <row r="1155" ht="22.5" hidden="1" customHeight="1">
      <c r="A1155" s="176" t="s">
        <v>4172</v>
      </c>
      <c r="B1155" s="439" t="s">
        <v>4173</v>
      </c>
      <c r="C1155" s="211">
        <v>1.0</v>
      </c>
      <c r="D1155" s="185" t="s">
        <v>1532</v>
      </c>
      <c r="E1155" s="188"/>
      <c r="F1155" s="183">
        <v>46219.0</v>
      </c>
      <c r="G1155" s="185" t="s">
        <v>9</v>
      </c>
      <c r="H1155" s="185" t="s">
        <v>11</v>
      </c>
      <c r="I1155" s="186" t="s">
        <v>4174</v>
      </c>
    </row>
    <row r="1156" ht="22.5" hidden="1" customHeight="1">
      <c r="A1156" s="176" t="s">
        <v>4175</v>
      </c>
      <c r="B1156" s="439" t="s">
        <v>344</v>
      </c>
      <c r="C1156" s="211">
        <v>1.0</v>
      </c>
      <c r="D1156" s="185" t="s">
        <v>1602</v>
      </c>
      <c r="E1156" s="188">
        <v>6.62</v>
      </c>
      <c r="F1156" s="183">
        <v>46220.0</v>
      </c>
      <c r="G1156" s="185" t="s">
        <v>9</v>
      </c>
      <c r="H1156" s="185" t="s">
        <v>11</v>
      </c>
      <c r="I1156" s="317"/>
    </row>
    <row r="1157" ht="22.5" hidden="1" customHeight="1">
      <c r="A1157" s="176" t="s">
        <v>4176</v>
      </c>
      <c r="B1157" s="440">
        <v>1.1635932E7</v>
      </c>
      <c r="C1157" s="211">
        <v>1.0</v>
      </c>
      <c r="D1157" s="185" t="s">
        <v>1875</v>
      </c>
      <c r="E1157" s="188">
        <v>-256.98</v>
      </c>
      <c r="F1157" s="183">
        <v>46206.0</v>
      </c>
      <c r="G1157" s="185" t="s">
        <v>8</v>
      </c>
      <c r="H1157" s="185" t="s">
        <v>11</v>
      </c>
      <c r="I1157" s="189"/>
    </row>
    <row r="1158" ht="22.5" hidden="1" customHeight="1">
      <c r="A1158" s="176" t="s">
        <v>4177</v>
      </c>
      <c r="B1158" s="405" t="s">
        <v>210</v>
      </c>
      <c r="C1158" s="211">
        <v>1.0</v>
      </c>
      <c r="D1158" s="185" t="s">
        <v>1602</v>
      </c>
      <c r="E1158" s="188">
        <v>9.8</v>
      </c>
      <c r="F1158" s="183">
        <v>46220.0</v>
      </c>
      <c r="G1158" s="185" t="s">
        <v>9</v>
      </c>
      <c r="H1158" s="185" t="s">
        <v>3530</v>
      </c>
      <c r="I1158" s="317"/>
    </row>
    <row r="1159" ht="22.5" hidden="1" customHeight="1">
      <c r="A1159" s="376" t="s">
        <v>4178</v>
      </c>
      <c r="B1159" s="439">
        <v>1.1473381E7</v>
      </c>
      <c r="C1159" s="211">
        <v>1.0</v>
      </c>
      <c r="D1159" s="185" t="s">
        <v>1602</v>
      </c>
      <c r="E1159" s="188">
        <v>64.62</v>
      </c>
      <c r="F1159" s="183">
        <v>46219.0</v>
      </c>
      <c r="G1159" s="185" t="s">
        <v>9</v>
      </c>
      <c r="H1159" s="185" t="s">
        <v>12</v>
      </c>
      <c r="I1159" s="317"/>
    </row>
    <row r="1160" ht="22.5" hidden="1" customHeight="1">
      <c r="A1160" s="376" t="s">
        <v>4179</v>
      </c>
      <c r="B1160" s="405" t="s">
        <v>1922</v>
      </c>
      <c r="C1160" s="211">
        <v>1.0</v>
      </c>
      <c r="D1160" s="185" t="s">
        <v>1602</v>
      </c>
      <c r="E1160" s="188">
        <v>36.25</v>
      </c>
      <c r="F1160" s="183">
        <v>46219.0</v>
      </c>
      <c r="G1160" s="185" t="s">
        <v>9</v>
      </c>
      <c r="H1160" s="185" t="s">
        <v>12</v>
      </c>
      <c r="I1160" s="317"/>
    </row>
    <row r="1161" ht="22.5" hidden="1" customHeight="1">
      <c r="A1161" s="176" t="s">
        <v>4180</v>
      </c>
      <c r="B1161" s="439">
        <v>1.40171068061E11</v>
      </c>
      <c r="C1161" s="211">
        <v>1.0</v>
      </c>
      <c r="D1161" s="185" t="s">
        <v>1602</v>
      </c>
      <c r="E1161" s="188">
        <v>52.3</v>
      </c>
      <c r="F1161" s="183">
        <v>46219.0</v>
      </c>
      <c r="G1161" s="185" t="s">
        <v>8</v>
      </c>
      <c r="H1161" s="185" t="s">
        <v>12</v>
      </c>
      <c r="I1161" s="317" t="s">
        <v>4144</v>
      </c>
    </row>
    <row r="1162" ht="22.5" hidden="1" customHeight="1">
      <c r="A1162" s="176" t="s">
        <v>4181</v>
      </c>
      <c r="B1162" s="405" t="s">
        <v>782</v>
      </c>
      <c r="C1162" s="211">
        <v>1.0</v>
      </c>
      <c r="D1162" s="185" t="s">
        <v>1532</v>
      </c>
      <c r="E1162" s="188"/>
      <c r="F1162" s="183">
        <v>46219.0</v>
      </c>
      <c r="G1162" s="185" t="s">
        <v>9</v>
      </c>
      <c r="H1162" s="185" t="s">
        <v>12</v>
      </c>
      <c r="I1162" s="317" t="s">
        <v>4182</v>
      </c>
    </row>
    <row r="1163" ht="22.5" hidden="1" customHeight="1">
      <c r="A1163" s="176" t="s">
        <v>4183</v>
      </c>
      <c r="B1163" s="405" t="s">
        <v>528</v>
      </c>
      <c r="C1163" s="211">
        <v>1.0</v>
      </c>
      <c r="D1163" s="185" t="s">
        <v>1602</v>
      </c>
      <c r="E1163" s="188">
        <v>13.99</v>
      </c>
      <c r="F1163" s="183">
        <v>46220.0</v>
      </c>
      <c r="G1163" s="185" t="s">
        <v>9</v>
      </c>
      <c r="H1163" s="185" t="s">
        <v>351</v>
      </c>
      <c r="I1163" s="317"/>
    </row>
    <row r="1164" ht="22.5" hidden="1" customHeight="1">
      <c r="A1164" s="193"/>
      <c r="B1164" s="194"/>
      <c r="C1164" s="195"/>
      <c r="D1164" s="194"/>
      <c r="E1164" s="196">
        <f>SUM(E1152:E1163)</f>
        <v>-3.7</v>
      </c>
      <c r="F1164" s="193"/>
      <c r="G1164" s="193"/>
      <c r="H1164" s="193"/>
      <c r="I1164" s="193"/>
    </row>
    <row r="1165" hidden="1">
      <c r="A1165" s="199"/>
      <c r="B1165" s="200"/>
      <c r="C1165" s="201"/>
      <c r="D1165" s="200"/>
      <c r="E1165" s="202"/>
      <c r="F1165" s="199"/>
      <c r="G1165" s="199"/>
      <c r="H1165" s="199"/>
      <c r="I1165" s="199"/>
    </row>
    <row r="1166" hidden="1">
      <c r="A1166" s="199"/>
      <c r="B1166" s="200"/>
      <c r="C1166" s="201"/>
      <c r="D1166" s="203">
        <v>46223.0</v>
      </c>
      <c r="E1166" s="202"/>
      <c r="F1166" s="199"/>
      <c r="G1166" s="199"/>
      <c r="H1166" s="199"/>
      <c r="I1166" s="199"/>
    </row>
    <row r="1167" ht="21.75" hidden="1" customHeight="1">
      <c r="A1167" s="175" t="s">
        <v>1467</v>
      </c>
      <c r="B1167" s="175" t="s">
        <v>1477</v>
      </c>
      <c r="C1167" s="175" t="s">
        <v>1478</v>
      </c>
      <c r="D1167" s="175" t="s">
        <v>1479</v>
      </c>
      <c r="E1167" s="175" t="s">
        <v>1481</v>
      </c>
      <c r="F1167" s="175" t="s">
        <v>1483</v>
      </c>
      <c r="G1167" s="175" t="s">
        <v>1484</v>
      </c>
      <c r="H1167" s="175" t="s">
        <v>1486</v>
      </c>
      <c r="I1167" s="175" t="s">
        <v>1489</v>
      </c>
    </row>
    <row r="1168" ht="22.5" hidden="1" customHeight="1">
      <c r="A1168" s="176" t="s">
        <v>4184</v>
      </c>
      <c r="B1168" s="435" t="s">
        <v>742</v>
      </c>
      <c r="C1168" s="211">
        <v>1.0</v>
      </c>
      <c r="D1168" s="185" t="s">
        <v>1602</v>
      </c>
      <c r="E1168" s="188">
        <v>8.54</v>
      </c>
      <c r="F1168" s="183">
        <v>46222.0</v>
      </c>
      <c r="G1168" s="185" t="s">
        <v>9</v>
      </c>
      <c r="H1168" s="185" t="s">
        <v>11</v>
      </c>
      <c r="I1168" s="317"/>
    </row>
    <row r="1169" ht="22.5" hidden="1" customHeight="1">
      <c r="A1169" s="176" t="s">
        <v>4185</v>
      </c>
      <c r="B1169" s="410" t="s">
        <v>4173</v>
      </c>
      <c r="C1169" s="211">
        <v>1.0</v>
      </c>
      <c r="D1169" s="185" t="s">
        <v>1602</v>
      </c>
      <c r="E1169" s="188">
        <v>82.88</v>
      </c>
      <c r="F1169" s="183">
        <v>46222.0</v>
      </c>
      <c r="G1169" s="185" t="s">
        <v>9</v>
      </c>
      <c r="H1169" s="185" t="s">
        <v>11</v>
      </c>
      <c r="I1169" s="317"/>
    </row>
    <row r="1170" ht="22.5" hidden="1" customHeight="1">
      <c r="A1170" s="176" t="s">
        <v>4186</v>
      </c>
      <c r="B1170" s="410" t="s">
        <v>4187</v>
      </c>
      <c r="C1170" s="211">
        <v>1.0</v>
      </c>
      <c r="D1170" s="185" t="s">
        <v>1602</v>
      </c>
      <c r="E1170" s="188">
        <v>12.33</v>
      </c>
      <c r="F1170" s="183">
        <v>46221.0</v>
      </c>
      <c r="G1170" s="185" t="s">
        <v>9</v>
      </c>
      <c r="H1170" s="185" t="s">
        <v>11</v>
      </c>
      <c r="I1170" s="317"/>
    </row>
    <row r="1171" ht="22.5" hidden="1" customHeight="1">
      <c r="A1171" s="176" t="s">
        <v>4188</v>
      </c>
      <c r="B1171" s="396" t="s">
        <v>1447</v>
      </c>
      <c r="C1171" s="211">
        <v>1.0</v>
      </c>
      <c r="D1171" s="185" t="s">
        <v>1532</v>
      </c>
      <c r="E1171" s="188"/>
      <c r="F1171" s="183">
        <v>46221.0</v>
      </c>
      <c r="G1171" s="185" t="s">
        <v>9</v>
      </c>
      <c r="H1171" s="185" t="s">
        <v>1356</v>
      </c>
      <c r="I1171" s="317" t="s">
        <v>3656</v>
      </c>
    </row>
    <row r="1172" ht="22.5" hidden="1" customHeight="1">
      <c r="A1172" s="176" t="s">
        <v>4189</v>
      </c>
      <c r="B1172" s="410" t="s">
        <v>1493</v>
      </c>
      <c r="C1172" s="211">
        <v>1.0</v>
      </c>
      <c r="D1172" s="185" t="s">
        <v>1602</v>
      </c>
      <c r="E1172" s="188">
        <v>41.56</v>
      </c>
      <c r="F1172" s="183">
        <v>46221.0</v>
      </c>
      <c r="G1172" s="185" t="s">
        <v>9</v>
      </c>
      <c r="H1172" s="185" t="s">
        <v>1356</v>
      </c>
      <c r="I1172" s="189"/>
    </row>
    <row r="1173" ht="22.5" hidden="1" customHeight="1">
      <c r="A1173" s="176" t="s">
        <v>4190</v>
      </c>
      <c r="B1173" s="387" t="s">
        <v>264</v>
      </c>
      <c r="C1173" s="211">
        <v>1.0</v>
      </c>
      <c r="D1173" s="185" t="s">
        <v>1602</v>
      </c>
      <c r="E1173" s="188">
        <v>93.97</v>
      </c>
      <c r="F1173" s="183">
        <v>46221.0</v>
      </c>
      <c r="G1173" s="185" t="s">
        <v>8</v>
      </c>
      <c r="H1173" s="185" t="s">
        <v>53</v>
      </c>
      <c r="I1173" s="186" t="s">
        <v>3947</v>
      </c>
    </row>
    <row r="1174" ht="22.5" hidden="1" customHeight="1">
      <c r="A1174" s="176" t="s">
        <v>4191</v>
      </c>
      <c r="B1174" s="402" t="s">
        <v>4192</v>
      </c>
      <c r="C1174" s="211">
        <v>1.0</v>
      </c>
      <c r="D1174" s="185" t="s">
        <v>1602</v>
      </c>
      <c r="E1174" s="188">
        <v>34.13</v>
      </c>
      <c r="F1174" s="183">
        <v>46222.0</v>
      </c>
      <c r="G1174" s="185" t="s">
        <v>9</v>
      </c>
      <c r="H1174" s="185" t="s">
        <v>53</v>
      </c>
      <c r="I1174" s="317" t="s">
        <v>3947</v>
      </c>
    </row>
    <row r="1175" ht="22.5" hidden="1" customHeight="1">
      <c r="A1175" s="176" t="s">
        <v>4193</v>
      </c>
      <c r="B1175" s="441">
        <v>1.7431000001476E13</v>
      </c>
      <c r="C1175" s="211">
        <v>1.0</v>
      </c>
      <c r="D1175" s="185" t="s">
        <v>1602</v>
      </c>
      <c r="E1175" s="188">
        <v>53.79</v>
      </c>
      <c r="F1175" s="183">
        <v>46222.0</v>
      </c>
      <c r="G1175" s="185" t="s">
        <v>9</v>
      </c>
      <c r="H1175" s="185" t="s">
        <v>12</v>
      </c>
      <c r="I1175" s="317"/>
    </row>
    <row r="1176" ht="22.5" hidden="1" customHeight="1">
      <c r="A1176" s="176" t="s">
        <v>4194</v>
      </c>
      <c r="B1176" s="410">
        <v>5.304538014E9</v>
      </c>
      <c r="C1176" s="211">
        <v>1.0</v>
      </c>
      <c r="D1176" s="185" t="s">
        <v>1602</v>
      </c>
      <c r="E1176" s="188">
        <v>37.91</v>
      </c>
      <c r="F1176" s="183">
        <v>46222.0</v>
      </c>
      <c r="G1176" s="185" t="s">
        <v>9</v>
      </c>
      <c r="H1176" s="185" t="s">
        <v>12</v>
      </c>
      <c r="I1176" s="317"/>
    </row>
    <row r="1177" ht="22.5" hidden="1" customHeight="1">
      <c r="A1177" s="376" t="s">
        <v>4195</v>
      </c>
      <c r="B1177" s="399" t="s">
        <v>892</v>
      </c>
      <c r="C1177" s="211">
        <v>1.0</v>
      </c>
      <c r="D1177" s="185" t="s">
        <v>1602</v>
      </c>
      <c r="E1177" s="188">
        <v>27.83</v>
      </c>
      <c r="F1177" s="183">
        <v>46223.0</v>
      </c>
      <c r="G1177" s="185" t="s">
        <v>8</v>
      </c>
      <c r="H1177" s="185" t="s">
        <v>12</v>
      </c>
      <c r="I1177" s="317" t="s">
        <v>4144</v>
      </c>
    </row>
    <row r="1178" ht="22.5" hidden="1" customHeight="1">
      <c r="A1178" s="176" t="s">
        <v>4196</v>
      </c>
      <c r="B1178" s="410" t="s">
        <v>861</v>
      </c>
      <c r="C1178" s="211">
        <v>1.0</v>
      </c>
      <c r="D1178" s="185" t="s">
        <v>1602</v>
      </c>
      <c r="E1178" s="188">
        <v>10.36</v>
      </c>
      <c r="F1178" s="183">
        <v>46222.0</v>
      </c>
      <c r="G1178" s="185" t="s">
        <v>8</v>
      </c>
      <c r="H1178" s="185" t="s">
        <v>12</v>
      </c>
      <c r="I1178" s="317" t="s">
        <v>4144</v>
      </c>
    </row>
    <row r="1179" ht="22.5" hidden="1" customHeight="1">
      <c r="A1179" s="401" t="s">
        <v>4197</v>
      </c>
      <c r="B1179" s="410" t="s">
        <v>4198</v>
      </c>
      <c r="C1179" s="211">
        <v>1.0</v>
      </c>
      <c r="D1179" s="185" t="s">
        <v>1602</v>
      </c>
      <c r="E1179" s="188">
        <v>56.32</v>
      </c>
      <c r="F1179" s="183">
        <v>46220.0</v>
      </c>
      <c r="G1179" s="185" t="s">
        <v>9</v>
      </c>
      <c r="H1179" s="185" t="s">
        <v>3380</v>
      </c>
      <c r="I1179" s="317" t="s">
        <v>4144</v>
      </c>
    </row>
    <row r="1180" ht="22.5" hidden="1" customHeight="1">
      <c r="A1180" s="193"/>
      <c r="B1180" s="194"/>
      <c r="C1180" s="195"/>
      <c r="D1180" s="194"/>
      <c r="E1180" s="196">
        <f>SUM(E1168:E1179)</f>
        <v>459.62</v>
      </c>
      <c r="F1180" s="193"/>
      <c r="G1180" s="193"/>
      <c r="H1180" s="193"/>
      <c r="I1180" s="193"/>
    </row>
    <row r="1181" hidden="1">
      <c r="A1181" s="199"/>
      <c r="B1181" s="200"/>
      <c r="C1181" s="201"/>
      <c r="D1181" s="200"/>
      <c r="E1181" s="202"/>
      <c r="F1181" s="199"/>
      <c r="G1181" s="199"/>
      <c r="H1181" s="199"/>
      <c r="I1181" s="199"/>
    </row>
    <row r="1182" hidden="1">
      <c r="A1182" s="199"/>
      <c r="B1182" s="200"/>
      <c r="C1182" s="201"/>
      <c r="D1182" s="203">
        <v>46224.0</v>
      </c>
      <c r="E1182" s="202"/>
      <c r="F1182" s="199"/>
      <c r="G1182" s="199"/>
      <c r="H1182" s="199"/>
      <c r="I1182" s="199"/>
    </row>
    <row r="1183" ht="21.75" hidden="1" customHeight="1">
      <c r="A1183" s="175" t="s">
        <v>1467</v>
      </c>
      <c r="B1183" s="175" t="s">
        <v>1477</v>
      </c>
      <c r="C1183" s="175" t="s">
        <v>1478</v>
      </c>
      <c r="D1183" s="175" t="s">
        <v>1479</v>
      </c>
      <c r="E1183" s="175" t="s">
        <v>1481</v>
      </c>
      <c r="F1183" s="175" t="s">
        <v>1483</v>
      </c>
      <c r="G1183" s="175" t="s">
        <v>1484</v>
      </c>
      <c r="H1183" s="175" t="s">
        <v>1486</v>
      </c>
      <c r="I1183" s="175" t="s">
        <v>1489</v>
      </c>
    </row>
    <row r="1184" ht="22.5" hidden="1" customHeight="1">
      <c r="A1184" s="176" t="s">
        <v>4199</v>
      </c>
      <c r="B1184" s="435" t="s">
        <v>54</v>
      </c>
      <c r="C1184" s="211">
        <v>1.0</v>
      </c>
      <c r="D1184" s="185" t="s">
        <v>1602</v>
      </c>
      <c r="E1184" s="188">
        <v>26.24</v>
      </c>
      <c r="F1184" s="183">
        <v>46222.0</v>
      </c>
      <c r="G1184" s="185" t="s">
        <v>9</v>
      </c>
      <c r="H1184" s="185" t="s">
        <v>2243</v>
      </c>
      <c r="I1184" s="317"/>
    </row>
    <row r="1185" ht="22.5" hidden="1" customHeight="1">
      <c r="A1185" s="176" t="s">
        <v>4200</v>
      </c>
      <c r="B1185" s="410" t="s">
        <v>4201</v>
      </c>
      <c r="C1185" s="211">
        <v>1.0</v>
      </c>
      <c r="D1185" s="185" t="s">
        <v>1602</v>
      </c>
      <c r="E1185" s="188">
        <v>74.85</v>
      </c>
      <c r="F1185" s="183">
        <v>46220.0</v>
      </c>
      <c r="G1185" s="185" t="s">
        <v>9</v>
      </c>
      <c r="H1185" s="185" t="s">
        <v>2243</v>
      </c>
      <c r="I1185" s="317"/>
    </row>
    <row r="1186" ht="22.5" hidden="1" customHeight="1">
      <c r="A1186" s="176" t="s">
        <v>4202</v>
      </c>
      <c r="B1186" s="410" t="s">
        <v>636</v>
      </c>
      <c r="C1186" s="211">
        <v>1.0</v>
      </c>
      <c r="D1186" s="185" t="s">
        <v>1602</v>
      </c>
      <c r="E1186" s="188">
        <v>27.4</v>
      </c>
      <c r="F1186" s="183">
        <v>46224.0</v>
      </c>
      <c r="G1186" s="185" t="s">
        <v>9</v>
      </c>
      <c r="H1186" s="185" t="s">
        <v>351</v>
      </c>
      <c r="I1186" s="317" t="s">
        <v>3909</v>
      </c>
    </row>
    <row r="1187" ht="22.5" hidden="1" customHeight="1">
      <c r="A1187" s="176" t="s">
        <v>4203</v>
      </c>
      <c r="B1187" s="396" t="s">
        <v>638</v>
      </c>
      <c r="C1187" s="211">
        <v>1.0</v>
      </c>
      <c r="D1187" s="185" t="s">
        <v>1602</v>
      </c>
      <c r="E1187" s="188">
        <v>21.59</v>
      </c>
      <c r="F1187" s="183">
        <v>46223.0</v>
      </c>
      <c r="G1187" s="185" t="s">
        <v>9</v>
      </c>
      <c r="H1187" s="185" t="s">
        <v>12</v>
      </c>
      <c r="I1187" s="317"/>
    </row>
    <row r="1188" ht="22.5" hidden="1" customHeight="1">
      <c r="A1188" s="176" t="s">
        <v>4204</v>
      </c>
      <c r="B1188" s="396" t="s">
        <v>2500</v>
      </c>
      <c r="C1188" s="211">
        <v>1.0</v>
      </c>
      <c r="D1188" s="185" t="s">
        <v>1602</v>
      </c>
      <c r="E1188" s="188">
        <v>24.03</v>
      </c>
      <c r="F1188" s="183">
        <v>46223.0</v>
      </c>
      <c r="G1188" s="185" t="s">
        <v>9</v>
      </c>
      <c r="H1188" s="185" t="s">
        <v>12</v>
      </c>
      <c r="I1188" s="317"/>
    </row>
    <row r="1189" ht="22.5" hidden="1" customHeight="1">
      <c r="A1189" s="176" t="s">
        <v>4205</v>
      </c>
      <c r="B1189" s="410" t="s">
        <v>2623</v>
      </c>
      <c r="C1189" s="211">
        <v>1.0</v>
      </c>
      <c r="D1189" s="185" t="s">
        <v>1602</v>
      </c>
      <c r="E1189" s="188">
        <v>16.86</v>
      </c>
      <c r="F1189" s="183">
        <v>46223.0</v>
      </c>
      <c r="G1189" s="185" t="s">
        <v>9</v>
      </c>
      <c r="H1189" s="185" t="s">
        <v>12</v>
      </c>
      <c r="I1189" s="189"/>
    </row>
    <row r="1190" ht="22.5" hidden="1" customHeight="1">
      <c r="A1190" s="176" t="s">
        <v>4206</v>
      </c>
      <c r="B1190" s="399" t="s">
        <v>718</v>
      </c>
      <c r="C1190" s="211">
        <v>1.0</v>
      </c>
      <c r="D1190" s="185" t="s">
        <v>1602</v>
      </c>
      <c r="E1190" s="188">
        <v>14.01</v>
      </c>
      <c r="F1190" s="183">
        <v>46223.0</v>
      </c>
      <c r="G1190" s="185" t="s">
        <v>8</v>
      </c>
      <c r="H1190" s="185" t="s">
        <v>12</v>
      </c>
      <c r="I1190" s="186" t="s">
        <v>4207</v>
      </c>
    </row>
    <row r="1191" ht="22.5" hidden="1" customHeight="1">
      <c r="A1191" s="176" t="s">
        <v>4208</v>
      </c>
      <c r="B1191" s="399">
        <v>1.0397318E7</v>
      </c>
      <c r="C1191" s="211">
        <v>1.0</v>
      </c>
      <c r="D1191" s="185" t="s">
        <v>1875</v>
      </c>
      <c r="E1191" s="188">
        <v>-437.56</v>
      </c>
      <c r="F1191" s="183">
        <v>46199.0</v>
      </c>
      <c r="G1191" s="185" t="s">
        <v>9</v>
      </c>
      <c r="H1191" s="185" t="s">
        <v>12</v>
      </c>
      <c r="I1191" s="317" t="s">
        <v>4209</v>
      </c>
    </row>
    <row r="1192" ht="22.5" hidden="1" customHeight="1">
      <c r="A1192" s="176" t="s">
        <v>4210</v>
      </c>
      <c r="B1192" s="396" t="s">
        <v>14</v>
      </c>
      <c r="C1192" s="211">
        <v>1.0</v>
      </c>
      <c r="D1192" s="185" t="s">
        <v>1532</v>
      </c>
      <c r="E1192" s="188"/>
      <c r="F1192" s="183">
        <v>46221.0</v>
      </c>
      <c r="G1192" s="185" t="s">
        <v>9</v>
      </c>
      <c r="H1192" s="185" t="s">
        <v>1087</v>
      </c>
      <c r="I1192" s="317" t="s">
        <v>4211</v>
      </c>
    </row>
    <row r="1193" ht="22.5" hidden="1" customHeight="1">
      <c r="A1193" s="176" t="s">
        <v>4212</v>
      </c>
      <c r="B1193" s="399" t="s">
        <v>82</v>
      </c>
      <c r="C1193" s="211">
        <v>1.0</v>
      </c>
      <c r="D1193" s="185" t="s">
        <v>1602</v>
      </c>
      <c r="E1193" s="188">
        <v>71.55</v>
      </c>
      <c r="F1193" s="183">
        <v>46223.0</v>
      </c>
      <c r="G1193" s="185" t="s">
        <v>8</v>
      </c>
      <c r="H1193" s="185" t="s">
        <v>11</v>
      </c>
      <c r="I1193" s="317"/>
    </row>
    <row r="1194" ht="22.5" hidden="1" customHeight="1">
      <c r="A1194" s="176" t="s">
        <v>4213</v>
      </c>
      <c r="B1194" s="407" t="s">
        <v>1507</v>
      </c>
      <c r="C1194" s="211">
        <v>1.0</v>
      </c>
      <c r="D1194" s="185" t="s">
        <v>1602</v>
      </c>
      <c r="E1194" s="188">
        <v>22.75</v>
      </c>
      <c r="F1194" s="183">
        <v>46223.0</v>
      </c>
      <c r="G1194" s="185" t="s">
        <v>9</v>
      </c>
      <c r="H1194" s="185" t="s">
        <v>11</v>
      </c>
      <c r="I1194" s="317"/>
    </row>
    <row r="1195" ht="22.5" hidden="1" customHeight="1">
      <c r="A1195" s="176" t="s">
        <v>4214</v>
      </c>
      <c r="B1195" s="410">
        <v>2.42253002E8</v>
      </c>
      <c r="C1195" s="211">
        <v>1.0</v>
      </c>
      <c r="D1195" s="185" t="s">
        <v>1602</v>
      </c>
      <c r="E1195" s="188">
        <v>26.26</v>
      </c>
      <c r="F1195" s="183">
        <v>46224.0</v>
      </c>
      <c r="G1195" s="185" t="s">
        <v>8</v>
      </c>
      <c r="H1195" s="185" t="s">
        <v>11</v>
      </c>
      <c r="I1195" s="317"/>
    </row>
    <row r="1196" ht="22.5" hidden="1" customHeight="1">
      <c r="A1196" s="176" t="s">
        <v>4215</v>
      </c>
      <c r="B1196" s="410" t="s">
        <v>531</v>
      </c>
      <c r="C1196" s="211">
        <v>1.0</v>
      </c>
      <c r="D1196" s="185" t="s">
        <v>1602</v>
      </c>
      <c r="E1196" s="188">
        <v>16.29</v>
      </c>
      <c r="F1196" s="183">
        <v>46224.0</v>
      </c>
      <c r="G1196" s="185" t="s">
        <v>8</v>
      </c>
      <c r="H1196" s="185" t="s">
        <v>1601</v>
      </c>
      <c r="I1196" s="317" t="s">
        <v>3947</v>
      </c>
    </row>
    <row r="1197" ht="22.5" hidden="1" customHeight="1">
      <c r="A1197" s="193"/>
      <c r="B1197" s="194"/>
      <c r="C1197" s="195"/>
      <c r="D1197" s="194"/>
      <c r="E1197" s="196">
        <f>SUM(E1184:E1196)</f>
        <v>-95.73</v>
      </c>
      <c r="F1197" s="193"/>
      <c r="G1197" s="193"/>
      <c r="H1197" s="193"/>
      <c r="I1197" s="193"/>
    </row>
    <row r="1198" hidden="1">
      <c r="A1198" s="199"/>
      <c r="B1198" s="200"/>
      <c r="C1198" s="201"/>
      <c r="D1198" s="200"/>
      <c r="E1198" s="202"/>
      <c r="F1198" s="199"/>
      <c r="G1198" s="199"/>
      <c r="H1198" s="199"/>
      <c r="I1198" s="199"/>
    </row>
    <row r="1199" hidden="1">
      <c r="A1199" s="199"/>
      <c r="B1199" s="200"/>
      <c r="C1199" s="201"/>
      <c r="D1199" s="203">
        <v>46225.0</v>
      </c>
      <c r="E1199" s="202"/>
      <c r="F1199" s="199"/>
      <c r="G1199" s="199"/>
      <c r="H1199" s="199"/>
      <c r="I1199" s="199"/>
    </row>
    <row r="1200" ht="21.75" hidden="1" customHeight="1">
      <c r="A1200" s="175" t="s">
        <v>1467</v>
      </c>
      <c r="B1200" s="175" t="s">
        <v>1477</v>
      </c>
      <c r="C1200" s="175" t="s">
        <v>1478</v>
      </c>
      <c r="D1200" s="175" t="s">
        <v>1479</v>
      </c>
      <c r="E1200" s="175" t="s">
        <v>1481</v>
      </c>
      <c r="F1200" s="175" t="s">
        <v>1483</v>
      </c>
      <c r="G1200" s="175" t="s">
        <v>1484</v>
      </c>
      <c r="H1200" s="175" t="s">
        <v>1486</v>
      </c>
      <c r="I1200" s="175" t="s">
        <v>1489</v>
      </c>
    </row>
    <row r="1201" ht="22.5" hidden="1" customHeight="1">
      <c r="A1201" s="176" t="s">
        <v>4216</v>
      </c>
      <c r="B1201" s="402" t="s">
        <v>4217</v>
      </c>
      <c r="C1201" s="211">
        <v>1.0</v>
      </c>
      <c r="D1201" s="185" t="s">
        <v>1602</v>
      </c>
      <c r="E1201" s="188">
        <v>25.26</v>
      </c>
      <c r="F1201" s="183">
        <v>46224.0</v>
      </c>
      <c r="G1201" s="185" t="s">
        <v>9</v>
      </c>
      <c r="H1201" s="185" t="s">
        <v>53</v>
      </c>
      <c r="I1201" s="317" t="s">
        <v>3947</v>
      </c>
    </row>
    <row r="1202" ht="22.5" hidden="1" customHeight="1">
      <c r="A1202" s="176" t="s">
        <v>4218</v>
      </c>
      <c r="B1202" s="410">
        <v>2.97286812E8</v>
      </c>
      <c r="C1202" s="211">
        <v>1.0</v>
      </c>
      <c r="D1202" s="185" t="s">
        <v>1602</v>
      </c>
      <c r="E1202" s="188">
        <v>5.79</v>
      </c>
      <c r="F1202" s="183">
        <v>46224.0</v>
      </c>
      <c r="G1202" s="185" t="s">
        <v>9</v>
      </c>
      <c r="H1202" s="185" t="s">
        <v>1087</v>
      </c>
      <c r="I1202" s="317"/>
    </row>
    <row r="1203" ht="22.5" hidden="1" customHeight="1">
      <c r="A1203" s="176" t="s">
        <v>4219</v>
      </c>
      <c r="B1203" s="396">
        <v>1355795.0</v>
      </c>
      <c r="C1203" s="211">
        <v>1.0</v>
      </c>
      <c r="D1203" s="185" t="s">
        <v>1602</v>
      </c>
      <c r="E1203" s="188">
        <v>57.14</v>
      </c>
      <c r="F1203" s="183">
        <v>46224.0</v>
      </c>
      <c r="G1203" s="185" t="s">
        <v>9</v>
      </c>
      <c r="H1203" s="185" t="s">
        <v>1087</v>
      </c>
      <c r="I1203" s="317"/>
    </row>
    <row r="1204" ht="22.5" hidden="1" customHeight="1">
      <c r="A1204" s="176" t="s">
        <v>4220</v>
      </c>
      <c r="B1204" s="435" t="s">
        <v>4221</v>
      </c>
      <c r="C1204" s="211">
        <v>1.0</v>
      </c>
      <c r="D1204" s="185" t="s">
        <v>1532</v>
      </c>
      <c r="E1204" s="188"/>
      <c r="F1204" s="183">
        <v>46224.0</v>
      </c>
      <c r="G1204" s="185" t="s">
        <v>9</v>
      </c>
      <c r="H1204" s="185" t="s">
        <v>1133</v>
      </c>
      <c r="I1204" s="317" t="s">
        <v>3491</v>
      </c>
    </row>
    <row r="1205" ht="22.5" hidden="1" customHeight="1">
      <c r="A1205" s="176" t="s">
        <v>4222</v>
      </c>
      <c r="B1205" s="410" t="s">
        <v>4223</v>
      </c>
      <c r="C1205" s="211">
        <v>1.0</v>
      </c>
      <c r="D1205" s="185" t="s">
        <v>1602</v>
      </c>
      <c r="E1205" s="188">
        <v>51.42</v>
      </c>
      <c r="F1205" s="183">
        <v>46225.0</v>
      </c>
      <c r="G1205" s="185" t="s">
        <v>9</v>
      </c>
      <c r="H1205" s="185" t="s">
        <v>11</v>
      </c>
      <c r="I1205" s="317"/>
    </row>
    <row r="1206" ht="22.5" hidden="1" customHeight="1">
      <c r="A1206" s="176" t="s">
        <v>4224</v>
      </c>
      <c r="B1206" s="410" t="s">
        <v>132</v>
      </c>
      <c r="C1206" s="211">
        <v>1.0</v>
      </c>
      <c r="D1206" s="185" t="s">
        <v>1875</v>
      </c>
      <c r="E1206" s="188">
        <v>-33.8</v>
      </c>
      <c r="F1206" s="183">
        <v>46208.0</v>
      </c>
      <c r="G1206" s="185" t="s">
        <v>9</v>
      </c>
      <c r="H1206" s="185" t="s">
        <v>12</v>
      </c>
      <c r="I1206" s="317" t="s">
        <v>4225</v>
      </c>
    </row>
    <row r="1207" ht="22.5" hidden="1" customHeight="1">
      <c r="A1207" s="193"/>
      <c r="B1207" s="194"/>
      <c r="C1207" s="195"/>
      <c r="D1207" s="194"/>
      <c r="E1207" s="196">
        <f>SUM(E1201:E1206)</f>
        <v>105.81</v>
      </c>
      <c r="F1207" s="193"/>
      <c r="G1207" s="193"/>
      <c r="H1207" s="193"/>
      <c r="I1207" s="193"/>
    </row>
    <row r="1208" hidden="1">
      <c r="A1208" s="199"/>
      <c r="B1208" s="200"/>
      <c r="C1208" s="201"/>
      <c r="D1208" s="200"/>
      <c r="E1208" s="202"/>
      <c r="F1208" s="199"/>
      <c r="G1208" s="199"/>
      <c r="H1208" s="199"/>
      <c r="I1208" s="199"/>
    </row>
    <row r="1209" hidden="1">
      <c r="A1209" s="199"/>
      <c r="B1209" s="200"/>
      <c r="C1209" s="201"/>
      <c r="D1209" s="203">
        <v>46226.0</v>
      </c>
      <c r="E1209" s="202"/>
      <c r="F1209" s="199"/>
      <c r="G1209" s="199"/>
      <c r="H1209" s="199"/>
      <c r="I1209" s="199"/>
    </row>
    <row r="1210" ht="21.75" hidden="1" customHeight="1">
      <c r="A1210" s="175" t="s">
        <v>1467</v>
      </c>
      <c r="B1210" s="175" t="s">
        <v>1477</v>
      </c>
      <c r="C1210" s="175" t="s">
        <v>1478</v>
      </c>
      <c r="D1210" s="175" t="s">
        <v>1479</v>
      </c>
      <c r="E1210" s="175" t="s">
        <v>1481</v>
      </c>
      <c r="F1210" s="175" t="s">
        <v>1483</v>
      </c>
      <c r="G1210" s="175" t="s">
        <v>1484</v>
      </c>
      <c r="H1210" s="175" t="s">
        <v>1486</v>
      </c>
      <c r="I1210" s="175" t="s">
        <v>1489</v>
      </c>
    </row>
    <row r="1211" ht="22.5" hidden="1" customHeight="1">
      <c r="A1211" s="176" t="s">
        <v>4226</v>
      </c>
      <c r="B1211" s="435" t="s">
        <v>1922</v>
      </c>
      <c r="C1211" s="211">
        <v>1.0</v>
      </c>
      <c r="D1211" s="185" t="s">
        <v>1602</v>
      </c>
      <c r="E1211" s="188">
        <v>48.62</v>
      </c>
      <c r="F1211" s="183">
        <v>46225.0</v>
      </c>
      <c r="G1211" s="185" t="s">
        <v>9</v>
      </c>
      <c r="H1211" s="185" t="s">
        <v>2243</v>
      </c>
      <c r="I1211" s="317"/>
    </row>
    <row r="1212" ht="22.5" hidden="1" customHeight="1">
      <c r="A1212" s="176" t="s">
        <v>4227</v>
      </c>
      <c r="B1212" s="425" t="s">
        <v>782</v>
      </c>
      <c r="C1212" s="211">
        <v>1.0</v>
      </c>
      <c r="D1212" s="185" t="s">
        <v>1602</v>
      </c>
      <c r="E1212" s="188">
        <v>80.4</v>
      </c>
      <c r="F1212" s="183">
        <v>46225.0</v>
      </c>
      <c r="G1212" s="185" t="s">
        <v>8</v>
      </c>
      <c r="H1212" s="185" t="s">
        <v>12</v>
      </c>
      <c r="I1212" s="317" t="s">
        <v>4228</v>
      </c>
    </row>
    <row r="1213" ht="22.5" hidden="1" customHeight="1">
      <c r="A1213" s="176" t="s">
        <v>4229</v>
      </c>
      <c r="B1213" s="410" t="s">
        <v>353</v>
      </c>
      <c r="C1213" s="211">
        <v>1.0</v>
      </c>
      <c r="D1213" s="185" t="s">
        <v>1532</v>
      </c>
      <c r="E1213" s="188"/>
      <c r="F1213" s="183">
        <v>46225.0</v>
      </c>
      <c r="G1213" s="185" t="s">
        <v>9</v>
      </c>
      <c r="H1213" s="185" t="s">
        <v>3380</v>
      </c>
      <c r="I1213" s="317" t="s">
        <v>3491</v>
      </c>
    </row>
    <row r="1214" ht="22.5" hidden="1" customHeight="1">
      <c r="A1214" s="176" t="s">
        <v>4230</v>
      </c>
      <c r="B1214" s="396" t="s">
        <v>923</v>
      </c>
      <c r="C1214" s="211">
        <v>1.0</v>
      </c>
      <c r="D1214" s="185" t="s">
        <v>1875</v>
      </c>
      <c r="E1214" s="188">
        <v>-42.39</v>
      </c>
      <c r="F1214" s="183">
        <v>46226.0</v>
      </c>
      <c r="G1214" s="185" t="s">
        <v>9</v>
      </c>
      <c r="H1214" s="185" t="s">
        <v>12</v>
      </c>
      <c r="I1214" s="317" t="s">
        <v>3514</v>
      </c>
    </row>
    <row r="1215" ht="22.5" hidden="1" customHeight="1">
      <c r="A1215" s="176" t="s">
        <v>4231</v>
      </c>
      <c r="B1215" s="396" t="s">
        <v>642</v>
      </c>
      <c r="C1215" s="211">
        <v>1.0</v>
      </c>
      <c r="D1215" s="185" t="s">
        <v>1602</v>
      </c>
      <c r="E1215" s="188">
        <v>16.16</v>
      </c>
      <c r="F1215" s="183">
        <v>46225.0</v>
      </c>
      <c r="G1215" s="185" t="s">
        <v>8</v>
      </c>
      <c r="H1215" s="185" t="s">
        <v>53</v>
      </c>
      <c r="I1215" s="317" t="s">
        <v>3947</v>
      </c>
    </row>
    <row r="1216" ht="22.5" hidden="1" customHeight="1">
      <c r="A1216" s="176" t="s">
        <v>4232</v>
      </c>
      <c r="B1216" s="402" t="s">
        <v>4233</v>
      </c>
      <c r="C1216" s="211">
        <v>1.0</v>
      </c>
      <c r="D1216" s="185" t="s">
        <v>1602</v>
      </c>
      <c r="E1216" s="188">
        <v>96.68</v>
      </c>
      <c r="F1216" s="183">
        <v>46225.0</v>
      </c>
      <c r="G1216" s="185" t="s">
        <v>9</v>
      </c>
      <c r="H1216" s="185" t="s">
        <v>53</v>
      </c>
      <c r="I1216" s="317" t="s">
        <v>3947</v>
      </c>
    </row>
    <row r="1217" ht="22.5" hidden="1" customHeight="1">
      <c r="A1217" s="193"/>
      <c r="B1217" s="194"/>
      <c r="C1217" s="195"/>
      <c r="D1217" s="194"/>
      <c r="E1217" s="196">
        <f>SUM(E1211:E1216)</f>
        <v>199.47</v>
      </c>
      <c r="F1217" s="193"/>
      <c r="G1217" s="193"/>
      <c r="H1217" s="193"/>
      <c r="I1217" s="193"/>
    </row>
    <row r="1218" hidden="1">
      <c r="A1218" s="199"/>
      <c r="B1218" s="200"/>
      <c r="C1218" s="201"/>
      <c r="D1218" s="200"/>
      <c r="E1218" s="202"/>
      <c r="F1218" s="199"/>
      <c r="G1218" s="199"/>
      <c r="H1218" s="199"/>
      <c r="I1218" s="199"/>
    </row>
    <row r="1219" hidden="1">
      <c r="A1219" s="199"/>
      <c r="B1219" s="200"/>
      <c r="C1219" s="201"/>
      <c r="D1219" s="203">
        <v>46227.0</v>
      </c>
      <c r="E1219" s="202"/>
      <c r="F1219" s="199"/>
      <c r="G1219" s="199"/>
      <c r="H1219" s="199"/>
      <c r="I1219" s="199"/>
    </row>
    <row r="1220" ht="21.75" hidden="1" customHeight="1">
      <c r="A1220" s="175" t="s">
        <v>1467</v>
      </c>
      <c r="B1220" s="175" t="s">
        <v>1477</v>
      </c>
      <c r="C1220" s="175" t="s">
        <v>1478</v>
      </c>
      <c r="D1220" s="175" t="s">
        <v>1479</v>
      </c>
      <c r="E1220" s="175" t="s">
        <v>1481</v>
      </c>
      <c r="F1220" s="175" t="s">
        <v>1483</v>
      </c>
      <c r="G1220" s="175" t="s">
        <v>1484</v>
      </c>
      <c r="H1220" s="175" t="s">
        <v>1486</v>
      </c>
      <c r="I1220" s="175" t="s">
        <v>1489</v>
      </c>
    </row>
    <row r="1221" ht="22.5" hidden="1" customHeight="1">
      <c r="A1221" s="176" t="s">
        <v>4234</v>
      </c>
      <c r="B1221" s="399" t="s">
        <v>4235</v>
      </c>
      <c r="C1221" s="211">
        <v>1.0</v>
      </c>
      <c r="D1221" s="185" t="s">
        <v>1602</v>
      </c>
      <c r="E1221" s="188">
        <v>40.13</v>
      </c>
      <c r="F1221" s="183">
        <v>46226.0</v>
      </c>
      <c r="G1221" s="185" t="s">
        <v>9</v>
      </c>
      <c r="H1221" s="185" t="s">
        <v>1601</v>
      </c>
      <c r="I1221" s="186" t="s">
        <v>3947</v>
      </c>
    </row>
    <row r="1222" ht="22.5" hidden="1" customHeight="1">
      <c r="A1222" s="176" t="s">
        <v>4236</v>
      </c>
      <c r="B1222" s="435" t="s">
        <v>4237</v>
      </c>
      <c r="C1222" s="211">
        <v>1.0</v>
      </c>
      <c r="D1222" s="185" t="s">
        <v>1602</v>
      </c>
      <c r="E1222" s="188">
        <v>7.13</v>
      </c>
      <c r="F1222" s="183">
        <v>46227.0</v>
      </c>
      <c r="G1222" s="185" t="s">
        <v>9</v>
      </c>
      <c r="H1222" s="185" t="s">
        <v>351</v>
      </c>
      <c r="I1222" s="409" t="s">
        <v>4238</v>
      </c>
    </row>
    <row r="1223" ht="22.5" hidden="1" customHeight="1">
      <c r="A1223" s="176" t="s">
        <v>4239</v>
      </c>
      <c r="B1223" s="410">
        <v>5.304536819E9</v>
      </c>
      <c r="C1223" s="211">
        <v>1.0</v>
      </c>
      <c r="D1223" s="185" t="s">
        <v>1602</v>
      </c>
      <c r="E1223" s="188">
        <v>57.09</v>
      </c>
      <c r="F1223" s="183">
        <v>46226.0</v>
      </c>
      <c r="G1223" s="185" t="s">
        <v>9</v>
      </c>
      <c r="H1223" s="185" t="s">
        <v>12</v>
      </c>
      <c r="I1223" s="317"/>
    </row>
    <row r="1224" ht="22.5" hidden="1" customHeight="1">
      <c r="A1224" s="176" t="s">
        <v>4240</v>
      </c>
      <c r="B1224" s="410" t="s">
        <v>4241</v>
      </c>
      <c r="C1224" s="211">
        <v>1.0</v>
      </c>
      <c r="D1224" s="185" t="s">
        <v>1602</v>
      </c>
      <c r="E1224" s="188">
        <v>37.88</v>
      </c>
      <c r="F1224" s="183">
        <v>46231.0</v>
      </c>
      <c r="G1224" s="185" t="s">
        <v>9</v>
      </c>
      <c r="H1224" s="185" t="s">
        <v>11</v>
      </c>
      <c r="I1224" s="317"/>
    </row>
    <row r="1225" ht="22.5" hidden="1" customHeight="1">
      <c r="A1225" s="193"/>
      <c r="B1225" s="194"/>
      <c r="C1225" s="195"/>
      <c r="D1225" s="194"/>
      <c r="E1225" s="196">
        <f>SUM(E1221:E1224)</f>
        <v>142.23</v>
      </c>
      <c r="F1225" s="193"/>
      <c r="G1225" s="193"/>
      <c r="H1225" s="193"/>
      <c r="I1225" s="193"/>
    </row>
    <row r="1226" hidden="1">
      <c r="A1226" s="199"/>
      <c r="B1226" s="200"/>
      <c r="C1226" s="201"/>
      <c r="D1226" s="200"/>
      <c r="E1226" s="202"/>
      <c r="F1226" s="199"/>
      <c r="G1226" s="199"/>
      <c r="H1226" s="199"/>
      <c r="I1226" s="199"/>
    </row>
    <row r="1227" hidden="1">
      <c r="A1227" s="199"/>
      <c r="B1227" s="200"/>
      <c r="C1227" s="201"/>
      <c r="D1227" s="203">
        <v>46230.0</v>
      </c>
      <c r="E1227" s="202"/>
      <c r="F1227" s="199"/>
      <c r="G1227" s="199"/>
      <c r="H1227" s="199"/>
      <c r="I1227" s="199"/>
    </row>
    <row r="1228" ht="21.75" hidden="1" customHeight="1">
      <c r="A1228" s="175" t="s">
        <v>1467</v>
      </c>
      <c r="B1228" s="175" t="s">
        <v>1477</v>
      </c>
      <c r="C1228" s="175" t="s">
        <v>1478</v>
      </c>
      <c r="D1228" s="175" t="s">
        <v>1479</v>
      </c>
      <c r="E1228" s="175" t="s">
        <v>1481</v>
      </c>
      <c r="F1228" s="175" t="s">
        <v>1483</v>
      </c>
      <c r="G1228" s="175" t="s">
        <v>1484</v>
      </c>
      <c r="H1228" s="175" t="s">
        <v>1486</v>
      </c>
      <c r="I1228" s="175" t="s">
        <v>1489</v>
      </c>
    </row>
    <row r="1229" ht="22.5" hidden="1" customHeight="1">
      <c r="A1229" s="176" t="s">
        <v>4242</v>
      </c>
      <c r="B1229" s="442">
        <v>5.30446888E9</v>
      </c>
      <c r="C1229" s="211">
        <v>1.0</v>
      </c>
      <c r="D1229" s="185" t="s">
        <v>1602</v>
      </c>
      <c r="E1229" s="188">
        <v>89.12</v>
      </c>
      <c r="F1229" s="183">
        <v>46227.0</v>
      </c>
      <c r="G1229" s="185" t="s">
        <v>9</v>
      </c>
      <c r="H1229" s="185" t="s">
        <v>11</v>
      </c>
      <c r="I1229" s="317"/>
    </row>
    <row r="1230" ht="22.5" hidden="1" customHeight="1">
      <c r="A1230" s="176" t="s">
        <v>4243</v>
      </c>
      <c r="B1230" s="397" t="s">
        <v>1406</v>
      </c>
      <c r="C1230" s="211">
        <v>1.0</v>
      </c>
      <c r="D1230" s="185" t="s">
        <v>1532</v>
      </c>
      <c r="E1230" s="188"/>
      <c r="F1230" s="183">
        <v>46227.0</v>
      </c>
      <c r="G1230" s="185" t="s">
        <v>9</v>
      </c>
      <c r="H1230" s="185" t="s">
        <v>1356</v>
      </c>
      <c r="I1230" s="317" t="s">
        <v>4244</v>
      </c>
    </row>
    <row r="1231" ht="22.5" hidden="1" customHeight="1">
      <c r="A1231" s="176" t="s">
        <v>4245</v>
      </c>
      <c r="B1231" s="410" t="s">
        <v>1372</v>
      </c>
      <c r="C1231" s="211">
        <v>1.0</v>
      </c>
      <c r="D1231" s="185" t="s">
        <v>1602</v>
      </c>
      <c r="E1231" s="188">
        <v>44.87</v>
      </c>
      <c r="F1231" s="183">
        <v>46230.0</v>
      </c>
      <c r="G1231" s="185" t="s">
        <v>9</v>
      </c>
      <c r="H1231" s="185" t="s">
        <v>1356</v>
      </c>
      <c r="I1231" s="317"/>
    </row>
    <row r="1232" ht="22.5" hidden="1" customHeight="1">
      <c r="A1232" s="176" t="s">
        <v>4246</v>
      </c>
      <c r="B1232" s="443" t="s">
        <v>2314</v>
      </c>
      <c r="C1232" s="211">
        <v>1.0</v>
      </c>
      <c r="D1232" s="185" t="s">
        <v>1602</v>
      </c>
      <c r="E1232" s="188">
        <v>28.66</v>
      </c>
      <c r="F1232" s="183">
        <v>46227.0</v>
      </c>
      <c r="G1232" s="185" t="s">
        <v>9</v>
      </c>
      <c r="H1232" s="185" t="s">
        <v>3380</v>
      </c>
      <c r="I1232" s="317"/>
    </row>
    <row r="1233" ht="22.5" hidden="1" customHeight="1">
      <c r="A1233" s="176" t="s">
        <v>4247</v>
      </c>
      <c r="B1233" s="443">
        <v>5.30452234E9</v>
      </c>
      <c r="C1233" s="211">
        <v>1.0</v>
      </c>
      <c r="D1233" s="185" t="s">
        <v>1602</v>
      </c>
      <c r="E1233" s="188">
        <v>20.74</v>
      </c>
      <c r="F1233" s="183">
        <v>46228.0</v>
      </c>
      <c r="G1233" s="185" t="s">
        <v>9</v>
      </c>
      <c r="H1233" s="185" t="s">
        <v>12</v>
      </c>
      <c r="I1233" s="317"/>
    </row>
    <row r="1234" ht="22.5" hidden="1" customHeight="1">
      <c r="A1234" s="176" t="s">
        <v>4248</v>
      </c>
      <c r="B1234" s="397">
        <v>5.30453711E9</v>
      </c>
      <c r="C1234" s="211">
        <v>1.0</v>
      </c>
      <c r="D1234" s="185" t="s">
        <v>1602</v>
      </c>
      <c r="E1234" s="188">
        <v>74.14</v>
      </c>
      <c r="F1234" s="183">
        <v>46228.0</v>
      </c>
      <c r="G1234" s="185" t="s">
        <v>9</v>
      </c>
      <c r="H1234" s="185" t="s">
        <v>12</v>
      </c>
      <c r="I1234" s="189"/>
    </row>
    <row r="1235" ht="22.5" hidden="1" customHeight="1">
      <c r="A1235" s="176" t="s">
        <v>4249</v>
      </c>
      <c r="B1235" s="443" t="s">
        <v>274</v>
      </c>
      <c r="C1235" s="211">
        <v>1.0</v>
      </c>
      <c r="D1235" s="185" t="s">
        <v>1875</v>
      </c>
      <c r="E1235" s="188">
        <v>-65.24</v>
      </c>
      <c r="F1235" s="183">
        <v>46211.0</v>
      </c>
      <c r="G1235" s="185" t="s">
        <v>8</v>
      </c>
      <c r="H1235" s="185" t="s">
        <v>12</v>
      </c>
      <c r="I1235" s="317" t="s">
        <v>4250</v>
      </c>
    </row>
    <row r="1236" ht="22.5" hidden="1" customHeight="1">
      <c r="A1236" s="176" t="s">
        <v>4251</v>
      </c>
      <c r="B1236" s="410" t="s">
        <v>4055</v>
      </c>
      <c r="C1236" s="211">
        <v>1.0</v>
      </c>
      <c r="D1236" s="185" t="s">
        <v>1532</v>
      </c>
      <c r="E1236" s="188"/>
      <c r="F1236" s="183">
        <v>46228.0</v>
      </c>
      <c r="G1236" s="185" t="s">
        <v>9</v>
      </c>
      <c r="H1236" s="185" t="s">
        <v>12</v>
      </c>
      <c r="I1236" s="317"/>
    </row>
    <row r="1237" ht="22.5" hidden="1" customHeight="1">
      <c r="A1237" s="176" t="s">
        <v>4252</v>
      </c>
      <c r="B1237" s="444" t="s">
        <v>1322</v>
      </c>
      <c r="C1237" s="211">
        <v>1.0</v>
      </c>
      <c r="D1237" s="185" t="s">
        <v>1602</v>
      </c>
      <c r="E1237" s="188">
        <v>67.78</v>
      </c>
      <c r="F1237" s="183">
        <v>46228.0</v>
      </c>
      <c r="G1237" s="185" t="s">
        <v>9</v>
      </c>
      <c r="H1237" s="185" t="s">
        <v>1133</v>
      </c>
      <c r="I1237" s="186" t="s">
        <v>3947</v>
      </c>
    </row>
    <row r="1238" ht="22.5" hidden="1" customHeight="1">
      <c r="A1238" s="176" t="s">
        <v>4253</v>
      </c>
      <c r="B1238" s="445" t="s">
        <v>4164</v>
      </c>
      <c r="C1238" s="211">
        <v>1.0</v>
      </c>
      <c r="D1238" s="185" t="s">
        <v>1875</v>
      </c>
      <c r="E1238" s="188">
        <v>-154.05</v>
      </c>
      <c r="F1238" s="183">
        <v>46230.0</v>
      </c>
      <c r="G1238" s="185" t="s">
        <v>9</v>
      </c>
      <c r="H1238" s="185" t="s">
        <v>53</v>
      </c>
      <c r="I1238" s="317" t="s">
        <v>4254</v>
      </c>
    </row>
    <row r="1239" ht="22.5" hidden="1" customHeight="1">
      <c r="A1239" s="176" t="s">
        <v>4255</v>
      </c>
      <c r="B1239" s="445" t="s">
        <v>49</v>
      </c>
      <c r="C1239" s="211">
        <v>1.0</v>
      </c>
      <c r="D1239" s="185" t="s">
        <v>1875</v>
      </c>
      <c r="E1239" s="188">
        <v>-51.29</v>
      </c>
      <c r="F1239" s="183">
        <v>46230.0</v>
      </c>
      <c r="G1239" s="185" t="s">
        <v>9</v>
      </c>
      <c r="H1239" s="185" t="s">
        <v>1601</v>
      </c>
      <c r="I1239" s="317" t="s">
        <v>4254</v>
      </c>
    </row>
    <row r="1240" ht="22.5" hidden="1" customHeight="1">
      <c r="A1240" s="176" t="s">
        <v>4256</v>
      </c>
      <c r="B1240" s="399">
        <v>5.30452234E9</v>
      </c>
      <c r="C1240" s="211">
        <v>1.0</v>
      </c>
      <c r="D1240" s="185" t="s">
        <v>1602</v>
      </c>
      <c r="E1240" s="188">
        <v>23.48</v>
      </c>
      <c r="F1240" s="183">
        <v>46228.0</v>
      </c>
      <c r="G1240" s="185" t="s">
        <v>8</v>
      </c>
      <c r="H1240" s="185" t="s">
        <v>1601</v>
      </c>
      <c r="I1240" s="317" t="s">
        <v>3947</v>
      </c>
    </row>
    <row r="1241" ht="22.5" hidden="1" customHeight="1">
      <c r="A1241" s="193"/>
      <c r="B1241" s="194"/>
      <c r="C1241" s="195"/>
      <c r="D1241" s="194"/>
      <c r="E1241" s="196">
        <f>SUM(E1234:E1240)</f>
        <v>-105.18</v>
      </c>
      <c r="F1241" s="193"/>
      <c r="G1241" s="193"/>
      <c r="H1241" s="193"/>
      <c r="I1241" s="193"/>
    </row>
    <row r="1242">
      <c r="A1242" s="199"/>
      <c r="B1242" s="200"/>
      <c r="C1242" s="201"/>
      <c r="D1242" s="200"/>
      <c r="E1242" s="202"/>
      <c r="F1242" s="199"/>
      <c r="G1242" s="199"/>
      <c r="H1242" s="199"/>
      <c r="I1242" s="199"/>
    </row>
    <row r="1243">
      <c r="A1243" s="199"/>
      <c r="B1243" s="200"/>
      <c r="C1243" s="201"/>
      <c r="D1243" s="203">
        <v>46231.0</v>
      </c>
      <c r="E1243" s="202"/>
      <c r="F1243" s="199"/>
      <c r="G1243" s="199"/>
      <c r="H1243" s="199"/>
      <c r="I1243" s="199"/>
    </row>
    <row r="1244" ht="21.75" customHeight="1">
      <c r="A1244" s="446" t="s">
        <v>1467</v>
      </c>
      <c r="B1244" s="175" t="s">
        <v>1477</v>
      </c>
      <c r="C1244" s="175" t="s">
        <v>1478</v>
      </c>
      <c r="D1244" s="175" t="s">
        <v>1479</v>
      </c>
      <c r="E1244" s="175" t="s">
        <v>1481</v>
      </c>
      <c r="F1244" s="175" t="s">
        <v>1483</v>
      </c>
      <c r="G1244" s="175" t="s">
        <v>1484</v>
      </c>
      <c r="H1244" s="175" t="s">
        <v>1486</v>
      </c>
      <c r="I1244" s="175" t="s">
        <v>1489</v>
      </c>
    </row>
    <row r="1245" ht="22.5" customHeight="1">
      <c r="A1245" s="176" t="s">
        <v>4257</v>
      </c>
      <c r="B1245" s="397" t="s">
        <v>1261</v>
      </c>
      <c r="C1245" s="211">
        <v>1.0</v>
      </c>
      <c r="D1245" s="185" t="s">
        <v>1602</v>
      </c>
      <c r="E1245" s="188">
        <v>22.55</v>
      </c>
      <c r="F1245" s="183">
        <v>46228.0</v>
      </c>
      <c r="G1245" s="185" t="s">
        <v>9</v>
      </c>
      <c r="H1245" s="185" t="s">
        <v>1087</v>
      </c>
      <c r="I1245" s="317"/>
    </row>
    <row r="1246" ht="22.5" customHeight="1">
      <c r="A1246" s="176" t="s">
        <v>4258</v>
      </c>
      <c r="B1246" s="410" t="s">
        <v>112</v>
      </c>
      <c r="C1246" s="211">
        <v>1.0</v>
      </c>
      <c r="D1246" s="185" t="s">
        <v>1602</v>
      </c>
      <c r="E1246" s="188">
        <v>41.99</v>
      </c>
      <c r="F1246" s="183">
        <v>46230.0</v>
      </c>
      <c r="G1246" s="185" t="s">
        <v>9</v>
      </c>
      <c r="H1246" s="185" t="s">
        <v>1087</v>
      </c>
      <c r="I1246" s="317"/>
    </row>
    <row r="1247" ht="22.5" customHeight="1">
      <c r="A1247" s="176" t="s">
        <v>4259</v>
      </c>
      <c r="B1247" s="396">
        <v>5.304533448E9</v>
      </c>
      <c r="C1247" s="211">
        <v>1.0</v>
      </c>
      <c r="D1247" s="185" t="s">
        <v>1602</v>
      </c>
      <c r="E1247" s="188">
        <v>12.19</v>
      </c>
      <c r="F1247" s="183">
        <v>46231.0</v>
      </c>
      <c r="G1247" s="185" t="s">
        <v>8</v>
      </c>
      <c r="H1247" s="185" t="s">
        <v>1087</v>
      </c>
      <c r="I1247" s="317"/>
    </row>
    <row r="1248" ht="22.5" customHeight="1">
      <c r="A1248" s="176" t="s">
        <v>4260</v>
      </c>
      <c r="B1248" s="410" t="s">
        <v>1606</v>
      </c>
      <c r="C1248" s="211">
        <v>1.0</v>
      </c>
      <c r="D1248" s="185" t="s">
        <v>1602</v>
      </c>
      <c r="E1248" s="188">
        <v>89.17</v>
      </c>
      <c r="F1248" s="183">
        <v>46230.0</v>
      </c>
      <c r="G1248" s="185" t="s">
        <v>9</v>
      </c>
      <c r="H1248" s="185" t="s">
        <v>12</v>
      </c>
      <c r="I1248" s="317" t="s">
        <v>4261</v>
      </c>
    </row>
    <row r="1249" ht="22.5" customHeight="1">
      <c r="A1249" s="447" t="s">
        <v>4262</v>
      </c>
      <c r="B1249" s="410" t="s">
        <v>49</v>
      </c>
      <c r="C1249" s="211">
        <v>1.0</v>
      </c>
      <c r="D1249" s="185" t="s">
        <v>1602</v>
      </c>
      <c r="E1249" s="188">
        <v>52.74</v>
      </c>
      <c r="F1249" s="183">
        <v>46230.0</v>
      </c>
      <c r="G1249" s="185" t="s">
        <v>9</v>
      </c>
      <c r="H1249" s="185" t="s">
        <v>12</v>
      </c>
      <c r="I1249" s="317" t="s">
        <v>4261</v>
      </c>
    </row>
    <row r="1250" ht="22.5" customHeight="1">
      <c r="A1250" s="176" t="s">
        <v>4263</v>
      </c>
      <c r="B1250" s="396" t="s">
        <v>805</v>
      </c>
      <c r="C1250" s="211">
        <v>1.0</v>
      </c>
      <c r="D1250" s="185" t="s">
        <v>1602</v>
      </c>
      <c r="E1250" s="188">
        <v>22.52</v>
      </c>
      <c r="F1250" s="183">
        <v>46230.0</v>
      </c>
      <c r="G1250" s="185" t="s">
        <v>9</v>
      </c>
      <c r="H1250" s="185" t="s">
        <v>12</v>
      </c>
      <c r="I1250" s="317" t="s">
        <v>4261</v>
      </c>
    </row>
    <row r="1251" ht="22.5" customHeight="1">
      <c r="A1251" s="176" t="s">
        <v>4264</v>
      </c>
      <c r="B1251" s="407" t="s">
        <v>868</v>
      </c>
      <c r="C1251" s="211">
        <v>1.0</v>
      </c>
      <c r="D1251" s="185" t="s">
        <v>1875</v>
      </c>
      <c r="E1251" s="188">
        <v>-72.73</v>
      </c>
      <c r="F1251" s="183">
        <v>46206.0</v>
      </c>
      <c r="G1251" s="185" t="s">
        <v>9</v>
      </c>
      <c r="H1251" s="185" t="s">
        <v>12</v>
      </c>
      <c r="I1251" s="186" t="s">
        <v>4265</v>
      </c>
    </row>
    <row r="1252" ht="22.5" customHeight="1">
      <c r="A1252" s="176" t="s">
        <v>4266</v>
      </c>
      <c r="B1252" s="399" t="s">
        <v>4267</v>
      </c>
      <c r="C1252" s="211">
        <v>1.0</v>
      </c>
      <c r="D1252" s="185" t="s">
        <v>1875</v>
      </c>
      <c r="E1252" s="188">
        <v>-145.96</v>
      </c>
      <c r="F1252" s="183">
        <v>46214.0</v>
      </c>
      <c r="G1252" s="185" t="s">
        <v>9</v>
      </c>
      <c r="H1252" s="185" t="s">
        <v>12</v>
      </c>
      <c r="I1252" s="186" t="s">
        <v>4265</v>
      </c>
    </row>
    <row r="1253" ht="22.5" customHeight="1">
      <c r="A1253" s="176" t="s">
        <v>4268</v>
      </c>
      <c r="B1253" s="396">
        <v>415107.0</v>
      </c>
      <c r="C1253" s="211">
        <v>1.0</v>
      </c>
      <c r="D1253" s="185" t="s">
        <v>1602</v>
      </c>
      <c r="E1253" s="188">
        <v>90.74</v>
      </c>
      <c r="F1253" s="183">
        <v>46231.0</v>
      </c>
      <c r="G1253" s="185" t="s">
        <v>8</v>
      </c>
      <c r="H1253" s="185" t="s">
        <v>1601</v>
      </c>
      <c r="I1253" s="317" t="s">
        <v>4261</v>
      </c>
    </row>
    <row r="1254" ht="22.5" customHeight="1">
      <c r="A1254" s="176" t="s">
        <v>4269</v>
      </c>
      <c r="B1254" s="448">
        <v>2.42253002E8</v>
      </c>
      <c r="C1254" s="211">
        <v>1.0</v>
      </c>
      <c r="D1254" s="185" t="s">
        <v>1602</v>
      </c>
      <c r="E1254" s="188">
        <v>25.63</v>
      </c>
      <c r="F1254" s="183">
        <v>46231.0</v>
      </c>
      <c r="G1254" s="185" t="s">
        <v>9</v>
      </c>
      <c r="H1254" s="185" t="s">
        <v>53</v>
      </c>
      <c r="I1254" s="186" t="s">
        <v>4261</v>
      </c>
    </row>
    <row r="1255" ht="22.5" customHeight="1">
      <c r="A1255" s="449" t="s">
        <v>4270</v>
      </c>
      <c r="B1255" s="419" t="s">
        <v>4271</v>
      </c>
      <c r="C1255" s="420">
        <v>1.0</v>
      </c>
      <c r="D1255" s="450" t="s">
        <v>1532</v>
      </c>
      <c r="E1255" s="345">
        <v>-6.17</v>
      </c>
      <c r="F1255" s="451">
        <v>46229.0</v>
      </c>
      <c r="G1255" s="452" t="s">
        <v>8</v>
      </c>
      <c r="H1255" s="453" t="s">
        <v>53</v>
      </c>
      <c r="I1255" s="454" t="s">
        <v>4272</v>
      </c>
    </row>
    <row r="1256" ht="22.5" customHeight="1">
      <c r="A1256" s="176" t="s">
        <v>4273</v>
      </c>
      <c r="B1256" s="399">
        <v>5.304534537E9</v>
      </c>
      <c r="C1256" s="211">
        <v>1.0</v>
      </c>
      <c r="D1256" s="185" t="s">
        <v>1602</v>
      </c>
      <c r="E1256" s="188">
        <v>61.17</v>
      </c>
      <c r="F1256" s="183">
        <v>46231.0</v>
      </c>
      <c r="G1256" s="185" t="s">
        <v>8</v>
      </c>
      <c r="H1256" s="185" t="s">
        <v>11</v>
      </c>
      <c r="I1256" s="317"/>
    </row>
    <row r="1257" ht="22.5" customHeight="1">
      <c r="A1257" s="176" t="s">
        <v>4274</v>
      </c>
      <c r="B1257" s="410">
        <v>3.16489403E8</v>
      </c>
      <c r="C1257" s="211">
        <v>1.0</v>
      </c>
      <c r="D1257" s="185" t="s">
        <v>1532</v>
      </c>
      <c r="E1257" s="188"/>
      <c r="F1257" s="183">
        <v>46231.0</v>
      </c>
      <c r="G1257" s="185" t="s">
        <v>9</v>
      </c>
      <c r="H1257" s="185" t="s">
        <v>11</v>
      </c>
      <c r="I1257" s="317" t="s">
        <v>4275</v>
      </c>
    </row>
    <row r="1258" ht="22.5" customHeight="1">
      <c r="A1258" s="193"/>
      <c r="B1258" s="194"/>
      <c r="C1258" s="195"/>
      <c r="D1258" s="194"/>
      <c r="E1258" s="196">
        <f>SUM(E1245:E1257)</f>
        <v>193.84</v>
      </c>
      <c r="F1258" s="193"/>
      <c r="G1258" s="193"/>
      <c r="H1258" s="193"/>
      <c r="I1258" s="193"/>
    </row>
    <row r="1259">
      <c r="A1259" s="199"/>
      <c r="B1259" s="200"/>
      <c r="C1259" s="201"/>
      <c r="D1259" s="200"/>
      <c r="E1259" s="202"/>
      <c r="F1259" s="199"/>
      <c r="G1259" s="199"/>
      <c r="H1259" s="199"/>
      <c r="I1259" s="199"/>
    </row>
    <row r="1260">
      <c r="A1260" s="9"/>
      <c r="B1260" s="9"/>
      <c r="C1260" s="31"/>
      <c r="D1260" s="455">
        <v>46232.0</v>
      </c>
      <c r="E1260" s="353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</row>
    <row r="1261" ht="22.5" customHeight="1">
      <c r="A1261" s="456" t="s">
        <v>1467</v>
      </c>
      <c r="B1261" s="457" t="s">
        <v>1477</v>
      </c>
      <c r="C1261" s="457" t="s">
        <v>1478</v>
      </c>
      <c r="D1261" s="457" t="s">
        <v>1479</v>
      </c>
      <c r="E1261" s="458" t="s">
        <v>1481</v>
      </c>
      <c r="F1261" s="457" t="s">
        <v>1483</v>
      </c>
      <c r="G1261" s="457" t="s">
        <v>1484</v>
      </c>
      <c r="H1261" s="457" t="s">
        <v>1486</v>
      </c>
      <c r="I1261" s="457" t="s">
        <v>1489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</row>
    <row r="1262" ht="22.5" customHeight="1">
      <c r="A1262" s="176" t="s">
        <v>4276</v>
      </c>
      <c r="B1262" s="459" t="s">
        <v>4277</v>
      </c>
      <c r="C1262" s="330">
        <v>1.0</v>
      </c>
      <c r="D1262" s="450" t="s">
        <v>1602</v>
      </c>
      <c r="E1262" s="345">
        <v>100.44</v>
      </c>
      <c r="F1262" s="333">
        <v>46231.0</v>
      </c>
      <c r="G1262" s="460" t="s">
        <v>9</v>
      </c>
      <c r="H1262" s="461" t="s">
        <v>12</v>
      </c>
      <c r="I1262" s="454" t="s">
        <v>4278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</row>
    <row r="1263" ht="22.5" customHeight="1">
      <c r="A1263" s="176" t="s">
        <v>4279</v>
      </c>
      <c r="B1263" s="342" t="s">
        <v>4280</v>
      </c>
      <c r="C1263" s="337">
        <v>1.0</v>
      </c>
      <c r="D1263" s="334" t="s">
        <v>1602</v>
      </c>
      <c r="E1263" s="338">
        <v>54.24</v>
      </c>
      <c r="F1263" s="339">
        <v>46231.0</v>
      </c>
      <c r="G1263" s="334" t="s">
        <v>9</v>
      </c>
      <c r="H1263" s="334" t="s">
        <v>12</v>
      </c>
      <c r="I1263" s="427" t="s">
        <v>4261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</row>
    <row r="1264" ht="22.5" customHeight="1">
      <c r="A1264" s="176" t="s">
        <v>4281</v>
      </c>
      <c r="B1264" s="342">
        <v>1.167001E7</v>
      </c>
      <c r="C1264" s="343">
        <v>1.0</v>
      </c>
      <c r="D1264" s="344" t="s">
        <v>1602</v>
      </c>
      <c r="E1264" s="345">
        <v>188.91</v>
      </c>
      <c r="F1264" s="346">
        <v>46231.0</v>
      </c>
      <c r="G1264" s="344" t="s">
        <v>9</v>
      </c>
      <c r="H1264" s="344" t="s">
        <v>12</v>
      </c>
      <c r="I1264" s="427" t="s">
        <v>4278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</row>
    <row r="1265" ht="22.5" customHeight="1">
      <c r="A1265" s="462" t="s">
        <v>4282</v>
      </c>
      <c r="B1265" s="342" t="s">
        <v>1282</v>
      </c>
      <c r="C1265" s="343">
        <v>1.0</v>
      </c>
      <c r="D1265" s="344" t="s">
        <v>1602</v>
      </c>
      <c r="E1265" s="345">
        <v>8.3</v>
      </c>
      <c r="F1265" s="346">
        <v>46232.0</v>
      </c>
      <c r="G1265" s="344" t="s">
        <v>9</v>
      </c>
      <c r="H1265" s="344" t="s">
        <v>12</v>
      </c>
      <c r="I1265" s="427" t="s">
        <v>4261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</row>
    <row r="1266" ht="22.5" customHeight="1">
      <c r="A1266" s="462" t="s">
        <v>4283</v>
      </c>
      <c r="B1266" s="329">
        <v>5.304538954E9</v>
      </c>
      <c r="C1266" s="337">
        <v>1.0</v>
      </c>
      <c r="D1266" s="334" t="s">
        <v>1602</v>
      </c>
      <c r="E1266" s="338">
        <v>13.75</v>
      </c>
      <c r="F1266" s="339">
        <v>46232.0</v>
      </c>
      <c r="G1266" s="334" t="s">
        <v>9</v>
      </c>
      <c r="H1266" s="334" t="s">
        <v>12</v>
      </c>
      <c r="I1266" s="427" t="s">
        <v>4284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</row>
    <row r="1267" ht="22.5" customHeight="1">
      <c r="A1267" s="462" t="s">
        <v>4285</v>
      </c>
      <c r="B1267" s="342" t="s">
        <v>951</v>
      </c>
      <c r="C1267" s="343">
        <v>1.0</v>
      </c>
      <c r="D1267" s="344" t="s">
        <v>1602</v>
      </c>
      <c r="E1267" s="345">
        <v>61.67</v>
      </c>
      <c r="F1267" s="346">
        <v>46232.0</v>
      </c>
      <c r="G1267" s="344" t="s">
        <v>8</v>
      </c>
      <c r="H1267" s="344" t="s">
        <v>12</v>
      </c>
      <c r="I1267" s="427" t="s">
        <v>4261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</row>
    <row r="1268" ht="22.5" customHeight="1">
      <c r="A1268" s="176" t="s">
        <v>4286</v>
      </c>
      <c r="B1268" s="329" t="s">
        <v>1964</v>
      </c>
      <c r="C1268" s="337">
        <v>1.0</v>
      </c>
      <c r="D1268" s="334" t="s">
        <v>1602</v>
      </c>
      <c r="E1268" s="338">
        <v>14.15</v>
      </c>
      <c r="F1268" s="339">
        <v>46232.0</v>
      </c>
      <c r="G1268" s="334" t="s">
        <v>8</v>
      </c>
      <c r="H1268" s="334" t="s">
        <v>1601</v>
      </c>
      <c r="I1268" s="427" t="s">
        <v>4261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</row>
    <row r="1269" ht="22.5" customHeight="1">
      <c r="A1269" s="176" t="s">
        <v>4287</v>
      </c>
      <c r="B1269" s="342" t="s">
        <v>1304</v>
      </c>
      <c r="C1269" s="343">
        <v>1.0</v>
      </c>
      <c r="D1269" s="344" t="s">
        <v>1602</v>
      </c>
      <c r="E1269" s="345">
        <v>14.57</v>
      </c>
      <c r="F1269" s="346">
        <v>46231.0</v>
      </c>
      <c r="G1269" s="344" t="s">
        <v>9</v>
      </c>
      <c r="H1269" s="344" t="s">
        <v>53</v>
      </c>
      <c r="I1269" s="427" t="s">
        <v>4261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</row>
    <row r="1270" ht="22.5" customHeight="1">
      <c r="A1270" s="176" t="s">
        <v>4288</v>
      </c>
      <c r="B1270" s="342" t="s">
        <v>3211</v>
      </c>
      <c r="C1270" s="337">
        <v>1.0</v>
      </c>
      <c r="D1270" s="334" t="s">
        <v>1602</v>
      </c>
      <c r="E1270" s="338">
        <v>142.76</v>
      </c>
      <c r="F1270" s="339">
        <v>46232.0</v>
      </c>
      <c r="G1270" s="334" t="s">
        <v>9</v>
      </c>
      <c r="H1270" s="334" t="s">
        <v>53</v>
      </c>
      <c r="I1270" s="463" t="s">
        <v>4261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</row>
    <row r="1271" ht="22.5" customHeight="1">
      <c r="A1271" s="354"/>
      <c r="B1271" s="358"/>
      <c r="C1271" s="356"/>
      <c r="D1271" s="358"/>
      <c r="E1271" s="464">
        <f>SUM(E1262:E1270)</f>
        <v>598.79</v>
      </c>
      <c r="F1271" s="358"/>
      <c r="G1271" s="358"/>
      <c r="H1271" s="358"/>
      <c r="I1271" s="35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</row>
    <row r="1272">
      <c r="A1272" s="199"/>
      <c r="B1272" s="200"/>
      <c r="C1272" s="201"/>
      <c r="D1272" s="200"/>
      <c r="E1272" s="202"/>
      <c r="F1272" s="199"/>
      <c r="G1272" s="199"/>
      <c r="H1272" s="199"/>
      <c r="I1272" s="199"/>
    </row>
    <row r="1273">
      <c r="A1273" s="9"/>
      <c r="B1273" s="9"/>
      <c r="C1273" s="31"/>
      <c r="D1273" s="455">
        <v>46233.0</v>
      </c>
      <c r="E1273" s="353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</row>
    <row r="1274" ht="22.5" customHeight="1">
      <c r="A1274" s="456" t="s">
        <v>1467</v>
      </c>
      <c r="B1274" s="457" t="s">
        <v>1477</v>
      </c>
      <c r="C1274" s="457" t="s">
        <v>1478</v>
      </c>
      <c r="D1274" s="457" t="s">
        <v>1479</v>
      </c>
      <c r="E1274" s="458" t="s">
        <v>1481</v>
      </c>
      <c r="F1274" s="457" t="s">
        <v>1483</v>
      </c>
      <c r="G1274" s="457" t="s">
        <v>1484</v>
      </c>
      <c r="H1274" s="457" t="s">
        <v>1486</v>
      </c>
      <c r="I1274" s="457" t="s">
        <v>1489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</row>
    <row r="1275" ht="22.5" customHeight="1">
      <c r="A1275" s="176" t="s">
        <v>4289</v>
      </c>
      <c r="B1275" s="465" t="s">
        <v>4290</v>
      </c>
      <c r="C1275" s="330">
        <v>1.0</v>
      </c>
      <c r="D1275" s="450" t="s">
        <v>1602</v>
      </c>
      <c r="E1275" s="345">
        <v>26.36</v>
      </c>
      <c r="F1275" s="466">
        <v>46232.0</v>
      </c>
      <c r="G1275" s="460" t="s">
        <v>8</v>
      </c>
      <c r="H1275" s="461" t="s">
        <v>12</v>
      </c>
      <c r="I1275" s="454" t="s">
        <v>4291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</row>
    <row r="1276" ht="22.5" customHeight="1">
      <c r="A1276" s="467" t="s">
        <v>4292</v>
      </c>
      <c r="B1276" s="468" t="s">
        <v>425</v>
      </c>
      <c r="C1276" s="469">
        <v>1.0</v>
      </c>
      <c r="D1276" s="334" t="s">
        <v>1602</v>
      </c>
      <c r="E1276" s="338">
        <v>14.59</v>
      </c>
      <c r="F1276" s="470">
        <v>46232.0</v>
      </c>
      <c r="G1276" s="334" t="s">
        <v>8</v>
      </c>
      <c r="H1276" s="334" t="s">
        <v>1601</v>
      </c>
      <c r="I1276" s="427" t="s">
        <v>4293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</row>
    <row r="1277" ht="22.5" customHeight="1">
      <c r="A1277" s="471" t="s">
        <v>4294</v>
      </c>
      <c r="B1277" s="468" t="s">
        <v>405</v>
      </c>
      <c r="C1277" s="472">
        <v>1.0</v>
      </c>
      <c r="D1277" s="344" t="s">
        <v>1602</v>
      </c>
      <c r="E1277" s="345">
        <v>42.52</v>
      </c>
      <c r="F1277" s="473">
        <v>46232.0</v>
      </c>
      <c r="G1277" s="344" t="s">
        <v>8</v>
      </c>
      <c r="H1277" s="344" t="s">
        <v>53</v>
      </c>
      <c r="I1277" s="427" t="s">
        <v>4295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</row>
    <row r="1278" ht="22.5" customHeight="1">
      <c r="A1278" s="176" t="s">
        <v>4296</v>
      </c>
      <c r="B1278" s="474" t="s">
        <v>1359</v>
      </c>
      <c r="C1278" s="337">
        <v>1.0</v>
      </c>
      <c r="D1278" s="334" t="s">
        <v>1602</v>
      </c>
      <c r="E1278" s="338">
        <v>40.84</v>
      </c>
      <c r="F1278" s="339">
        <v>46232.0</v>
      </c>
      <c r="G1278" s="334" t="s">
        <v>9</v>
      </c>
      <c r="H1278" s="334" t="s">
        <v>1356</v>
      </c>
      <c r="I1278" s="335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</row>
    <row r="1279" ht="22.5" customHeight="1">
      <c r="A1279" s="354"/>
      <c r="B1279" s="358"/>
      <c r="C1279" s="356"/>
      <c r="D1279" s="358"/>
      <c r="E1279" s="464">
        <f>SUM(E1275:E1278)</f>
        <v>124.31</v>
      </c>
      <c r="F1279" s="358"/>
      <c r="G1279" s="358"/>
      <c r="H1279" s="358"/>
      <c r="I1279" s="35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</row>
    <row r="1280">
      <c r="A1280" s="199"/>
      <c r="B1280" s="200"/>
      <c r="C1280" s="201"/>
      <c r="D1280" s="200"/>
      <c r="E1280" s="202"/>
      <c r="F1280" s="199"/>
      <c r="G1280" s="199"/>
      <c r="H1280" s="199"/>
      <c r="I1280" s="199"/>
    </row>
    <row r="1281">
      <c r="A1281" s="9"/>
      <c r="B1281" s="9"/>
      <c r="C1281" s="31"/>
      <c r="D1281" s="455">
        <v>46234.0</v>
      </c>
      <c r="E1281" s="353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</row>
    <row r="1282" ht="22.5" customHeight="1">
      <c r="A1282" s="456" t="s">
        <v>1467</v>
      </c>
      <c r="B1282" s="457" t="s">
        <v>1477</v>
      </c>
      <c r="C1282" s="457" t="s">
        <v>1478</v>
      </c>
      <c r="D1282" s="457" t="s">
        <v>1479</v>
      </c>
      <c r="E1282" s="458" t="s">
        <v>1481</v>
      </c>
      <c r="F1282" s="457" t="s">
        <v>1483</v>
      </c>
      <c r="G1282" s="457" t="s">
        <v>1484</v>
      </c>
      <c r="H1282" s="457" t="s">
        <v>1486</v>
      </c>
      <c r="I1282" s="457" t="s">
        <v>1489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</row>
    <row r="1283" ht="22.5" customHeight="1">
      <c r="A1283" s="176" t="s">
        <v>4297</v>
      </c>
      <c r="B1283" s="369" t="s">
        <v>4298</v>
      </c>
      <c r="C1283" s="343">
        <v>1.0</v>
      </c>
      <c r="D1283" s="344" t="s">
        <v>1532</v>
      </c>
      <c r="E1283" s="475"/>
      <c r="F1283" s="346">
        <v>46234.0</v>
      </c>
      <c r="G1283" s="344" t="s">
        <v>9</v>
      </c>
      <c r="H1283" s="344" t="s">
        <v>11</v>
      </c>
      <c r="I1283" s="463" t="s">
        <v>4299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</row>
    <row r="1284" ht="22.5" customHeight="1">
      <c r="A1284" s="176" t="s">
        <v>4300</v>
      </c>
      <c r="B1284" s="329">
        <v>5.304526183E9</v>
      </c>
      <c r="C1284" s="337">
        <v>1.0</v>
      </c>
      <c r="D1284" s="334" t="s">
        <v>1602</v>
      </c>
      <c r="E1284" s="338">
        <v>6.01</v>
      </c>
      <c r="F1284" s="339">
        <v>46234.0</v>
      </c>
      <c r="G1284" s="334" t="s">
        <v>8</v>
      </c>
      <c r="H1284" s="334" t="s">
        <v>12</v>
      </c>
      <c r="I1284" s="427" t="s">
        <v>4301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</row>
    <row r="1285" ht="22.5" customHeight="1">
      <c r="A1285" s="176" t="s">
        <v>4302</v>
      </c>
      <c r="B1285" s="369" t="s">
        <v>209</v>
      </c>
      <c r="C1285" s="343">
        <v>1.0</v>
      </c>
      <c r="D1285" s="344" t="s">
        <v>1602</v>
      </c>
      <c r="E1285" s="345">
        <v>0.72</v>
      </c>
      <c r="F1285" s="346">
        <v>46233.0</v>
      </c>
      <c r="G1285" s="344" t="s">
        <v>9</v>
      </c>
      <c r="H1285" s="344" t="s">
        <v>12</v>
      </c>
      <c r="I1285" s="427" t="s">
        <v>4301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</row>
    <row r="1286" ht="22.5" customHeight="1">
      <c r="A1286" s="176" t="s">
        <v>4303</v>
      </c>
      <c r="B1286" s="369" t="s">
        <v>3838</v>
      </c>
      <c r="C1286" s="337">
        <v>1.0</v>
      </c>
      <c r="D1286" s="334" t="s">
        <v>1602</v>
      </c>
      <c r="E1286" s="338">
        <v>24.94</v>
      </c>
      <c r="F1286" s="346">
        <v>46233.0</v>
      </c>
      <c r="G1286" s="334" t="s">
        <v>9</v>
      </c>
      <c r="H1286" s="334" t="s">
        <v>12</v>
      </c>
      <c r="I1286" s="427" t="s">
        <v>4301</v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</row>
    <row r="1287" ht="22.5" customHeight="1">
      <c r="A1287" s="176" t="s">
        <v>4304</v>
      </c>
      <c r="B1287" s="369" t="s">
        <v>1227</v>
      </c>
      <c r="C1287" s="343">
        <v>1.0</v>
      </c>
      <c r="D1287" s="344" t="s">
        <v>1602</v>
      </c>
      <c r="E1287" s="345">
        <v>55.04</v>
      </c>
      <c r="F1287" s="346">
        <v>46233.0</v>
      </c>
      <c r="G1287" s="344" t="s">
        <v>9</v>
      </c>
      <c r="H1287" s="344" t="s">
        <v>12</v>
      </c>
      <c r="I1287" s="427" t="s">
        <v>4301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</row>
    <row r="1288" ht="22.5" customHeight="1">
      <c r="A1288" s="176" t="s">
        <v>4305</v>
      </c>
      <c r="B1288" s="474" t="s">
        <v>41</v>
      </c>
      <c r="C1288" s="337">
        <v>1.0</v>
      </c>
      <c r="D1288" s="334" t="s">
        <v>1602</v>
      </c>
      <c r="E1288" s="338">
        <v>25.55</v>
      </c>
      <c r="F1288" s="339">
        <v>46234.0</v>
      </c>
      <c r="G1288" s="334" t="s">
        <v>9</v>
      </c>
      <c r="H1288" s="334" t="s">
        <v>12</v>
      </c>
      <c r="I1288" s="427" t="s">
        <v>4306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</row>
    <row r="1289" ht="22.5" customHeight="1">
      <c r="A1289" s="176" t="s">
        <v>4307</v>
      </c>
      <c r="B1289" s="369" t="s">
        <v>4308</v>
      </c>
      <c r="C1289" s="343">
        <v>1.0</v>
      </c>
      <c r="D1289" s="344" t="s">
        <v>1602</v>
      </c>
      <c r="E1289" s="345">
        <v>40.07</v>
      </c>
      <c r="F1289" s="346">
        <v>46234.0</v>
      </c>
      <c r="G1289" s="344" t="s">
        <v>9</v>
      </c>
      <c r="H1289" s="344" t="s">
        <v>12</v>
      </c>
      <c r="I1289" s="427" t="s">
        <v>4309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</row>
    <row r="1290" ht="22.5" customHeight="1">
      <c r="A1290" s="176" t="s">
        <v>4310</v>
      </c>
      <c r="B1290" s="369" t="s">
        <v>529</v>
      </c>
      <c r="C1290" s="337">
        <v>1.0</v>
      </c>
      <c r="D1290" s="334" t="s">
        <v>1602</v>
      </c>
      <c r="E1290" s="338">
        <v>14.46</v>
      </c>
      <c r="F1290" s="339">
        <v>46233.0</v>
      </c>
      <c r="G1290" s="334" t="s">
        <v>9</v>
      </c>
      <c r="H1290" s="334" t="s">
        <v>12</v>
      </c>
      <c r="I1290" s="427" t="s">
        <v>4301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</row>
    <row r="1291" ht="22.5" customHeight="1">
      <c r="A1291" s="176" t="s">
        <v>4311</v>
      </c>
      <c r="B1291" s="369" t="s">
        <v>531</v>
      </c>
      <c r="C1291" s="343">
        <v>1.0</v>
      </c>
      <c r="D1291" s="344" t="s">
        <v>1602</v>
      </c>
      <c r="E1291" s="345">
        <v>13.06</v>
      </c>
      <c r="F1291" s="346">
        <v>46233.0</v>
      </c>
      <c r="G1291" s="344" t="s">
        <v>8</v>
      </c>
      <c r="H1291" s="344" t="s">
        <v>12</v>
      </c>
      <c r="I1291" s="427" t="s">
        <v>4312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</row>
    <row r="1292" ht="22.5" customHeight="1">
      <c r="A1292" s="176" t="s">
        <v>4313</v>
      </c>
      <c r="B1292" s="474" t="s">
        <v>718</v>
      </c>
      <c r="C1292" s="337">
        <v>1.0</v>
      </c>
      <c r="D1292" s="334" t="s">
        <v>3475</v>
      </c>
      <c r="E1292" s="338">
        <v>-20.24</v>
      </c>
      <c r="F1292" s="339">
        <v>46223.0</v>
      </c>
      <c r="G1292" s="334" t="s">
        <v>8</v>
      </c>
      <c r="H1292" s="334" t="s">
        <v>12</v>
      </c>
      <c r="I1292" s="427" t="s">
        <v>4314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</row>
    <row r="1293" ht="22.5" customHeight="1">
      <c r="A1293" s="176" t="s">
        <v>4315</v>
      </c>
      <c r="B1293" s="369" t="s">
        <v>782</v>
      </c>
      <c r="C1293" s="343">
        <v>1.0</v>
      </c>
      <c r="D1293" s="344" t="s">
        <v>3475</v>
      </c>
      <c r="E1293" s="345">
        <v>-89.8</v>
      </c>
      <c r="F1293" s="346">
        <v>46225.0</v>
      </c>
      <c r="G1293" s="344" t="s">
        <v>8</v>
      </c>
      <c r="H1293" s="344" t="s">
        <v>12</v>
      </c>
      <c r="I1293" s="427" t="s">
        <v>4314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</row>
    <row r="1294" ht="22.5" customHeight="1">
      <c r="A1294" s="176" t="s">
        <v>4316</v>
      </c>
      <c r="B1294" s="369" t="s">
        <v>1376</v>
      </c>
      <c r="C1294" s="337">
        <v>1.0</v>
      </c>
      <c r="D1294" s="334" t="s">
        <v>1532</v>
      </c>
      <c r="E1294" s="338"/>
      <c r="F1294" s="339">
        <v>46234.0</v>
      </c>
      <c r="G1294" s="334" t="s">
        <v>9</v>
      </c>
      <c r="H1294" s="334" t="s">
        <v>1356</v>
      </c>
      <c r="I1294" s="463" t="s">
        <v>4317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</row>
    <row r="1295" ht="22.5" customHeight="1">
      <c r="A1295" s="176" t="s">
        <v>4318</v>
      </c>
      <c r="B1295" s="476" t="s">
        <v>1029</v>
      </c>
      <c r="C1295" s="330">
        <v>1.0</v>
      </c>
      <c r="D1295" s="450" t="s">
        <v>1602</v>
      </c>
      <c r="E1295" s="345">
        <v>101.77</v>
      </c>
      <c r="F1295" s="333">
        <v>46233.0</v>
      </c>
      <c r="G1295" s="460" t="s">
        <v>9</v>
      </c>
      <c r="H1295" s="461" t="s">
        <v>1601</v>
      </c>
      <c r="I1295" s="454" t="s">
        <v>4319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</row>
    <row r="1296" ht="22.5" customHeight="1">
      <c r="A1296" s="176" t="s">
        <v>4320</v>
      </c>
      <c r="B1296" s="477">
        <v>5.304526032E9</v>
      </c>
      <c r="C1296" s="337">
        <v>1.0</v>
      </c>
      <c r="D1296" s="334" t="s">
        <v>3475</v>
      </c>
      <c r="E1296" s="338">
        <v>-30.21</v>
      </c>
      <c r="F1296" s="339">
        <v>46234.0</v>
      </c>
      <c r="G1296" s="334" t="s">
        <v>8</v>
      </c>
      <c r="H1296" s="334" t="s">
        <v>1601</v>
      </c>
      <c r="I1296" s="427" t="s">
        <v>4321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</row>
    <row r="1297" ht="22.5" customHeight="1">
      <c r="A1297" s="176" t="s">
        <v>4322</v>
      </c>
      <c r="B1297" s="435" t="s">
        <v>1606</v>
      </c>
      <c r="C1297" s="343">
        <v>1.0</v>
      </c>
      <c r="D1297" s="344" t="s">
        <v>3475</v>
      </c>
      <c r="E1297" s="345">
        <v>-83.79</v>
      </c>
      <c r="F1297" s="346">
        <v>46234.0</v>
      </c>
      <c r="G1297" s="344" t="s">
        <v>9</v>
      </c>
      <c r="H1297" s="344" t="s">
        <v>1601</v>
      </c>
      <c r="I1297" s="427" t="s">
        <v>4323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</row>
    <row r="1298" ht="22.5" customHeight="1">
      <c r="A1298" s="176" t="s">
        <v>4324</v>
      </c>
      <c r="B1298" s="478" t="s">
        <v>1984</v>
      </c>
      <c r="C1298" s="343">
        <v>1.0</v>
      </c>
      <c r="D1298" s="344" t="s">
        <v>1602</v>
      </c>
      <c r="E1298" s="345">
        <v>33.14</v>
      </c>
      <c r="F1298" s="346">
        <v>46234.0</v>
      </c>
      <c r="G1298" s="344" t="s">
        <v>8</v>
      </c>
      <c r="H1298" s="344" t="s">
        <v>1601</v>
      </c>
      <c r="I1298" s="427" t="s">
        <v>4325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</row>
    <row r="1299" ht="22.5" customHeight="1">
      <c r="A1299" s="176" t="s">
        <v>4326</v>
      </c>
      <c r="B1299" s="369" t="s">
        <v>812</v>
      </c>
      <c r="C1299" s="337">
        <v>1.0</v>
      </c>
      <c r="D1299" s="334" t="s">
        <v>1602</v>
      </c>
      <c r="E1299" s="338">
        <v>27.05</v>
      </c>
      <c r="F1299" s="339">
        <v>46234.0</v>
      </c>
      <c r="G1299" s="334" t="s">
        <v>9</v>
      </c>
      <c r="H1299" s="334" t="s">
        <v>351</v>
      </c>
      <c r="I1299" s="427" t="s">
        <v>4327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</row>
    <row r="1300" ht="22.5" customHeight="1">
      <c r="A1300" s="354"/>
      <c r="B1300" s="358"/>
      <c r="C1300" s="356"/>
      <c r="D1300" s="358"/>
      <c r="E1300" s="464">
        <f>SUM(E1283:E1299)</f>
        <v>117.77</v>
      </c>
      <c r="F1300" s="358"/>
      <c r="G1300" s="358"/>
      <c r="H1300" s="358"/>
      <c r="I1300" s="35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</row>
    <row r="1301">
      <c r="A1301" s="199"/>
      <c r="B1301" s="200"/>
      <c r="C1301" s="201"/>
      <c r="D1301" s="200"/>
      <c r="E1301" s="202"/>
      <c r="F1301" s="199"/>
      <c r="G1301" s="199"/>
      <c r="H1301" s="199"/>
      <c r="I1301" s="199"/>
    </row>
    <row r="1302">
      <c r="A1302" s="9"/>
      <c r="B1302" s="9"/>
      <c r="C1302" s="31"/>
      <c r="D1302" s="455">
        <v>46237.0</v>
      </c>
      <c r="E1302" s="353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</row>
    <row r="1303" ht="22.5" customHeight="1">
      <c r="A1303" s="456" t="s">
        <v>1467</v>
      </c>
      <c r="B1303" s="457" t="s">
        <v>1477</v>
      </c>
      <c r="C1303" s="457" t="s">
        <v>1478</v>
      </c>
      <c r="D1303" s="457" t="s">
        <v>1479</v>
      </c>
      <c r="E1303" s="458" t="s">
        <v>1481</v>
      </c>
      <c r="F1303" s="457" t="s">
        <v>1483</v>
      </c>
      <c r="G1303" s="457" t="s">
        <v>1484</v>
      </c>
      <c r="H1303" s="457" t="s">
        <v>1486</v>
      </c>
      <c r="I1303" s="457" t="s">
        <v>1489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</row>
    <row r="1304" ht="22.5" customHeight="1">
      <c r="A1304" s="176" t="s">
        <v>4328</v>
      </c>
      <c r="B1304" s="459" t="s">
        <v>539</v>
      </c>
      <c r="C1304" s="330">
        <v>1.0</v>
      </c>
      <c r="D1304" s="450" t="s">
        <v>1602</v>
      </c>
      <c r="E1304" s="345">
        <v>21.79</v>
      </c>
      <c r="F1304" s="333">
        <v>46235.0</v>
      </c>
      <c r="G1304" s="460" t="s">
        <v>8</v>
      </c>
      <c r="H1304" s="461" t="s">
        <v>12</v>
      </c>
      <c r="I1304" s="454" t="s">
        <v>4329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</row>
    <row r="1305" ht="22.5" customHeight="1">
      <c r="A1305" s="176" t="s">
        <v>4330</v>
      </c>
      <c r="B1305" s="459" t="s">
        <v>539</v>
      </c>
      <c r="C1305" s="337">
        <v>1.0</v>
      </c>
      <c r="D1305" s="334" t="s">
        <v>1602</v>
      </c>
      <c r="E1305" s="338">
        <v>21.79</v>
      </c>
      <c r="F1305" s="339">
        <v>46235.0</v>
      </c>
      <c r="G1305" s="334" t="s">
        <v>8</v>
      </c>
      <c r="H1305" s="334" t="s">
        <v>12</v>
      </c>
      <c r="I1305" s="454" t="s">
        <v>4329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</row>
    <row r="1306" ht="22.5" customHeight="1">
      <c r="A1306" s="176" t="s">
        <v>4331</v>
      </c>
      <c r="B1306" s="342" t="s">
        <v>940</v>
      </c>
      <c r="C1306" s="343">
        <v>1.0</v>
      </c>
      <c r="D1306" s="344" t="s">
        <v>1602</v>
      </c>
      <c r="E1306" s="345">
        <v>21.98</v>
      </c>
      <c r="F1306" s="346">
        <v>46235.0</v>
      </c>
      <c r="G1306" s="344" t="s">
        <v>8</v>
      </c>
      <c r="H1306" s="344" t="s">
        <v>12</v>
      </c>
      <c r="I1306" s="454" t="s">
        <v>4329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</row>
    <row r="1307" ht="22.5" customHeight="1">
      <c r="A1307" s="176" t="s">
        <v>4332</v>
      </c>
      <c r="B1307" s="329">
        <v>1.40156196176E11</v>
      </c>
      <c r="C1307" s="337">
        <v>1.0</v>
      </c>
      <c r="D1307" s="334" t="s">
        <v>1602</v>
      </c>
      <c r="E1307" s="338">
        <v>18.4</v>
      </c>
      <c r="F1307" s="339">
        <v>46236.0</v>
      </c>
      <c r="G1307" s="334" t="s">
        <v>9</v>
      </c>
      <c r="H1307" s="334" t="s">
        <v>12</v>
      </c>
      <c r="I1307" s="427" t="s">
        <v>4333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</row>
    <row r="1308" ht="22.5" customHeight="1">
      <c r="A1308" s="176" t="s">
        <v>4334</v>
      </c>
      <c r="B1308" s="342" t="s">
        <v>1213</v>
      </c>
      <c r="C1308" s="343">
        <v>1.0</v>
      </c>
      <c r="D1308" s="344" t="s">
        <v>1602</v>
      </c>
      <c r="E1308" s="345">
        <v>232.13</v>
      </c>
      <c r="F1308" s="346">
        <v>46234.0</v>
      </c>
      <c r="G1308" s="344" t="s">
        <v>9</v>
      </c>
      <c r="H1308" s="344" t="s">
        <v>12</v>
      </c>
      <c r="I1308" s="427" t="s">
        <v>4333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</row>
    <row r="1309" ht="22.5" customHeight="1">
      <c r="A1309" s="176" t="s">
        <v>4335</v>
      </c>
      <c r="B1309" s="479">
        <v>5.304519116E9</v>
      </c>
      <c r="C1309" s="480">
        <v>1.0</v>
      </c>
      <c r="D1309" s="481" t="s">
        <v>1875</v>
      </c>
      <c r="E1309" s="482">
        <v>-21.97</v>
      </c>
      <c r="F1309" s="483">
        <v>46213.0</v>
      </c>
      <c r="G1309" s="481" t="s">
        <v>9</v>
      </c>
      <c r="H1309" s="481" t="s">
        <v>12</v>
      </c>
      <c r="I1309" s="484" t="s">
        <v>4336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</row>
    <row r="1310" ht="22.5" customHeight="1">
      <c r="A1310" s="176" t="s">
        <v>4337</v>
      </c>
      <c r="B1310" s="485" t="s">
        <v>2212</v>
      </c>
      <c r="C1310" s="480">
        <v>1.0</v>
      </c>
      <c r="D1310" s="481" t="s">
        <v>1602</v>
      </c>
      <c r="E1310" s="482">
        <v>15.36</v>
      </c>
      <c r="F1310" s="483">
        <v>46237.0</v>
      </c>
      <c r="G1310" s="481" t="s">
        <v>9</v>
      </c>
      <c r="H1310" s="481" t="s">
        <v>3380</v>
      </c>
      <c r="I1310" s="484" t="s">
        <v>4261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</row>
    <row r="1311" ht="22.5" customHeight="1">
      <c r="A1311" s="176" t="s">
        <v>4338</v>
      </c>
      <c r="B1311" s="369" t="s">
        <v>4298</v>
      </c>
      <c r="C1311" s="337">
        <v>1.0</v>
      </c>
      <c r="D1311" s="334" t="s">
        <v>1602</v>
      </c>
      <c r="E1311" s="338">
        <v>36.41</v>
      </c>
      <c r="F1311" s="339">
        <v>46234.0</v>
      </c>
      <c r="G1311" s="334" t="s">
        <v>9</v>
      </c>
      <c r="H1311" s="334" t="s">
        <v>11</v>
      </c>
      <c r="I1311" s="340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</row>
    <row r="1312" ht="22.5" customHeight="1">
      <c r="A1312" s="176" t="s">
        <v>4339</v>
      </c>
      <c r="B1312" s="369" t="s">
        <v>966</v>
      </c>
      <c r="C1312" s="343">
        <v>1.0</v>
      </c>
      <c r="D1312" s="344" t="s">
        <v>1602</v>
      </c>
      <c r="E1312" s="345">
        <v>104.05</v>
      </c>
      <c r="F1312" s="346">
        <v>46235.0</v>
      </c>
      <c r="G1312" s="344" t="s">
        <v>9</v>
      </c>
      <c r="H1312" s="344" t="s">
        <v>11</v>
      </c>
      <c r="I1312" s="335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</row>
    <row r="1313" ht="22.5" customHeight="1">
      <c r="A1313" s="176" t="s">
        <v>4340</v>
      </c>
      <c r="B1313" s="474" t="s">
        <v>4341</v>
      </c>
      <c r="C1313" s="337">
        <v>1.0</v>
      </c>
      <c r="D1313" s="334" t="s">
        <v>1602</v>
      </c>
      <c r="E1313" s="338">
        <v>14.17</v>
      </c>
      <c r="F1313" s="339">
        <v>46235.0</v>
      </c>
      <c r="G1313" s="334" t="s">
        <v>9</v>
      </c>
      <c r="H1313" s="334" t="s">
        <v>11</v>
      </c>
      <c r="I1313" s="335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</row>
    <row r="1314" ht="22.5" customHeight="1">
      <c r="A1314" s="176" t="s">
        <v>4342</v>
      </c>
      <c r="B1314" s="410" t="s">
        <v>4223</v>
      </c>
      <c r="C1314" s="211">
        <v>1.0</v>
      </c>
      <c r="D1314" s="185" t="s">
        <v>1875</v>
      </c>
      <c r="E1314" s="188">
        <v>-49.25</v>
      </c>
      <c r="F1314" s="183">
        <v>46225.0</v>
      </c>
      <c r="G1314" s="185" t="s">
        <v>9</v>
      </c>
      <c r="H1314" s="185" t="s">
        <v>11</v>
      </c>
      <c r="I1314" s="317" t="s">
        <v>3056</v>
      </c>
    </row>
    <row r="1315" ht="22.5" customHeight="1">
      <c r="A1315" s="176" t="s">
        <v>4343</v>
      </c>
      <c r="B1315" s="474" t="s">
        <v>2626</v>
      </c>
      <c r="C1315" s="337">
        <v>1.0</v>
      </c>
      <c r="D1315" s="334" t="s">
        <v>1602</v>
      </c>
      <c r="E1315" s="338">
        <v>146.37</v>
      </c>
      <c r="F1315" s="339">
        <v>46236.0</v>
      </c>
      <c r="G1315" s="334" t="s">
        <v>9</v>
      </c>
      <c r="H1315" s="334" t="s">
        <v>1356</v>
      </c>
      <c r="I1315" s="427" t="s">
        <v>4344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</row>
    <row r="1316" ht="22.5" customHeight="1">
      <c r="A1316" s="176" t="s">
        <v>4345</v>
      </c>
      <c r="B1316" s="342">
        <v>2.42253002E8</v>
      </c>
      <c r="C1316" s="343">
        <v>1.0</v>
      </c>
      <c r="D1316" s="344" t="s">
        <v>3475</v>
      </c>
      <c r="E1316" s="345">
        <v>-32.89</v>
      </c>
      <c r="F1316" s="346">
        <v>46237.0</v>
      </c>
      <c r="G1316" s="344" t="s">
        <v>9</v>
      </c>
      <c r="H1316" s="344" t="s">
        <v>1133</v>
      </c>
      <c r="I1316" s="427" t="s">
        <v>4116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</row>
    <row r="1317" ht="22.5" customHeight="1">
      <c r="A1317" s="176" t="s">
        <v>4346</v>
      </c>
      <c r="B1317" s="369" t="s">
        <v>4347</v>
      </c>
      <c r="C1317" s="337">
        <v>1.0</v>
      </c>
      <c r="D1317" s="334" t="s">
        <v>3475</v>
      </c>
      <c r="E1317" s="338">
        <v>-112.07</v>
      </c>
      <c r="F1317" s="339">
        <v>46237.0</v>
      </c>
      <c r="G1317" s="334" t="s">
        <v>9</v>
      </c>
      <c r="H1317" s="334" t="s">
        <v>53</v>
      </c>
      <c r="I1317" s="427" t="s">
        <v>4348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</row>
    <row r="1318" ht="22.5" customHeight="1">
      <c r="A1318" s="176" t="s">
        <v>4349</v>
      </c>
      <c r="B1318" s="474" t="s">
        <v>222</v>
      </c>
      <c r="C1318" s="337">
        <v>1.0</v>
      </c>
      <c r="D1318" s="334" t="s">
        <v>1602</v>
      </c>
      <c r="E1318" s="338">
        <v>37.24</v>
      </c>
      <c r="F1318" s="339">
        <v>46235.0</v>
      </c>
      <c r="G1318" s="334" t="s">
        <v>9</v>
      </c>
      <c r="H1318" s="334" t="s">
        <v>53</v>
      </c>
      <c r="I1318" s="427" t="s">
        <v>4350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</row>
    <row r="1319" ht="22.5" customHeight="1">
      <c r="A1319" s="176" t="s">
        <v>4351</v>
      </c>
      <c r="B1319" s="486" t="s">
        <v>1718</v>
      </c>
      <c r="C1319" s="480">
        <v>1.0</v>
      </c>
      <c r="D1319" s="481" t="s">
        <v>1532</v>
      </c>
      <c r="E1319" s="487"/>
      <c r="F1319" s="483">
        <v>46235.0</v>
      </c>
      <c r="G1319" s="481" t="s">
        <v>8</v>
      </c>
      <c r="H1319" s="481" t="s">
        <v>1601</v>
      </c>
      <c r="I1319" s="484" t="s">
        <v>4352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</row>
    <row r="1320" ht="22.5" customHeight="1">
      <c r="A1320" s="354"/>
      <c r="B1320" s="358"/>
      <c r="C1320" s="356"/>
      <c r="D1320" s="358"/>
      <c r="E1320" s="464">
        <f>SUM(Table106[Order Earnings])</f>
        <v>453.51</v>
      </c>
      <c r="F1320" s="358"/>
      <c r="G1320" s="358"/>
      <c r="H1320" s="358"/>
      <c r="I1320" s="35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</row>
    <row r="1321">
      <c r="A1321" s="199"/>
      <c r="B1321" s="200"/>
      <c r="C1321" s="201"/>
      <c r="D1321" s="200"/>
      <c r="E1321" s="202"/>
      <c r="F1321" s="199"/>
      <c r="G1321" s="199"/>
      <c r="H1321" s="199"/>
      <c r="I1321" s="199"/>
    </row>
    <row r="1322">
      <c r="A1322" s="9"/>
      <c r="B1322" s="9"/>
      <c r="C1322" s="31"/>
      <c r="D1322" s="455">
        <v>46238.0</v>
      </c>
      <c r="E1322" s="353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</row>
    <row r="1323" ht="22.5" customHeight="1">
      <c r="A1323" s="456" t="s">
        <v>1467</v>
      </c>
      <c r="B1323" s="457" t="s">
        <v>1477</v>
      </c>
      <c r="C1323" s="457" t="s">
        <v>1478</v>
      </c>
      <c r="D1323" s="457" t="s">
        <v>1479</v>
      </c>
      <c r="E1323" s="458" t="s">
        <v>1481</v>
      </c>
      <c r="F1323" s="457" t="s">
        <v>1483</v>
      </c>
      <c r="G1323" s="457" t="s">
        <v>1484</v>
      </c>
      <c r="H1323" s="457" t="s">
        <v>1486</v>
      </c>
      <c r="I1323" s="457" t="s">
        <v>1489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</row>
    <row r="1324" ht="22.5" customHeight="1">
      <c r="A1324" s="176" t="s">
        <v>4353</v>
      </c>
      <c r="B1324" s="369" t="s">
        <v>4354</v>
      </c>
      <c r="C1324" s="343">
        <v>1.0</v>
      </c>
      <c r="D1324" s="344" t="s">
        <v>1532</v>
      </c>
      <c r="E1324" s="475"/>
      <c r="F1324" s="346">
        <v>46237.0</v>
      </c>
      <c r="G1324" s="344" t="s">
        <v>9</v>
      </c>
      <c r="H1324" s="344" t="s">
        <v>1133</v>
      </c>
      <c r="I1324" s="427" t="s">
        <v>4355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</row>
    <row r="1325" ht="22.5" customHeight="1">
      <c r="A1325" s="176" t="s">
        <v>4356</v>
      </c>
      <c r="B1325" s="369" t="s">
        <v>1480</v>
      </c>
      <c r="C1325" s="343">
        <v>1.0</v>
      </c>
      <c r="D1325" s="344" t="s">
        <v>1532</v>
      </c>
      <c r="E1325" s="475"/>
      <c r="F1325" s="346">
        <v>46236.0</v>
      </c>
      <c r="G1325" s="344" t="s">
        <v>9</v>
      </c>
      <c r="H1325" s="344" t="s">
        <v>1356</v>
      </c>
      <c r="I1325" s="427" t="s">
        <v>4357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</row>
    <row r="1326" ht="22.5" customHeight="1">
      <c r="A1326" s="176" t="s">
        <v>4358</v>
      </c>
      <c r="B1326" s="488" t="s">
        <v>854</v>
      </c>
      <c r="C1326" s="337">
        <v>2.0</v>
      </c>
      <c r="D1326" s="334" t="s">
        <v>1532</v>
      </c>
      <c r="E1326" s="489"/>
      <c r="F1326" s="339">
        <v>46237.0</v>
      </c>
      <c r="G1326" s="334" t="s">
        <v>9</v>
      </c>
      <c r="H1326" s="334" t="s">
        <v>351</v>
      </c>
      <c r="I1326" s="427" t="s">
        <v>4359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</row>
    <row r="1327" ht="22.5" customHeight="1">
      <c r="A1327" s="176" t="s">
        <v>4360</v>
      </c>
      <c r="B1327" s="369" t="s">
        <v>4361</v>
      </c>
      <c r="C1327" s="337">
        <v>1.0</v>
      </c>
      <c r="D1327" s="334" t="s">
        <v>1532</v>
      </c>
      <c r="E1327" s="338"/>
      <c r="F1327" s="339">
        <v>46237.0</v>
      </c>
      <c r="G1327" s="334" t="s">
        <v>9</v>
      </c>
      <c r="H1327" s="334" t="s">
        <v>12</v>
      </c>
      <c r="I1327" s="427" t="s">
        <v>4357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</row>
    <row r="1328" ht="22.5" customHeight="1">
      <c r="A1328" s="176" t="s">
        <v>4362</v>
      </c>
      <c r="B1328" s="369" t="s">
        <v>1268</v>
      </c>
      <c r="C1328" s="343">
        <v>1.0</v>
      </c>
      <c r="D1328" s="344" t="s">
        <v>1602</v>
      </c>
      <c r="E1328" s="345">
        <v>15.4</v>
      </c>
      <c r="F1328" s="346">
        <v>46235.0</v>
      </c>
      <c r="G1328" s="344" t="s">
        <v>9</v>
      </c>
      <c r="H1328" s="344" t="s">
        <v>1087</v>
      </c>
      <c r="I1328" s="335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</row>
    <row r="1329" ht="22.5" customHeight="1">
      <c r="A1329" s="176" t="s">
        <v>4363</v>
      </c>
      <c r="B1329" s="369" t="s">
        <v>4364</v>
      </c>
      <c r="C1329" s="343">
        <v>1.0</v>
      </c>
      <c r="D1329" s="344" t="s">
        <v>1602</v>
      </c>
      <c r="E1329" s="345">
        <v>73.66</v>
      </c>
      <c r="F1329" s="346">
        <v>46238.0</v>
      </c>
      <c r="G1329" s="344" t="s">
        <v>9</v>
      </c>
      <c r="H1329" s="344" t="s">
        <v>1133</v>
      </c>
      <c r="I1329" s="427" t="s">
        <v>4365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</row>
    <row r="1330" ht="22.5" customHeight="1">
      <c r="A1330" s="490" t="s">
        <v>4366</v>
      </c>
      <c r="B1330" s="402" t="s">
        <v>4367</v>
      </c>
      <c r="C1330" s="337">
        <v>1.0</v>
      </c>
      <c r="D1330" s="334" t="s">
        <v>1602</v>
      </c>
      <c r="E1330" s="489"/>
      <c r="F1330" s="339">
        <v>46238.0</v>
      </c>
      <c r="G1330" s="334" t="s">
        <v>9</v>
      </c>
      <c r="H1330" s="334" t="s">
        <v>53</v>
      </c>
      <c r="I1330" s="463" t="s">
        <v>4368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</row>
    <row r="1331" ht="22.5" customHeight="1">
      <c r="A1331" s="490" t="s">
        <v>4369</v>
      </c>
      <c r="B1331" s="369" t="s">
        <v>206</v>
      </c>
      <c r="C1331" s="343">
        <v>1.0</v>
      </c>
      <c r="D1331" s="344" t="s">
        <v>1602</v>
      </c>
      <c r="E1331" s="475"/>
      <c r="F1331" s="346">
        <v>46238.0</v>
      </c>
      <c r="G1331" s="344" t="s">
        <v>9</v>
      </c>
      <c r="H1331" s="344" t="s">
        <v>11</v>
      </c>
      <c r="I1331" s="427" t="s">
        <v>4370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</row>
    <row r="1332" ht="22.5" customHeight="1">
      <c r="A1332" s="490" t="s">
        <v>4371</v>
      </c>
      <c r="B1332" s="474" t="s">
        <v>1238</v>
      </c>
      <c r="C1332" s="337">
        <v>1.0</v>
      </c>
      <c r="D1332" s="334" t="s">
        <v>1602</v>
      </c>
      <c r="E1332" s="338">
        <v>139.36</v>
      </c>
      <c r="F1332" s="339">
        <v>46238.0</v>
      </c>
      <c r="G1332" s="334" t="s">
        <v>9</v>
      </c>
      <c r="H1332" s="334" t="s">
        <v>12</v>
      </c>
      <c r="I1332" s="427" t="s">
        <v>4372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</row>
    <row r="1333" ht="22.5" customHeight="1">
      <c r="A1333" s="176" t="s">
        <v>4373</v>
      </c>
      <c r="B1333" s="474" t="s">
        <v>4374</v>
      </c>
      <c r="C1333" s="337">
        <v>3.0</v>
      </c>
      <c r="D1333" s="334" t="s">
        <v>1602</v>
      </c>
      <c r="E1333" s="338">
        <v>20.57</v>
      </c>
      <c r="F1333" s="339">
        <v>46238.0</v>
      </c>
      <c r="G1333" s="334" t="s">
        <v>9</v>
      </c>
      <c r="H1333" s="334" t="s">
        <v>12</v>
      </c>
      <c r="I1333" s="427" t="s">
        <v>4375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</row>
    <row r="1334" ht="22.5" customHeight="1">
      <c r="A1334" s="176" t="s">
        <v>4376</v>
      </c>
      <c r="B1334" s="329">
        <v>5.304534551E9</v>
      </c>
      <c r="C1334" s="337">
        <v>1.0</v>
      </c>
      <c r="D1334" s="334" t="s">
        <v>1602</v>
      </c>
      <c r="E1334" s="338">
        <v>60.53</v>
      </c>
      <c r="F1334" s="339">
        <v>46237.0</v>
      </c>
      <c r="G1334" s="334" t="s">
        <v>9</v>
      </c>
      <c r="H1334" s="334" t="s">
        <v>12</v>
      </c>
      <c r="I1334" s="427" t="s">
        <v>4377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</row>
    <row r="1335" ht="22.5" customHeight="1">
      <c r="A1335" s="176" t="s">
        <v>4378</v>
      </c>
      <c r="B1335" s="369" t="s">
        <v>531</v>
      </c>
      <c r="C1335" s="343">
        <v>1.0</v>
      </c>
      <c r="D1335" s="344" t="s">
        <v>1602</v>
      </c>
      <c r="E1335" s="345">
        <v>13.53</v>
      </c>
      <c r="F1335" s="346">
        <v>46237.0</v>
      </c>
      <c r="G1335" s="344" t="s">
        <v>8</v>
      </c>
      <c r="H1335" s="344" t="s">
        <v>12</v>
      </c>
      <c r="I1335" s="427" t="s">
        <v>4379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</row>
    <row r="1336" ht="22.5" customHeight="1">
      <c r="A1336" s="176" t="s">
        <v>4380</v>
      </c>
      <c r="B1336" s="474" t="s">
        <v>539</v>
      </c>
      <c r="C1336" s="337">
        <v>1.0</v>
      </c>
      <c r="D1336" s="334" t="s">
        <v>1602</v>
      </c>
      <c r="E1336" s="338">
        <v>21.67</v>
      </c>
      <c r="F1336" s="339">
        <v>46237.0</v>
      </c>
      <c r="G1336" s="334" t="s">
        <v>8</v>
      </c>
      <c r="H1336" s="334" t="s">
        <v>12</v>
      </c>
      <c r="I1336" s="427" t="s">
        <v>4377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</row>
    <row r="1337" ht="22.5" customHeight="1">
      <c r="A1337" s="176" t="s">
        <v>4381</v>
      </c>
      <c r="B1337" s="369" t="s">
        <v>54</v>
      </c>
      <c r="C1337" s="343">
        <v>1.0</v>
      </c>
      <c r="D1337" s="344" t="s">
        <v>3475</v>
      </c>
      <c r="E1337" s="345">
        <v>-32.59</v>
      </c>
      <c r="F1337" s="346">
        <v>46222.0</v>
      </c>
      <c r="G1337" s="344" t="s">
        <v>9</v>
      </c>
      <c r="H1337" s="344" t="s">
        <v>2243</v>
      </c>
      <c r="I1337" s="427" t="s">
        <v>4382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</row>
    <row r="1338" ht="22.5" customHeight="1">
      <c r="A1338" s="354"/>
      <c r="B1338" s="358"/>
      <c r="C1338" s="356"/>
      <c r="D1338" s="358"/>
      <c r="E1338" s="464">
        <f>SUM(Table107[Order Earnings])</f>
        <v>312.13</v>
      </c>
      <c r="F1338" s="358"/>
      <c r="G1338" s="358"/>
      <c r="H1338" s="358"/>
      <c r="I1338" s="35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</row>
    <row r="1339">
      <c r="A1339" s="199"/>
      <c r="B1339" s="200"/>
      <c r="C1339" s="201"/>
      <c r="D1339" s="200"/>
      <c r="E1339" s="202"/>
      <c r="F1339" s="199"/>
      <c r="G1339" s="199"/>
      <c r="H1339" s="199"/>
      <c r="I1339" s="199"/>
    </row>
    <row r="1340">
      <c r="A1340" s="9"/>
      <c r="B1340" s="9"/>
      <c r="C1340" s="31"/>
      <c r="D1340" s="455">
        <v>46239.0</v>
      </c>
      <c r="E1340" s="353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</row>
    <row r="1341" ht="22.5" customHeight="1">
      <c r="A1341" s="456" t="s">
        <v>1467</v>
      </c>
      <c r="B1341" s="457" t="s">
        <v>1477</v>
      </c>
      <c r="C1341" s="457" t="s">
        <v>1478</v>
      </c>
      <c r="D1341" s="457" t="s">
        <v>1479</v>
      </c>
      <c r="E1341" s="458" t="s">
        <v>1481</v>
      </c>
      <c r="F1341" s="457" t="s">
        <v>1483</v>
      </c>
      <c r="G1341" s="457" t="s">
        <v>1484</v>
      </c>
      <c r="H1341" s="457" t="s">
        <v>1486</v>
      </c>
      <c r="I1341" s="457" t="s">
        <v>1489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</row>
    <row r="1342" ht="22.5" customHeight="1">
      <c r="A1342" s="176" t="s">
        <v>4383</v>
      </c>
      <c r="B1342" s="369" t="s">
        <v>1659</v>
      </c>
      <c r="C1342" s="343">
        <v>1.0</v>
      </c>
      <c r="D1342" s="344" t="s">
        <v>1532</v>
      </c>
      <c r="E1342" s="475"/>
      <c r="F1342" s="346">
        <v>46238.0</v>
      </c>
      <c r="G1342" s="344" t="s">
        <v>8</v>
      </c>
      <c r="H1342" s="344" t="s">
        <v>1601</v>
      </c>
      <c r="I1342" s="427" t="s">
        <v>4384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</row>
    <row r="1343" ht="22.5" customHeight="1">
      <c r="A1343" s="176" t="s">
        <v>4385</v>
      </c>
      <c r="B1343" s="369" t="s">
        <v>1397</v>
      </c>
      <c r="C1343" s="343">
        <v>1.0</v>
      </c>
      <c r="D1343" s="344" t="s">
        <v>1532</v>
      </c>
      <c r="E1343" s="475"/>
      <c r="F1343" s="346">
        <v>46238.0</v>
      </c>
      <c r="G1343" s="344" t="s">
        <v>9</v>
      </c>
      <c r="H1343" s="344" t="s">
        <v>1356</v>
      </c>
      <c r="I1343" s="427" t="s">
        <v>4357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</row>
    <row r="1344" ht="22.5" customHeight="1">
      <c r="A1344" s="176" t="s">
        <v>4386</v>
      </c>
      <c r="B1344" s="369" t="s">
        <v>2044</v>
      </c>
      <c r="C1344" s="343">
        <v>1.0</v>
      </c>
      <c r="D1344" s="344" t="s">
        <v>1602</v>
      </c>
      <c r="E1344" s="345">
        <v>88.41</v>
      </c>
      <c r="F1344" s="346">
        <v>46238.0</v>
      </c>
      <c r="G1344" s="344" t="s">
        <v>9</v>
      </c>
      <c r="H1344" s="344" t="s">
        <v>1601</v>
      </c>
      <c r="I1344" s="427" t="s">
        <v>4387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</row>
    <row r="1345" ht="22.5" customHeight="1">
      <c r="A1345" s="176" t="s">
        <v>4388</v>
      </c>
      <c r="B1345" s="369" t="s">
        <v>1941</v>
      </c>
      <c r="C1345" s="343">
        <v>1.0</v>
      </c>
      <c r="D1345" s="344" t="s">
        <v>1602</v>
      </c>
      <c r="E1345" s="345">
        <v>6.96</v>
      </c>
      <c r="F1345" s="346">
        <v>46238.0</v>
      </c>
      <c r="G1345" s="344" t="s">
        <v>8</v>
      </c>
      <c r="H1345" s="344" t="s">
        <v>1601</v>
      </c>
      <c r="I1345" s="427" t="s">
        <v>4389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</row>
    <row r="1346" ht="22.5" customHeight="1">
      <c r="A1346" s="176" t="s">
        <v>4390</v>
      </c>
      <c r="B1346" s="369" t="s">
        <v>661</v>
      </c>
      <c r="C1346" s="337">
        <v>1.0</v>
      </c>
      <c r="D1346" s="334" t="s">
        <v>1602</v>
      </c>
      <c r="E1346" s="338">
        <v>30.73</v>
      </c>
      <c r="F1346" s="339">
        <v>46238.0</v>
      </c>
      <c r="G1346" s="334" t="s">
        <v>9</v>
      </c>
      <c r="H1346" s="334" t="s">
        <v>11</v>
      </c>
      <c r="I1346" s="427" t="s">
        <v>4391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</row>
    <row r="1347" ht="22.5" customHeight="1">
      <c r="A1347" s="176" t="s">
        <v>4392</v>
      </c>
      <c r="B1347" s="474" t="s">
        <v>1318</v>
      </c>
      <c r="C1347" s="337">
        <v>1.0</v>
      </c>
      <c r="D1347" s="334" t="s">
        <v>1602</v>
      </c>
      <c r="E1347" s="338">
        <v>7.55</v>
      </c>
      <c r="F1347" s="339">
        <v>46239.0</v>
      </c>
      <c r="G1347" s="334" t="s">
        <v>9</v>
      </c>
      <c r="H1347" s="334" t="s">
        <v>11</v>
      </c>
      <c r="I1347" s="335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</row>
    <row r="1348" ht="22.5" customHeight="1">
      <c r="A1348" s="176" t="s">
        <v>4393</v>
      </c>
      <c r="B1348" s="474" t="s">
        <v>1506</v>
      </c>
      <c r="C1348" s="337">
        <v>1.0</v>
      </c>
      <c r="D1348" s="334" t="s">
        <v>1602</v>
      </c>
      <c r="E1348" s="338">
        <v>53.76</v>
      </c>
      <c r="F1348" s="339">
        <v>46239.0</v>
      </c>
      <c r="G1348" s="334" t="s">
        <v>9</v>
      </c>
      <c r="H1348" s="334" t="s">
        <v>11</v>
      </c>
      <c r="I1348" s="335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</row>
    <row r="1349" ht="22.5" customHeight="1">
      <c r="A1349" s="491" t="s">
        <v>4394</v>
      </c>
      <c r="B1349" s="492" t="s">
        <v>987</v>
      </c>
      <c r="C1349" s="493">
        <v>1.0</v>
      </c>
      <c r="D1349" s="494" t="s">
        <v>1602</v>
      </c>
      <c r="E1349" s="495">
        <v>31.62</v>
      </c>
      <c r="F1349" s="496">
        <v>46238.0</v>
      </c>
      <c r="G1349" s="497" t="s">
        <v>9</v>
      </c>
      <c r="H1349" s="498" t="s">
        <v>53</v>
      </c>
      <c r="I1349" s="499" t="s">
        <v>4395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</row>
    <row r="1350" ht="22.5" customHeight="1">
      <c r="A1350" s="418" t="s">
        <v>4396</v>
      </c>
      <c r="B1350" s="500" t="s">
        <v>4397</v>
      </c>
      <c r="C1350" s="501">
        <v>1.0</v>
      </c>
      <c r="D1350" s="502" t="s">
        <v>1602</v>
      </c>
      <c r="E1350" s="345">
        <v>52.76</v>
      </c>
      <c r="F1350" s="503">
        <v>46238.0</v>
      </c>
      <c r="G1350" s="504" t="s">
        <v>9</v>
      </c>
      <c r="H1350" s="505" t="s">
        <v>53</v>
      </c>
      <c r="I1350" s="506" t="s">
        <v>4398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</row>
    <row r="1351" ht="22.5" customHeight="1">
      <c r="A1351" s="176" t="s">
        <v>4399</v>
      </c>
      <c r="B1351" s="507" t="s">
        <v>642</v>
      </c>
      <c r="C1351" s="343">
        <v>1.0</v>
      </c>
      <c r="D1351" s="344" t="s">
        <v>3475</v>
      </c>
      <c r="E1351" s="345">
        <v>-22.52</v>
      </c>
      <c r="F1351" s="346">
        <v>46239.0</v>
      </c>
      <c r="G1351" s="344" t="s">
        <v>8</v>
      </c>
      <c r="H1351" s="344" t="s">
        <v>53</v>
      </c>
      <c r="I1351" s="427" t="s">
        <v>4400</v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</row>
    <row r="1352" ht="22.5" customHeight="1">
      <c r="A1352" s="176" t="s">
        <v>4401</v>
      </c>
      <c r="B1352" s="369" t="s">
        <v>1425</v>
      </c>
      <c r="C1352" s="337">
        <v>1.0</v>
      </c>
      <c r="D1352" s="334" t="s">
        <v>1602</v>
      </c>
      <c r="E1352" s="338">
        <v>44.05</v>
      </c>
      <c r="F1352" s="339">
        <v>46238.0</v>
      </c>
      <c r="G1352" s="334" t="s">
        <v>9</v>
      </c>
      <c r="H1352" s="334" t="s">
        <v>1356</v>
      </c>
      <c r="I1352" s="340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</row>
    <row r="1353" ht="22.5" customHeight="1">
      <c r="A1353" s="401" t="s">
        <v>4402</v>
      </c>
      <c r="B1353" s="369" t="s">
        <v>2507</v>
      </c>
      <c r="C1353" s="343">
        <v>1.0</v>
      </c>
      <c r="D1353" s="344" t="s">
        <v>1602</v>
      </c>
      <c r="E1353" s="345">
        <v>50.3</v>
      </c>
      <c r="F1353" s="346">
        <v>46238.0</v>
      </c>
      <c r="G1353" s="344" t="s">
        <v>9</v>
      </c>
      <c r="H1353" s="344" t="s">
        <v>3380</v>
      </c>
      <c r="I1353" s="427" t="s">
        <v>4403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</row>
    <row r="1354" ht="22.5" customHeight="1">
      <c r="A1354" s="176" t="s">
        <v>4404</v>
      </c>
      <c r="B1354" s="474" t="s">
        <v>1418</v>
      </c>
      <c r="C1354" s="337">
        <v>1.0</v>
      </c>
      <c r="D1354" s="334" t="s">
        <v>1602</v>
      </c>
      <c r="E1354" s="338">
        <v>54.73</v>
      </c>
      <c r="F1354" s="339">
        <v>46238.0</v>
      </c>
      <c r="G1354" s="334" t="s">
        <v>9</v>
      </c>
      <c r="H1354" s="334" t="s">
        <v>12</v>
      </c>
      <c r="I1354" s="427" t="s">
        <v>4379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</row>
    <row r="1355" ht="22.5" customHeight="1">
      <c r="A1355" s="176" t="s">
        <v>4405</v>
      </c>
      <c r="B1355" s="369" t="s">
        <v>882</v>
      </c>
      <c r="C1355" s="343">
        <v>1.0</v>
      </c>
      <c r="D1355" s="344" t="s">
        <v>1602</v>
      </c>
      <c r="E1355" s="345">
        <v>15.42</v>
      </c>
      <c r="F1355" s="346">
        <v>46238.0</v>
      </c>
      <c r="G1355" s="344" t="s">
        <v>9</v>
      </c>
      <c r="H1355" s="344" t="s">
        <v>12</v>
      </c>
      <c r="I1355" s="427" t="s">
        <v>4379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</row>
    <row r="1356" ht="22.5" customHeight="1">
      <c r="A1356" s="354"/>
      <c r="B1356" s="358"/>
      <c r="C1356" s="356"/>
      <c r="D1356" s="358"/>
      <c r="E1356" s="464">
        <f>SUM(Table108[Order Earnings])</f>
        <v>413.77</v>
      </c>
      <c r="F1356" s="358"/>
      <c r="G1356" s="358"/>
      <c r="H1356" s="358"/>
      <c r="I1356" s="35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</row>
    <row r="1357">
      <c r="A1357" s="199"/>
      <c r="B1357" s="200"/>
      <c r="C1357" s="201"/>
      <c r="D1357" s="200"/>
      <c r="E1357" s="202"/>
      <c r="F1357" s="199"/>
      <c r="G1357" s="199"/>
      <c r="H1357" s="199"/>
      <c r="I1357" s="199"/>
    </row>
    <row r="1358">
      <c r="A1358" s="9"/>
      <c r="B1358" s="9"/>
      <c r="C1358" s="31"/>
      <c r="D1358" s="455">
        <v>46240.0</v>
      </c>
      <c r="E1358" s="353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</row>
    <row r="1359" ht="22.5" customHeight="1">
      <c r="A1359" s="456" t="s">
        <v>1467</v>
      </c>
      <c r="B1359" s="457" t="s">
        <v>1477</v>
      </c>
      <c r="C1359" s="457" t="s">
        <v>1478</v>
      </c>
      <c r="D1359" s="457" t="s">
        <v>1479</v>
      </c>
      <c r="E1359" s="458" t="s">
        <v>1481</v>
      </c>
      <c r="F1359" s="457" t="s">
        <v>1483</v>
      </c>
      <c r="G1359" s="457" t="s">
        <v>1484</v>
      </c>
      <c r="H1359" s="457" t="s">
        <v>1486</v>
      </c>
      <c r="I1359" s="457" t="s">
        <v>1489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</row>
    <row r="1360" ht="22.5" customHeight="1">
      <c r="A1360" s="176" t="s">
        <v>4406</v>
      </c>
      <c r="B1360" s="369" t="s">
        <v>26</v>
      </c>
      <c r="C1360" s="343">
        <v>1.0</v>
      </c>
      <c r="D1360" s="344" t="s">
        <v>1602</v>
      </c>
      <c r="E1360" s="345">
        <v>11.83</v>
      </c>
      <c r="F1360" s="346">
        <v>46240.0</v>
      </c>
      <c r="G1360" s="344" t="s">
        <v>9</v>
      </c>
      <c r="H1360" s="344" t="s">
        <v>3530</v>
      </c>
      <c r="I1360" s="427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</row>
    <row r="1361" ht="22.5" customHeight="1">
      <c r="A1361" s="176" t="s">
        <v>4407</v>
      </c>
      <c r="B1361" s="369" t="s">
        <v>4408</v>
      </c>
      <c r="C1361" s="343">
        <v>1.0</v>
      </c>
      <c r="D1361" s="344" t="s">
        <v>1602</v>
      </c>
      <c r="E1361" s="345">
        <v>14.22</v>
      </c>
      <c r="F1361" s="346">
        <v>46239.0</v>
      </c>
      <c r="G1361" s="344" t="s">
        <v>9</v>
      </c>
      <c r="H1361" s="344" t="s">
        <v>1087</v>
      </c>
      <c r="I1361" s="335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</row>
    <row r="1362" ht="22.5" customHeight="1">
      <c r="A1362" s="176" t="s">
        <v>4409</v>
      </c>
      <c r="B1362" s="342">
        <v>5.303918645E9</v>
      </c>
      <c r="C1362" s="343">
        <v>1.0</v>
      </c>
      <c r="D1362" s="344" t="s">
        <v>1602</v>
      </c>
      <c r="E1362" s="345">
        <v>26.91</v>
      </c>
      <c r="F1362" s="346">
        <v>46240.0</v>
      </c>
      <c r="G1362" s="344" t="s">
        <v>8</v>
      </c>
      <c r="H1362" s="344" t="s">
        <v>1601</v>
      </c>
      <c r="I1362" s="427" t="s">
        <v>4410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</row>
    <row r="1363" ht="22.5" customHeight="1">
      <c r="A1363" s="176" t="s">
        <v>4411</v>
      </c>
      <c r="B1363" s="508" t="s">
        <v>1219</v>
      </c>
      <c r="C1363" s="337">
        <v>1.0</v>
      </c>
      <c r="D1363" s="334" t="s">
        <v>1602</v>
      </c>
      <c r="E1363" s="338">
        <v>18.18</v>
      </c>
      <c r="F1363" s="339">
        <v>46240.0</v>
      </c>
      <c r="G1363" s="334" t="s">
        <v>9</v>
      </c>
      <c r="H1363" s="334" t="s">
        <v>1133</v>
      </c>
      <c r="I1363" s="427" t="s">
        <v>4412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</row>
    <row r="1364" ht="22.5" customHeight="1">
      <c r="A1364" s="176" t="s">
        <v>4413</v>
      </c>
      <c r="B1364" s="342">
        <v>5.304536819E9</v>
      </c>
      <c r="C1364" s="343">
        <v>1.0</v>
      </c>
      <c r="D1364" s="344" t="s">
        <v>1875</v>
      </c>
      <c r="E1364" s="345">
        <v>-63.22</v>
      </c>
      <c r="F1364" s="346">
        <v>46226.0</v>
      </c>
      <c r="G1364" s="344" t="s">
        <v>9</v>
      </c>
      <c r="H1364" s="344" t="s">
        <v>12</v>
      </c>
      <c r="I1364" s="427" t="s">
        <v>4414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</row>
    <row r="1365" ht="22.5" customHeight="1">
      <c r="A1365" s="176" t="s">
        <v>4415</v>
      </c>
      <c r="B1365" s="474" t="s">
        <v>1606</v>
      </c>
      <c r="C1365" s="337">
        <v>1.0</v>
      </c>
      <c r="D1365" s="334" t="s">
        <v>1602</v>
      </c>
      <c r="E1365" s="338">
        <v>64.09</v>
      </c>
      <c r="F1365" s="339">
        <v>46240.0</v>
      </c>
      <c r="G1365" s="334" t="s">
        <v>9</v>
      </c>
      <c r="H1365" s="334" t="s">
        <v>12</v>
      </c>
      <c r="I1365" s="427" t="s">
        <v>4416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</row>
    <row r="1366" ht="22.5" customHeight="1">
      <c r="A1366" s="354"/>
      <c r="B1366" s="358"/>
      <c r="C1366" s="356"/>
      <c r="D1366" s="358"/>
      <c r="E1366" s="464">
        <f>SUM(Table109[Order Earnings])</f>
        <v>72.01</v>
      </c>
      <c r="F1366" s="358"/>
      <c r="G1366" s="358"/>
      <c r="H1366" s="358"/>
      <c r="I1366" s="35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</row>
    <row r="1367">
      <c r="A1367" s="199"/>
      <c r="B1367" s="200"/>
      <c r="C1367" s="201"/>
      <c r="D1367" s="200"/>
      <c r="E1367" s="202"/>
      <c r="F1367" s="199"/>
      <c r="G1367" s="199"/>
      <c r="H1367" s="199"/>
      <c r="I1367" s="199"/>
    </row>
    <row r="1368">
      <c r="A1368" s="9"/>
      <c r="B1368" s="9"/>
      <c r="C1368" s="31"/>
      <c r="D1368" s="455">
        <v>46241.0</v>
      </c>
      <c r="E1368" s="353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</row>
    <row r="1369" ht="22.5" customHeight="1">
      <c r="A1369" s="456" t="s">
        <v>1467</v>
      </c>
      <c r="B1369" s="457" t="s">
        <v>1477</v>
      </c>
      <c r="C1369" s="457" t="s">
        <v>1478</v>
      </c>
      <c r="D1369" s="457" t="s">
        <v>1479</v>
      </c>
      <c r="E1369" s="458" t="s">
        <v>1481</v>
      </c>
      <c r="F1369" s="457" t="s">
        <v>1483</v>
      </c>
      <c r="G1369" s="457" t="s">
        <v>1484</v>
      </c>
      <c r="H1369" s="457" t="s">
        <v>1486</v>
      </c>
      <c r="I1369" s="457" t="s">
        <v>1489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</row>
    <row r="1370" ht="22.5" customHeight="1">
      <c r="A1370" s="418" t="s">
        <v>4417</v>
      </c>
      <c r="B1370" s="509" t="s">
        <v>4418</v>
      </c>
      <c r="C1370" s="510">
        <v>1.0</v>
      </c>
      <c r="D1370" s="502" t="s">
        <v>1602</v>
      </c>
      <c r="E1370" s="345">
        <v>25.41</v>
      </c>
      <c r="F1370" s="503">
        <v>46240.0</v>
      </c>
      <c r="G1370" s="504" t="s">
        <v>9</v>
      </c>
      <c r="H1370" s="505" t="s">
        <v>53</v>
      </c>
      <c r="I1370" s="506" t="s">
        <v>4419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</row>
    <row r="1371" ht="22.5" customHeight="1">
      <c r="A1371" s="176" t="s">
        <v>4420</v>
      </c>
      <c r="B1371" s="402" t="s">
        <v>4421</v>
      </c>
      <c r="C1371" s="343">
        <v>1.0</v>
      </c>
      <c r="D1371" s="344" t="s">
        <v>1602</v>
      </c>
      <c r="E1371" s="345">
        <v>29.38</v>
      </c>
      <c r="F1371" s="346">
        <v>46241.0</v>
      </c>
      <c r="G1371" s="344" t="s">
        <v>9</v>
      </c>
      <c r="H1371" s="344" t="s">
        <v>53</v>
      </c>
      <c r="I1371" s="427" t="s">
        <v>4422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</row>
    <row r="1372" ht="22.5" customHeight="1">
      <c r="A1372" s="176" t="s">
        <v>4423</v>
      </c>
      <c r="B1372" s="402" t="s">
        <v>4424</v>
      </c>
      <c r="C1372" s="343">
        <v>1.0</v>
      </c>
      <c r="D1372" s="344" t="s">
        <v>1602</v>
      </c>
      <c r="E1372" s="345">
        <v>41.09</v>
      </c>
      <c r="F1372" s="346">
        <v>46240.0</v>
      </c>
      <c r="G1372" s="344" t="s">
        <v>9</v>
      </c>
      <c r="H1372" s="344" t="s">
        <v>53</v>
      </c>
      <c r="I1372" s="506" t="s">
        <v>4425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</row>
    <row r="1373" ht="22.5" customHeight="1">
      <c r="A1373" s="176" t="s">
        <v>4426</v>
      </c>
      <c r="B1373" s="369" t="s">
        <v>69</v>
      </c>
      <c r="C1373" s="343">
        <v>1.0</v>
      </c>
      <c r="D1373" s="344" t="s">
        <v>1602</v>
      </c>
      <c r="E1373" s="345">
        <v>75.86</v>
      </c>
      <c r="F1373" s="346">
        <v>46240.0</v>
      </c>
      <c r="G1373" s="344" t="s">
        <v>8</v>
      </c>
      <c r="H1373" s="344" t="s">
        <v>3530</v>
      </c>
      <c r="I1373" s="427" t="s">
        <v>4427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</row>
    <row r="1374" ht="22.5" customHeight="1">
      <c r="A1374" s="176" t="s">
        <v>4428</v>
      </c>
      <c r="B1374" s="369" t="s">
        <v>981</v>
      </c>
      <c r="C1374" s="343">
        <v>1.0</v>
      </c>
      <c r="D1374" s="344" t="s">
        <v>1602</v>
      </c>
      <c r="E1374" s="345">
        <v>12.19</v>
      </c>
      <c r="F1374" s="346">
        <v>46241.0</v>
      </c>
      <c r="G1374" s="344" t="s">
        <v>9</v>
      </c>
      <c r="H1374" s="344" t="s">
        <v>3380</v>
      </c>
      <c r="I1374" s="427" t="s">
        <v>4403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</row>
    <row r="1375" ht="22.5" customHeight="1">
      <c r="A1375" s="176" t="s">
        <v>4429</v>
      </c>
      <c r="B1375" s="342">
        <v>5.304531885E9</v>
      </c>
      <c r="C1375" s="337">
        <v>1.0</v>
      </c>
      <c r="D1375" s="334" t="s">
        <v>1602</v>
      </c>
      <c r="E1375" s="338">
        <v>24.01</v>
      </c>
      <c r="F1375" s="339">
        <v>46240.0</v>
      </c>
      <c r="G1375" s="334" t="s">
        <v>9</v>
      </c>
      <c r="H1375" s="334" t="s">
        <v>12</v>
      </c>
      <c r="I1375" s="427" t="s">
        <v>4430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</row>
    <row r="1376" ht="22.5" customHeight="1">
      <c r="A1376" s="176" t="s">
        <v>4431</v>
      </c>
      <c r="B1376" s="369" t="s">
        <v>4432</v>
      </c>
      <c r="C1376" s="343">
        <v>1.0</v>
      </c>
      <c r="D1376" s="344" t="s">
        <v>1602</v>
      </c>
      <c r="E1376" s="345">
        <v>17.71</v>
      </c>
      <c r="F1376" s="346">
        <v>46240.0</v>
      </c>
      <c r="G1376" s="344" t="s">
        <v>9</v>
      </c>
      <c r="H1376" s="344" t="s">
        <v>12</v>
      </c>
      <c r="I1376" s="427" t="s">
        <v>4261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</row>
    <row r="1377" ht="22.5" customHeight="1">
      <c r="A1377" s="176" t="s">
        <v>4433</v>
      </c>
      <c r="B1377" s="474" t="s">
        <v>368</v>
      </c>
      <c r="C1377" s="337">
        <v>1.0</v>
      </c>
      <c r="D1377" s="334" t="s">
        <v>1532</v>
      </c>
      <c r="E1377" s="338"/>
      <c r="F1377" s="339">
        <v>46240.0</v>
      </c>
      <c r="G1377" s="334" t="s">
        <v>9</v>
      </c>
      <c r="H1377" s="334" t="s">
        <v>351</v>
      </c>
      <c r="I1377" s="427" t="s">
        <v>4434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</row>
    <row r="1378" ht="22.5" customHeight="1">
      <c r="A1378" s="176" t="s">
        <v>4435</v>
      </c>
      <c r="B1378" s="369" t="s">
        <v>1716</v>
      </c>
      <c r="C1378" s="343">
        <v>1.0</v>
      </c>
      <c r="D1378" s="344" t="s">
        <v>1602</v>
      </c>
      <c r="E1378" s="345">
        <v>73.07</v>
      </c>
      <c r="F1378" s="346">
        <v>46241.0</v>
      </c>
      <c r="G1378" s="344" t="s">
        <v>9</v>
      </c>
      <c r="H1378" s="344" t="s">
        <v>11</v>
      </c>
      <c r="I1378" s="335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</row>
    <row r="1379" ht="22.5" customHeight="1">
      <c r="A1379" s="490" t="s">
        <v>4436</v>
      </c>
      <c r="B1379" s="511" t="s">
        <v>1984</v>
      </c>
      <c r="C1379" s="512">
        <v>1.0</v>
      </c>
      <c r="D1379" s="513" t="s">
        <v>3475</v>
      </c>
      <c r="E1379" s="514">
        <v>-26.75</v>
      </c>
      <c r="F1379" s="515">
        <v>46241.0</v>
      </c>
      <c r="G1379" s="513" t="s">
        <v>8</v>
      </c>
      <c r="H1379" s="513" t="s">
        <v>1601</v>
      </c>
      <c r="I1379" s="516" t="s">
        <v>4437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</row>
    <row r="1380" ht="22.5" customHeight="1">
      <c r="A1380" s="354"/>
      <c r="B1380" s="358"/>
      <c r="C1380" s="356"/>
      <c r="D1380" s="358"/>
      <c r="E1380" s="464">
        <f>SUM(Table110[Order Earnings])</f>
        <v>271.97</v>
      </c>
      <c r="F1380" s="358"/>
      <c r="G1380" s="358"/>
      <c r="H1380" s="358"/>
      <c r="I1380" s="35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</row>
    <row r="1381">
      <c r="A1381" s="199"/>
      <c r="B1381" s="200"/>
      <c r="C1381" s="201"/>
      <c r="D1381" s="200"/>
      <c r="E1381" s="202"/>
      <c r="F1381" s="199"/>
      <c r="G1381" s="199"/>
      <c r="H1381" s="199"/>
      <c r="I1381" s="199"/>
    </row>
    <row r="1382">
      <c r="A1382" s="9"/>
      <c r="B1382" s="9"/>
      <c r="C1382" s="31"/>
      <c r="D1382" s="455">
        <v>46244.0</v>
      </c>
      <c r="E1382" s="353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</row>
    <row r="1383" ht="22.5" customHeight="1">
      <c r="A1383" s="456" t="s">
        <v>1467</v>
      </c>
      <c r="B1383" s="457" t="s">
        <v>1477</v>
      </c>
      <c r="C1383" s="457" t="s">
        <v>1478</v>
      </c>
      <c r="D1383" s="457" t="s">
        <v>1479</v>
      </c>
      <c r="E1383" s="458" t="s">
        <v>1481</v>
      </c>
      <c r="F1383" s="457" t="s">
        <v>1483</v>
      </c>
      <c r="G1383" s="457" t="s">
        <v>1484</v>
      </c>
      <c r="H1383" s="457" t="s">
        <v>1486</v>
      </c>
      <c r="I1383" s="457" t="s">
        <v>1489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</row>
    <row r="1384" ht="22.5" customHeight="1">
      <c r="A1384" s="176" t="s">
        <v>4438</v>
      </c>
      <c r="B1384" s="369" t="s">
        <v>3011</v>
      </c>
      <c r="C1384" s="343">
        <v>1.0</v>
      </c>
      <c r="D1384" s="344" t="s">
        <v>1602</v>
      </c>
      <c r="E1384" s="345">
        <v>45.56</v>
      </c>
      <c r="F1384" s="346">
        <v>46244.0</v>
      </c>
      <c r="G1384" s="344" t="s">
        <v>9</v>
      </c>
      <c r="H1384" s="344" t="s">
        <v>12</v>
      </c>
      <c r="I1384" s="427" t="s">
        <v>4439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</row>
    <row r="1385" ht="22.5" customHeight="1">
      <c r="A1385" s="176" t="s">
        <v>4440</v>
      </c>
      <c r="B1385" s="474" t="s">
        <v>4441</v>
      </c>
      <c r="C1385" s="337">
        <v>1.0</v>
      </c>
      <c r="D1385" s="334" t="s">
        <v>1602</v>
      </c>
      <c r="E1385" s="338">
        <v>18.27</v>
      </c>
      <c r="F1385" s="339">
        <v>46243.0</v>
      </c>
      <c r="G1385" s="334" t="s">
        <v>9</v>
      </c>
      <c r="H1385" s="334" t="s">
        <v>12</v>
      </c>
      <c r="I1385" s="427" t="s">
        <v>4439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</row>
    <row r="1386" ht="22.5" customHeight="1">
      <c r="A1386" s="376" t="s">
        <v>4442</v>
      </c>
      <c r="B1386" s="369" t="s">
        <v>219</v>
      </c>
      <c r="C1386" s="343">
        <v>1.0</v>
      </c>
      <c r="D1386" s="344" t="s">
        <v>1602</v>
      </c>
      <c r="E1386" s="345">
        <v>24.65</v>
      </c>
      <c r="F1386" s="346">
        <v>46242.0</v>
      </c>
      <c r="G1386" s="344" t="s">
        <v>9</v>
      </c>
      <c r="H1386" s="344" t="s">
        <v>12</v>
      </c>
      <c r="I1386" s="427" t="s">
        <v>4439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</row>
    <row r="1387" ht="22.5" customHeight="1">
      <c r="A1387" s="176" t="s">
        <v>4443</v>
      </c>
      <c r="B1387" s="474" t="s">
        <v>227</v>
      </c>
      <c r="C1387" s="337">
        <v>1.0</v>
      </c>
      <c r="D1387" s="334" t="s">
        <v>1602</v>
      </c>
      <c r="E1387" s="338">
        <v>6.18</v>
      </c>
      <c r="F1387" s="339">
        <v>46241.0</v>
      </c>
      <c r="G1387" s="334" t="s">
        <v>9</v>
      </c>
      <c r="H1387" s="334" t="s">
        <v>12</v>
      </c>
      <c r="I1387" s="427" t="s">
        <v>4444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</row>
    <row r="1388" ht="22.5" customHeight="1">
      <c r="A1388" s="176" t="s">
        <v>4445</v>
      </c>
      <c r="B1388" s="369" t="s">
        <v>4446</v>
      </c>
      <c r="C1388" s="337">
        <v>1.0</v>
      </c>
      <c r="D1388" s="334" t="s">
        <v>1602</v>
      </c>
      <c r="E1388" s="338">
        <v>21.03</v>
      </c>
      <c r="F1388" s="339">
        <v>46241.0</v>
      </c>
      <c r="G1388" s="334" t="s">
        <v>8</v>
      </c>
      <c r="H1388" s="334" t="s">
        <v>12</v>
      </c>
      <c r="I1388" s="427" t="s">
        <v>4439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</row>
    <row r="1389" ht="22.5" customHeight="1">
      <c r="A1389" s="176" t="s">
        <v>4447</v>
      </c>
      <c r="B1389" s="474" t="s">
        <v>818</v>
      </c>
      <c r="C1389" s="337">
        <v>1.0</v>
      </c>
      <c r="D1389" s="334" t="s">
        <v>1602</v>
      </c>
      <c r="E1389" s="338">
        <v>36.8</v>
      </c>
      <c r="F1389" s="339">
        <v>46241.0</v>
      </c>
      <c r="G1389" s="334" t="s">
        <v>9</v>
      </c>
      <c r="H1389" s="334" t="s">
        <v>12</v>
      </c>
      <c r="I1389" s="427" t="s">
        <v>4261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</row>
    <row r="1390" ht="22.5" customHeight="1">
      <c r="A1390" s="176" t="s">
        <v>4448</v>
      </c>
      <c r="B1390" s="369" t="s">
        <v>92</v>
      </c>
      <c r="C1390" s="343">
        <v>1.0</v>
      </c>
      <c r="D1390" s="344" t="s">
        <v>1602</v>
      </c>
      <c r="E1390" s="345">
        <v>166.43</v>
      </c>
      <c r="F1390" s="346">
        <v>46243.0</v>
      </c>
      <c r="G1390" s="344" t="s">
        <v>9</v>
      </c>
      <c r="H1390" s="344" t="s">
        <v>3380</v>
      </c>
      <c r="I1390" s="427" t="s">
        <v>4449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</row>
    <row r="1391" ht="22.5" customHeight="1">
      <c r="A1391" s="176" t="s">
        <v>4450</v>
      </c>
      <c r="B1391" s="474" t="s">
        <v>368</v>
      </c>
      <c r="C1391" s="343">
        <v>1.0</v>
      </c>
      <c r="D1391" s="344" t="s">
        <v>1602</v>
      </c>
      <c r="E1391" s="345">
        <v>106.46</v>
      </c>
      <c r="F1391" s="346">
        <v>46241.0</v>
      </c>
      <c r="G1391" s="344" t="s">
        <v>9</v>
      </c>
      <c r="H1391" s="344" t="s">
        <v>351</v>
      </c>
      <c r="I1391" s="427" t="s">
        <v>4451</v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</row>
    <row r="1392" ht="22.5" customHeight="1">
      <c r="A1392" s="176" t="s">
        <v>4452</v>
      </c>
      <c r="B1392" s="369" t="s">
        <v>1753</v>
      </c>
      <c r="C1392" s="343">
        <v>1.0</v>
      </c>
      <c r="D1392" s="344" t="s">
        <v>1602</v>
      </c>
      <c r="E1392" s="345">
        <v>38.9</v>
      </c>
      <c r="F1392" s="346">
        <v>46243.0</v>
      </c>
      <c r="G1392" s="344" t="s">
        <v>9</v>
      </c>
      <c r="H1392" s="344" t="s">
        <v>1356</v>
      </c>
      <c r="I1392" s="335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</row>
    <row r="1393" ht="22.5" customHeight="1">
      <c r="A1393" s="176" t="s">
        <v>4453</v>
      </c>
      <c r="B1393" s="369" t="s">
        <v>1375</v>
      </c>
      <c r="C1393" s="337">
        <v>1.0</v>
      </c>
      <c r="D1393" s="334" t="s">
        <v>1602</v>
      </c>
      <c r="E1393" s="338">
        <v>10.53</v>
      </c>
      <c r="F1393" s="339">
        <v>46243.0</v>
      </c>
      <c r="G1393" s="334" t="s">
        <v>9</v>
      </c>
      <c r="H1393" s="334" t="s">
        <v>1356</v>
      </c>
      <c r="I1393" s="335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</row>
    <row r="1394" ht="22.5" customHeight="1">
      <c r="A1394" s="176" t="s">
        <v>4454</v>
      </c>
      <c r="B1394" s="448">
        <v>5.304531112E9</v>
      </c>
      <c r="C1394" s="343">
        <v>1.0</v>
      </c>
      <c r="D1394" s="344" t="s">
        <v>1602</v>
      </c>
      <c r="E1394" s="345">
        <v>48.5</v>
      </c>
      <c r="F1394" s="346">
        <v>46244.0</v>
      </c>
      <c r="G1394" s="344" t="s">
        <v>9</v>
      </c>
      <c r="H1394" s="344" t="s">
        <v>53</v>
      </c>
      <c r="I1394" s="427" t="s">
        <v>4455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</row>
    <row r="1395" ht="22.5" customHeight="1">
      <c r="A1395" s="176" t="s">
        <v>4456</v>
      </c>
      <c r="B1395" s="402" t="s">
        <v>4457</v>
      </c>
      <c r="C1395" s="343">
        <v>1.0</v>
      </c>
      <c r="D1395" s="344" t="s">
        <v>1602</v>
      </c>
      <c r="E1395" s="345">
        <v>76.17</v>
      </c>
      <c r="F1395" s="346">
        <v>46241.0</v>
      </c>
      <c r="G1395" s="344" t="s">
        <v>9</v>
      </c>
      <c r="H1395" s="344" t="s">
        <v>53</v>
      </c>
      <c r="I1395" s="427" t="s">
        <v>4455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</row>
    <row r="1396" ht="22.5" customHeight="1">
      <c r="A1396" s="176" t="s">
        <v>4458</v>
      </c>
      <c r="B1396" s="369" t="s">
        <v>2645</v>
      </c>
      <c r="C1396" s="343">
        <v>1.0</v>
      </c>
      <c r="D1396" s="344" t="s">
        <v>1602</v>
      </c>
      <c r="E1396" s="345">
        <v>75.93</v>
      </c>
      <c r="F1396" s="346">
        <v>46244.0</v>
      </c>
      <c r="G1396" s="344" t="s">
        <v>9</v>
      </c>
      <c r="H1396" s="344" t="s">
        <v>53</v>
      </c>
      <c r="I1396" s="427" t="s">
        <v>4459</v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</row>
    <row r="1397" ht="22.5" customHeight="1">
      <c r="A1397" s="176" t="s">
        <v>4460</v>
      </c>
      <c r="B1397" s="474" t="s">
        <v>4461</v>
      </c>
      <c r="C1397" s="337">
        <v>1.0</v>
      </c>
      <c r="D1397" s="334" t="s">
        <v>1602</v>
      </c>
      <c r="E1397" s="338">
        <v>27.48</v>
      </c>
      <c r="F1397" s="339">
        <v>46243.0</v>
      </c>
      <c r="G1397" s="334" t="s">
        <v>9</v>
      </c>
      <c r="H1397" s="334" t="s">
        <v>1601</v>
      </c>
      <c r="I1397" s="427" t="s">
        <v>4462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</row>
    <row r="1398" ht="22.5" customHeight="1">
      <c r="A1398" s="176" t="s">
        <v>4463</v>
      </c>
      <c r="B1398" s="369" t="s">
        <v>4464</v>
      </c>
      <c r="C1398" s="337">
        <v>1.0</v>
      </c>
      <c r="D1398" s="334" t="s">
        <v>1602</v>
      </c>
      <c r="E1398" s="338">
        <v>8.73</v>
      </c>
      <c r="F1398" s="339">
        <v>46244.0</v>
      </c>
      <c r="G1398" s="334" t="s">
        <v>9</v>
      </c>
      <c r="H1398" s="334" t="s">
        <v>1601</v>
      </c>
      <c r="I1398" s="463" t="s">
        <v>4465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</row>
    <row r="1399" ht="22.5" customHeight="1">
      <c r="A1399" s="176" t="s">
        <v>4466</v>
      </c>
      <c r="B1399" s="369" t="s">
        <v>1346</v>
      </c>
      <c r="C1399" s="343">
        <v>1.0</v>
      </c>
      <c r="D1399" s="344" t="s">
        <v>1602</v>
      </c>
      <c r="E1399" s="345">
        <v>53.12</v>
      </c>
      <c r="F1399" s="346">
        <v>46241.0</v>
      </c>
      <c r="G1399" s="344" t="s">
        <v>8</v>
      </c>
      <c r="H1399" s="344" t="s">
        <v>1133</v>
      </c>
      <c r="I1399" s="427" t="s">
        <v>4467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</row>
    <row r="1400" ht="22.5" customHeight="1">
      <c r="A1400" s="176" t="s">
        <v>4468</v>
      </c>
      <c r="B1400" s="369" t="s">
        <v>464</v>
      </c>
      <c r="C1400" s="480">
        <v>1.0</v>
      </c>
      <c r="D1400" s="481" t="s">
        <v>1532</v>
      </c>
      <c r="E1400" s="482"/>
      <c r="F1400" s="483">
        <v>46243.0</v>
      </c>
      <c r="G1400" s="481" t="s">
        <v>8</v>
      </c>
      <c r="H1400" s="481" t="s">
        <v>11</v>
      </c>
      <c r="I1400" s="427" t="s">
        <v>4469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</row>
    <row r="1401" ht="22.5" customHeight="1">
      <c r="A1401" s="354"/>
      <c r="B1401" s="358"/>
      <c r="C1401" s="356"/>
      <c r="D1401" s="358"/>
      <c r="E1401" s="464">
        <f>SUM(Table111[Order Earnings])</f>
        <v>764.74</v>
      </c>
      <c r="F1401" s="358"/>
      <c r="G1401" s="358"/>
      <c r="H1401" s="358"/>
      <c r="I1401" s="35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</row>
    <row r="1402">
      <c r="A1402" s="199"/>
      <c r="B1402" s="200"/>
      <c r="C1402" s="201"/>
      <c r="D1402" s="200"/>
      <c r="E1402" s="202"/>
      <c r="F1402" s="199"/>
      <c r="G1402" s="199"/>
      <c r="H1402" s="199"/>
      <c r="I1402" s="199"/>
    </row>
    <row r="1403">
      <c r="A1403" s="9"/>
      <c r="B1403" s="9"/>
      <c r="C1403" s="31"/>
      <c r="D1403" s="455">
        <v>46245.0</v>
      </c>
      <c r="E1403" s="353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</row>
    <row r="1404" ht="22.5" customHeight="1">
      <c r="A1404" s="456" t="s">
        <v>1467</v>
      </c>
      <c r="B1404" s="457" t="s">
        <v>1477</v>
      </c>
      <c r="C1404" s="457" t="s">
        <v>1478</v>
      </c>
      <c r="D1404" s="457" t="s">
        <v>1479</v>
      </c>
      <c r="E1404" s="458" t="s">
        <v>1481</v>
      </c>
      <c r="F1404" s="457" t="s">
        <v>1483</v>
      </c>
      <c r="G1404" s="457" t="s">
        <v>1484</v>
      </c>
      <c r="H1404" s="457" t="s">
        <v>1486</v>
      </c>
      <c r="I1404" s="457" t="s">
        <v>1489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</row>
    <row r="1405" ht="22.5" customHeight="1">
      <c r="A1405" s="176" t="s">
        <v>4470</v>
      </c>
      <c r="B1405" s="342" t="s">
        <v>502</v>
      </c>
      <c r="C1405" s="343">
        <v>1.0</v>
      </c>
      <c r="D1405" s="344" t="s">
        <v>1602</v>
      </c>
      <c r="E1405" s="345">
        <v>31.0</v>
      </c>
      <c r="F1405" s="346">
        <v>46244.0</v>
      </c>
      <c r="G1405" s="344" t="s">
        <v>9</v>
      </c>
      <c r="H1405" s="344" t="s">
        <v>3596</v>
      </c>
      <c r="I1405" s="427" t="s">
        <v>4403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</row>
    <row r="1406" ht="22.5" customHeight="1">
      <c r="A1406" s="176" t="s">
        <v>4471</v>
      </c>
      <c r="B1406" s="342">
        <v>1.0397318E7</v>
      </c>
      <c r="C1406" s="343">
        <v>1.0</v>
      </c>
      <c r="D1406" s="344" t="s">
        <v>1532</v>
      </c>
      <c r="E1406" s="475"/>
      <c r="F1406" s="346">
        <v>46244.0</v>
      </c>
      <c r="G1406" s="344" t="s">
        <v>8</v>
      </c>
      <c r="H1406" s="344" t="s">
        <v>12</v>
      </c>
      <c r="I1406" s="427" t="s">
        <v>4472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</row>
    <row r="1407" ht="22.5" customHeight="1">
      <c r="A1407" s="176" t="s">
        <v>4473</v>
      </c>
      <c r="B1407" s="342">
        <v>5.304534551E9</v>
      </c>
      <c r="C1407" s="343">
        <v>1.0</v>
      </c>
      <c r="D1407" s="344" t="s">
        <v>1602</v>
      </c>
      <c r="E1407" s="345">
        <v>58.93</v>
      </c>
      <c r="F1407" s="346">
        <v>46245.0</v>
      </c>
      <c r="G1407" s="344" t="s">
        <v>9</v>
      </c>
      <c r="H1407" s="344" t="s">
        <v>12</v>
      </c>
      <c r="I1407" s="427" t="s">
        <v>4474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</row>
    <row r="1408" ht="22.5" customHeight="1">
      <c r="A1408" s="176" t="s">
        <v>4475</v>
      </c>
      <c r="B1408" s="342" t="s">
        <v>4476</v>
      </c>
      <c r="C1408" s="343">
        <v>1.0</v>
      </c>
      <c r="D1408" s="344" t="s">
        <v>1602</v>
      </c>
      <c r="E1408" s="345">
        <v>64.06</v>
      </c>
      <c r="F1408" s="346">
        <v>46245.0</v>
      </c>
      <c r="G1408" s="344" t="s">
        <v>9</v>
      </c>
      <c r="H1408" s="344" t="s">
        <v>12</v>
      </c>
      <c r="I1408" s="427" t="s">
        <v>4477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</row>
    <row r="1409" ht="22.5" customHeight="1">
      <c r="A1409" s="176" t="s">
        <v>4478</v>
      </c>
      <c r="B1409" s="329" t="s">
        <v>854</v>
      </c>
      <c r="C1409" s="337">
        <v>2.0</v>
      </c>
      <c r="D1409" s="334" t="s">
        <v>1602</v>
      </c>
      <c r="E1409" s="338">
        <v>16.26</v>
      </c>
      <c r="F1409" s="339">
        <v>46245.0</v>
      </c>
      <c r="G1409" s="334" t="s">
        <v>9</v>
      </c>
      <c r="H1409" s="334" t="s">
        <v>12</v>
      </c>
      <c r="I1409" s="427" t="s">
        <v>4479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</row>
    <row r="1410" ht="22.5" customHeight="1">
      <c r="A1410" s="176" t="s">
        <v>4480</v>
      </c>
      <c r="B1410" s="342" t="s">
        <v>4481</v>
      </c>
      <c r="C1410" s="343">
        <v>1.0</v>
      </c>
      <c r="D1410" s="344" t="s">
        <v>1602</v>
      </c>
      <c r="E1410" s="345">
        <v>6.86</v>
      </c>
      <c r="F1410" s="346">
        <v>46245.0</v>
      </c>
      <c r="G1410" s="344" t="s">
        <v>8</v>
      </c>
      <c r="H1410" s="344" t="s">
        <v>12</v>
      </c>
      <c r="I1410" s="427" t="s">
        <v>4479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</row>
    <row r="1411" ht="22.5" customHeight="1">
      <c r="A1411" s="176" t="s">
        <v>4482</v>
      </c>
      <c r="B1411" s="342" t="s">
        <v>3179</v>
      </c>
      <c r="C1411" s="337">
        <v>1.0</v>
      </c>
      <c r="D1411" s="334" t="s">
        <v>3475</v>
      </c>
      <c r="E1411" s="338">
        <v>-55.52</v>
      </c>
      <c r="F1411" s="339">
        <v>46245.0</v>
      </c>
      <c r="G1411" s="334" t="s">
        <v>9</v>
      </c>
      <c r="H1411" s="334" t="s">
        <v>53</v>
      </c>
      <c r="I1411" s="463" t="s">
        <v>4483</v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</row>
    <row r="1412" ht="22.5" customHeight="1">
      <c r="A1412" s="176" t="s">
        <v>4484</v>
      </c>
      <c r="B1412" s="342" t="s">
        <v>1032</v>
      </c>
      <c r="C1412" s="343">
        <v>1.0</v>
      </c>
      <c r="D1412" s="344" t="s">
        <v>1602</v>
      </c>
      <c r="E1412" s="345">
        <v>79.05</v>
      </c>
      <c r="F1412" s="346">
        <v>46245.0</v>
      </c>
      <c r="G1412" s="344" t="s">
        <v>9</v>
      </c>
      <c r="H1412" s="344" t="s">
        <v>53</v>
      </c>
      <c r="I1412" s="427" t="s">
        <v>4485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</row>
    <row r="1413" ht="22.5" customHeight="1">
      <c r="A1413" s="491" t="s">
        <v>4486</v>
      </c>
      <c r="B1413" s="517" t="s">
        <v>4487</v>
      </c>
      <c r="C1413" s="337">
        <v>1.0</v>
      </c>
      <c r="D1413" s="334" t="s">
        <v>1602</v>
      </c>
      <c r="E1413" s="338">
        <v>44.02</v>
      </c>
      <c r="F1413" s="339">
        <v>46245.0</v>
      </c>
      <c r="G1413" s="334" t="s">
        <v>9</v>
      </c>
      <c r="H1413" s="334" t="s">
        <v>1601</v>
      </c>
      <c r="I1413" s="427" t="s">
        <v>4455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</row>
    <row r="1414" ht="22.5" customHeight="1">
      <c r="A1414" s="176" t="s">
        <v>4488</v>
      </c>
      <c r="B1414" s="342" t="s">
        <v>4489</v>
      </c>
      <c r="C1414" s="337">
        <v>1.0</v>
      </c>
      <c r="D1414" s="334" t="s">
        <v>1602</v>
      </c>
      <c r="E1414" s="338">
        <v>50.62</v>
      </c>
      <c r="F1414" s="339">
        <v>46244.0</v>
      </c>
      <c r="G1414" s="334" t="s">
        <v>9</v>
      </c>
      <c r="H1414" s="334" t="s">
        <v>1356</v>
      </c>
      <c r="I1414" s="427" t="s">
        <v>4490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</row>
    <row r="1415" ht="22.5" customHeight="1">
      <c r="A1415" s="176" t="s">
        <v>4491</v>
      </c>
      <c r="B1415" s="342" t="s">
        <v>115</v>
      </c>
      <c r="C1415" s="343">
        <v>1.0</v>
      </c>
      <c r="D1415" s="344" t="s">
        <v>1602</v>
      </c>
      <c r="E1415" s="345">
        <v>19.16</v>
      </c>
      <c r="F1415" s="346">
        <v>46244.0</v>
      </c>
      <c r="G1415" s="344" t="s">
        <v>9</v>
      </c>
      <c r="H1415" s="344" t="s">
        <v>1356</v>
      </c>
      <c r="I1415" s="427" t="s">
        <v>4492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</row>
    <row r="1416" ht="22.5" customHeight="1">
      <c r="A1416" s="176" t="s">
        <v>4493</v>
      </c>
      <c r="B1416" s="329" t="s">
        <v>1342</v>
      </c>
      <c r="C1416" s="337">
        <v>1.0</v>
      </c>
      <c r="D1416" s="334" t="s">
        <v>1602</v>
      </c>
      <c r="E1416" s="338">
        <v>12.52</v>
      </c>
      <c r="F1416" s="339">
        <v>46244.0</v>
      </c>
      <c r="G1416" s="334" t="s">
        <v>9</v>
      </c>
      <c r="H1416" s="334" t="s">
        <v>1356</v>
      </c>
      <c r="I1416" s="427" t="s">
        <v>4492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</row>
    <row r="1417" ht="22.5" customHeight="1">
      <c r="A1417" s="354"/>
      <c r="B1417" s="358"/>
      <c r="C1417" s="356"/>
      <c r="D1417" s="358"/>
      <c r="E1417" s="464">
        <f>SUM(Table112[Order Earnings])</f>
        <v>326.96</v>
      </c>
      <c r="F1417" s="358"/>
      <c r="G1417" s="358"/>
      <c r="H1417" s="358"/>
      <c r="I1417" s="35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</row>
    <row r="1418">
      <c r="A1418" s="199"/>
      <c r="B1418" s="200"/>
      <c r="C1418" s="201"/>
      <c r="D1418" s="200"/>
      <c r="E1418" s="202"/>
      <c r="F1418" s="199"/>
      <c r="G1418" s="199"/>
      <c r="H1418" s="199"/>
      <c r="I1418" s="199"/>
    </row>
    <row r="1419">
      <c r="A1419" s="9"/>
      <c r="B1419" s="9"/>
      <c r="C1419" s="31"/>
      <c r="D1419" s="455">
        <v>46246.0</v>
      </c>
      <c r="E1419" s="353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</row>
    <row r="1420" ht="22.5" customHeight="1">
      <c r="A1420" s="456" t="s">
        <v>1467</v>
      </c>
      <c r="B1420" s="457" t="s">
        <v>1477</v>
      </c>
      <c r="C1420" s="457" t="s">
        <v>1478</v>
      </c>
      <c r="D1420" s="457" t="s">
        <v>1479</v>
      </c>
      <c r="E1420" s="458" t="s">
        <v>1481</v>
      </c>
      <c r="F1420" s="457" t="s">
        <v>1483</v>
      </c>
      <c r="G1420" s="457" t="s">
        <v>1484</v>
      </c>
      <c r="H1420" s="457" t="s">
        <v>1486</v>
      </c>
      <c r="I1420" s="457" t="s">
        <v>1489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</row>
    <row r="1421" ht="22.5" customHeight="1">
      <c r="A1421" s="176" t="s">
        <v>4494</v>
      </c>
      <c r="B1421" s="369" t="s">
        <v>26</v>
      </c>
      <c r="C1421" s="343">
        <v>1.0</v>
      </c>
      <c r="D1421" s="344" t="s">
        <v>1602</v>
      </c>
      <c r="E1421" s="345">
        <v>17.09</v>
      </c>
      <c r="F1421" s="346">
        <v>46245.0</v>
      </c>
      <c r="G1421" s="344" t="s">
        <v>9</v>
      </c>
      <c r="H1421" s="344" t="s">
        <v>2243</v>
      </c>
      <c r="I1421" s="427" t="s">
        <v>4495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</row>
    <row r="1422" ht="22.5" customHeight="1">
      <c r="A1422" s="176" t="s">
        <v>4496</v>
      </c>
      <c r="B1422" s="369" t="s">
        <v>966</v>
      </c>
      <c r="C1422" s="343">
        <v>1.0</v>
      </c>
      <c r="D1422" s="344" t="s">
        <v>1602</v>
      </c>
      <c r="E1422" s="345">
        <v>130.33</v>
      </c>
      <c r="F1422" s="346">
        <v>46245.0</v>
      </c>
      <c r="G1422" s="344" t="s">
        <v>9</v>
      </c>
      <c r="H1422" s="344" t="s">
        <v>12</v>
      </c>
      <c r="I1422" s="427" t="s">
        <v>4497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</row>
    <row r="1423" ht="22.5" customHeight="1">
      <c r="A1423" s="176" t="s">
        <v>4498</v>
      </c>
      <c r="B1423" s="369" t="s">
        <v>4499</v>
      </c>
      <c r="C1423" s="343">
        <v>1.0</v>
      </c>
      <c r="D1423" s="344" t="s">
        <v>1602</v>
      </c>
      <c r="E1423" s="345">
        <v>60.72</v>
      </c>
      <c r="F1423" s="346">
        <v>46246.0</v>
      </c>
      <c r="G1423" s="344" t="s">
        <v>9</v>
      </c>
      <c r="H1423" s="344" t="s">
        <v>11</v>
      </c>
      <c r="I1423" s="335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</row>
    <row r="1424" ht="22.5" customHeight="1">
      <c r="A1424" s="176" t="s">
        <v>4500</v>
      </c>
      <c r="B1424" s="474" t="s">
        <v>1230</v>
      </c>
      <c r="C1424" s="337">
        <v>1.0</v>
      </c>
      <c r="D1424" s="334" t="s">
        <v>1602</v>
      </c>
      <c r="E1424" s="338">
        <v>90.37</v>
      </c>
      <c r="F1424" s="339">
        <v>46246.0</v>
      </c>
      <c r="G1424" s="334" t="s">
        <v>9</v>
      </c>
      <c r="H1424" s="334" t="s">
        <v>1133</v>
      </c>
      <c r="I1424" s="427" t="s">
        <v>4467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</row>
    <row r="1425" ht="22.5" customHeight="1">
      <c r="A1425" s="176" t="s">
        <v>4501</v>
      </c>
      <c r="B1425" s="369" t="s">
        <v>2025</v>
      </c>
      <c r="C1425" s="343">
        <v>1.0</v>
      </c>
      <c r="D1425" s="344" t="s">
        <v>1602</v>
      </c>
      <c r="E1425" s="345">
        <v>42.6</v>
      </c>
      <c r="F1425" s="346">
        <v>46245.0</v>
      </c>
      <c r="G1425" s="344" t="s">
        <v>9</v>
      </c>
      <c r="H1425" s="344" t="s">
        <v>1601</v>
      </c>
      <c r="I1425" s="427" t="s">
        <v>4465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</row>
    <row r="1426" ht="22.5" customHeight="1">
      <c r="A1426" s="176" t="s">
        <v>4502</v>
      </c>
      <c r="B1426" s="369" t="s">
        <v>33</v>
      </c>
      <c r="C1426" s="337">
        <v>1.0</v>
      </c>
      <c r="D1426" s="334" t="s">
        <v>1602</v>
      </c>
      <c r="E1426" s="338">
        <v>27.43</v>
      </c>
      <c r="F1426" s="339">
        <v>46246.0</v>
      </c>
      <c r="G1426" s="334" t="s">
        <v>9</v>
      </c>
      <c r="H1426" s="334" t="s">
        <v>1601</v>
      </c>
      <c r="I1426" s="427" t="s">
        <v>4465</v>
      </c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</row>
    <row r="1427" ht="22.5" customHeight="1">
      <c r="A1427" s="176" t="s">
        <v>4503</v>
      </c>
      <c r="B1427" s="369" t="s">
        <v>4504</v>
      </c>
      <c r="C1427" s="343">
        <v>1.0</v>
      </c>
      <c r="D1427" s="344" t="s">
        <v>1602</v>
      </c>
      <c r="E1427" s="345">
        <v>12.59</v>
      </c>
      <c r="F1427" s="346">
        <v>46246.0</v>
      </c>
      <c r="G1427" s="344" t="s">
        <v>8</v>
      </c>
      <c r="H1427" s="344" t="s">
        <v>1601</v>
      </c>
      <c r="I1427" s="427" t="s">
        <v>4465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</row>
    <row r="1428" ht="22.5" customHeight="1">
      <c r="A1428" s="354"/>
      <c r="B1428" s="358"/>
      <c r="C1428" s="356"/>
      <c r="D1428" s="358"/>
      <c r="E1428" s="464">
        <f>SUM(Table113[Order Earnings])</f>
        <v>381.13</v>
      </c>
      <c r="F1428" s="358"/>
      <c r="G1428" s="358"/>
      <c r="H1428" s="358"/>
      <c r="I1428" s="35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</row>
    <row r="1429">
      <c r="A1429" s="199"/>
      <c r="B1429" s="200"/>
      <c r="C1429" s="201"/>
      <c r="D1429" s="200"/>
      <c r="E1429" s="202"/>
      <c r="F1429" s="199"/>
      <c r="G1429" s="199"/>
      <c r="H1429" s="199"/>
      <c r="I1429" s="199"/>
    </row>
    <row r="1430">
      <c r="A1430" s="9"/>
      <c r="B1430" s="9"/>
      <c r="C1430" s="31"/>
      <c r="D1430" s="455">
        <v>46247.0</v>
      </c>
      <c r="E1430" s="353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</row>
    <row r="1431" ht="22.5" customHeight="1">
      <c r="A1431" s="456" t="s">
        <v>1467</v>
      </c>
      <c r="B1431" s="457" t="s">
        <v>1477</v>
      </c>
      <c r="C1431" s="457" t="s">
        <v>1478</v>
      </c>
      <c r="D1431" s="457" t="s">
        <v>1479</v>
      </c>
      <c r="E1431" s="458" t="s">
        <v>1481</v>
      </c>
      <c r="F1431" s="457" t="s">
        <v>1483</v>
      </c>
      <c r="G1431" s="457" t="s">
        <v>1484</v>
      </c>
      <c r="H1431" s="457" t="s">
        <v>1486</v>
      </c>
      <c r="I1431" s="457" t="s">
        <v>1489</v>
      </c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</row>
    <row r="1432" ht="22.5" customHeight="1">
      <c r="A1432" s="176" t="s">
        <v>4505</v>
      </c>
      <c r="B1432" s="342" t="s">
        <v>4506</v>
      </c>
      <c r="C1432" s="343">
        <v>1.0</v>
      </c>
      <c r="D1432" s="344" t="s">
        <v>1532</v>
      </c>
      <c r="E1432" s="475"/>
      <c r="F1432" s="346">
        <v>46247.0</v>
      </c>
      <c r="G1432" s="344" t="s">
        <v>8</v>
      </c>
      <c r="H1432" s="344" t="s">
        <v>11</v>
      </c>
      <c r="I1432" s="427" t="s">
        <v>4507</v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</row>
    <row r="1433" ht="22.5" customHeight="1">
      <c r="A1433" s="176" t="s">
        <v>4508</v>
      </c>
      <c r="B1433" s="342" t="s">
        <v>673</v>
      </c>
      <c r="C1433" s="343">
        <v>1.0</v>
      </c>
      <c r="D1433" s="344" t="s">
        <v>1602</v>
      </c>
      <c r="E1433" s="345">
        <v>51.18</v>
      </c>
      <c r="F1433" s="346">
        <v>46247.0</v>
      </c>
      <c r="G1433" s="344" t="s">
        <v>9</v>
      </c>
      <c r="H1433" s="344" t="s">
        <v>12</v>
      </c>
      <c r="I1433" s="427" t="s">
        <v>4509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</row>
    <row r="1434" ht="22.5" customHeight="1">
      <c r="A1434" s="176" t="s">
        <v>4510</v>
      </c>
      <c r="B1434" s="342">
        <v>1.40282033103E11</v>
      </c>
      <c r="C1434" s="343">
        <v>1.0</v>
      </c>
      <c r="D1434" s="344" t="s">
        <v>1602</v>
      </c>
      <c r="E1434" s="345">
        <v>18.56</v>
      </c>
      <c r="F1434" s="346">
        <v>46246.0</v>
      </c>
      <c r="G1434" s="344" t="s">
        <v>9</v>
      </c>
      <c r="H1434" s="344" t="s">
        <v>12</v>
      </c>
      <c r="I1434" s="427" t="s">
        <v>4511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</row>
    <row r="1435" ht="22.5" customHeight="1">
      <c r="A1435" s="176" t="s">
        <v>4512</v>
      </c>
      <c r="B1435" s="388">
        <v>5.304534551E9</v>
      </c>
      <c r="C1435" s="337">
        <v>1.0</v>
      </c>
      <c r="D1435" s="334" t="s">
        <v>1602</v>
      </c>
      <c r="E1435" s="338">
        <v>60.84</v>
      </c>
      <c r="F1435" s="339">
        <v>46247.0</v>
      </c>
      <c r="G1435" s="334" t="s">
        <v>9</v>
      </c>
      <c r="H1435" s="334" t="s">
        <v>53</v>
      </c>
      <c r="I1435" s="427" t="s">
        <v>4465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</row>
    <row r="1436" ht="22.5" customHeight="1">
      <c r="A1436" s="176" t="s">
        <v>4513</v>
      </c>
      <c r="B1436" s="342">
        <v>5.304531506E9</v>
      </c>
      <c r="C1436" s="343">
        <v>1.0</v>
      </c>
      <c r="D1436" s="344" t="s">
        <v>1602</v>
      </c>
      <c r="E1436" s="345">
        <v>50.72</v>
      </c>
      <c r="F1436" s="346">
        <v>46247.0</v>
      </c>
      <c r="G1436" s="344" t="s">
        <v>9</v>
      </c>
      <c r="H1436" s="344" t="s">
        <v>1087</v>
      </c>
      <c r="I1436" s="335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</row>
    <row r="1437" ht="22.5" customHeight="1">
      <c r="A1437" s="176" t="s">
        <v>4514</v>
      </c>
      <c r="B1437" s="474" t="s">
        <v>4515</v>
      </c>
      <c r="C1437" s="337">
        <v>1.0</v>
      </c>
      <c r="D1437" s="334" t="s">
        <v>1602</v>
      </c>
      <c r="E1437" s="338">
        <v>165.31</v>
      </c>
      <c r="F1437" s="339">
        <v>46247.0</v>
      </c>
      <c r="G1437" s="334" t="s">
        <v>9</v>
      </c>
      <c r="H1437" s="334" t="s">
        <v>1133</v>
      </c>
      <c r="I1437" s="427" t="s">
        <v>4516</v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</row>
    <row r="1438" ht="22.5" customHeight="1">
      <c r="A1438" s="354"/>
      <c r="B1438" s="358"/>
      <c r="C1438" s="356"/>
      <c r="D1438" s="358"/>
      <c r="E1438" s="464">
        <f>SUM(Table114[Order Earnings])</f>
        <v>346.61</v>
      </c>
      <c r="F1438" s="358"/>
      <c r="G1438" s="358"/>
      <c r="H1438" s="358"/>
      <c r="I1438" s="35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</row>
    <row r="1439">
      <c r="A1439" s="199"/>
      <c r="B1439" s="200"/>
      <c r="C1439" s="201"/>
      <c r="D1439" s="200"/>
      <c r="E1439" s="202"/>
      <c r="F1439" s="199"/>
      <c r="G1439" s="199"/>
      <c r="H1439" s="199"/>
      <c r="I1439" s="199"/>
    </row>
    <row r="1440">
      <c r="A1440" s="9"/>
      <c r="B1440" s="9"/>
      <c r="C1440" s="31"/>
      <c r="D1440" s="455">
        <v>46248.0</v>
      </c>
      <c r="E1440" s="353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</row>
    <row r="1441" ht="22.5" customHeight="1">
      <c r="A1441" s="456" t="s">
        <v>1467</v>
      </c>
      <c r="B1441" s="457" t="s">
        <v>1477</v>
      </c>
      <c r="C1441" s="457" t="s">
        <v>1478</v>
      </c>
      <c r="D1441" s="457" t="s">
        <v>1479</v>
      </c>
      <c r="E1441" s="458" t="s">
        <v>1481</v>
      </c>
      <c r="F1441" s="457" t="s">
        <v>1483</v>
      </c>
      <c r="G1441" s="457" t="s">
        <v>1484</v>
      </c>
      <c r="H1441" s="457" t="s">
        <v>1486</v>
      </c>
      <c r="I1441" s="457" t="s">
        <v>1489</v>
      </c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</row>
    <row r="1442" ht="22.5" customHeight="1">
      <c r="A1442" s="176" t="s">
        <v>4517</v>
      </c>
      <c r="B1442" s="342">
        <v>5.304532555E9</v>
      </c>
      <c r="C1442" s="343">
        <v>1.0</v>
      </c>
      <c r="D1442" s="344" t="s">
        <v>1602</v>
      </c>
      <c r="E1442" s="345">
        <v>29.94</v>
      </c>
      <c r="F1442" s="346">
        <v>46247.0</v>
      </c>
      <c r="G1442" s="344" t="s">
        <v>9</v>
      </c>
      <c r="H1442" s="344" t="s">
        <v>12</v>
      </c>
      <c r="I1442" s="427" t="s">
        <v>4278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</row>
    <row r="1443" ht="22.5" customHeight="1">
      <c r="A1443" s="176" t="s">
        <v>4518</v>
      </c>
      <c r="B1443" s="342" t="s">
        <v>259</v>
      </c>
      <c r="C1443" s="343">
        <v>1.0</v>
      </c>
      <c r="D1443" s="344" t="s">
        <v>1602</v>
      </c>
      <c r="E1443" s="345">
        <v>5.11</v>
      </c>
      <c r="F1443" s="346">
        <v>46247.0</v>
      </c>
      <c r="G1443" s="344" t="s">
        <v>9</v>
      </c>
      <c r="H1443" s="344" t="s">
        <v>12</v>
      </c>
      <c r="I1443" s="427" t="s">
        <v>4278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</row>
    <row r="1444" ht="22.5" customHeight="1">
      <c r="A1444" s="176" t="s">
        <v>4519</v>
      </c>
      <c r="B1444" s="342" t="s">
        <v>1567</v>
      </c>
      <c r="C1444" s="343">
        <v>1.0</v>
      </c>
      <c r="D1444" s="344" t="s">
        <v>1532</v>
      </c>
      <c r="E1444" s="475"/>
      <c r="F1444" s="346">
        <v>46247.0</v>
      </c>
      <c r="G1444" s="344" t="s">
        <v>9</v>
      </c>
      <c r="H1444" s="344" t="s">
        <v>11</v>
      </c>
      <c r="I1444" s="427" t="s">
        <v>4520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</row>
    <row r="1445" ht="22.5" customHeight="1">
      <c r="A1445" s="176" t="s">
        <v>4521</v>
      </c>
      <c r="B1445" s="342">
        <v>5.304531112E9</v>
      </c>
      <c r="C1445" s="343">
        <v>1.0</v>
      </c>
      <c r="D1445" s="344" t="s">
        <v>1602</v>
      </c>
      <c r="E1445" s="345">
        <v>63.9</v>
      </c>
      <c r="F1445" s="346">
        <v>46247.0</v>
      </c>
      <c r="G1445" s="344" t="s">
        <v>8</v>
      </c>
      <c r="H1445" s="344" t="s">
        <v>11</v>
      </c>
      <c r="I1445" s="335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</row>
    <row r="1446" ht="22.5" customHeight="1">
      <c r="A1446" s="354"/>
      <c r="B1446" s="358"/>
      <c r="C1446" s="356"/>
      <c r="D1446" s="358"/>
      <c r="E1446" s="464">
        <f>SUM(Table115[Order Earnings])</f>
        <v>98.95</v>
      </c>
      <c r="F1446" s="358"/>
      <c r="G1446" s="358"/>
      <c r="H1446" s="358"/>
      <c r="I1446" s="35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</row>
    <row r="1447">
      <c r="A1447" s="199"/>
      <c r="B1447" s="200"/>
      <c r="C1447" s="201"/>
      <c r="D1447" s="200"/>
      <c r="E1447" s="202"/>
      <c r="F1447" s="199"/>
      <c r="G1447" s="199"/>
      <c r="H1447" s="199"/>
      <c r="I1447" s="199"/>
    </row>
    <row r="1448">
      <c r="A1448" s="9"/>
      <c r="B1448" s="9"/>
      <c r="C1448" s="31"/>
      <c r="D1448" s="455">
        <v>46251.0</v>
      </c>
      <c r="E1448" s="353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</row>
    <row r="1449" ht="22.5" customHeight="1">
      <c r="A1449" s="456" t="s">
        <v>1467</v>
      </c>
      <c r="B1449" s="457" t="s">
        <v>1477</v>
      </c>
      <c r="C1449" s="457" t="s">
        <v>1478</v>
      </c>
      <c r="D1449" s="457" t="s">
        <v>1479</v>
      </c>
      <c r="E1449" s="458" t="s">
        <v>1481</v>
      </c>
      <c r="F1449" s="457" t="s">
        <v>1483</v>
      </c>
      <c r="G1449" s="457" t="s">
        <v>1484</v>
      </c>
      <c r="H1449" s="457" t="s">
        <v>1486</v>
      </c>
      <c r="I1449" s="457" t="s">
        <v>1489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</row>
    <row r="1450" ht="22.5" customHeight="1">
      <c r="A1450" s="376" t="s">
        <v>4522</v>
      </c>
      <c r="B1450" s="342" t="s">
        <v>531</v>
      </c>
      <c r="C1450" s="343">
        <v>1.0</v>
      </c>
      <c r="D1450" s="344" t="s">
        <v>1602</v>
      </c>
      <c r="E1450" s="345">
        <v>14.05</v>
      </c>
      <c r="F1450" s="346">
        <v>46251.0</v>
      </c>
      <c r="G1450" s="344" t="s">
        <v>8</v>
      </c>
      <c r="H1450" s="344" t="s">
        <v>12</v>
      </c>
      <c r="I1450" s="427" t="s">
        <v>4523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</row>
    <row r="1451" ht="22.5" customHeight="1">
      <c r="A1451" s="176" t="s">
        <v>4524</v>
      </c>
      <c r="B1451" s="342" t="s">
        <v>531</v>
      </c>
      <c r="C1451" s="343">
        <v>1.0</v>
      </c>
      <c r="D1451" s="344" t="s">
        <v>1602</v>
      </c>
      <c r="E1451" s="345">
        <v>13.41</v>
      </c>
      <c r="F1451" s="346">
        <v>46249.0</v>
      </c>
      <c r="G1451" s="344" t="s">
        <v>8</v>
      </c>
      <c r="H1451" s="344" t="s">
        <v>12</v>
      </c>
      <c r="I1451" s="427" t="s">
        <v>4523</v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</row>
    <row r="1452" ht="22.5" customHeight="1">
      <c r="A1452" s="176" t="s">
        <v>4525</v>
      </c>
      <c r="B1452" s="342">
        <v>5.304534551E9</v>
      </c>
      <c r="C1452" s="343">
        <v>1.0</v>
      </c>
      <c r="D1452" s="344" t="s">
        <v>1602</v>
      </c>
      <c r="E1452" s="345">
        <v>60.03</v>
      </c>
      <c r="F1452" s="346">
        <v>46248.0</v>
      </c>
      <c r="G1452" s="344" t="s">
        <v>9</v>
      </c>
      <c r="H1452" s="344" t="s">
        <v>12</v>
      </c>
      <c r="I1452" s="427" t="s">
        <v>4526</v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</row>
    <row r="1453" ht="22.5" customHeight="1">
      <c r="A1453" s="176" t="s">
        <v>4527</v>
      </c>
      <c r="B1453" s="369" t="s">
        <v>4528</v>
      </c>
      <c r="C1453" s="343">
        <v>1.0</v>
      </c>
      <c r="D1453" s="344" t="s">
        <v>1602</v>
      </c>
      <c r="E1453" s="345">
        <v>106.29</v>
      </c>
      <c r="F1453" s="346">
        <v>46250.0</v>
      </c>
      <c r="G1453" s="344" t="s">
        <v>9</v>
      </c>
      <c r="H1453" s="344" t="s">
        <v>1601</v>
      </c>
      <c r="I1453" s="427" t="s">
        <v>4529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</row>
    <row r="1454" ht="22.5" customHeight="1">
      <c r="A1454" s="176" t="s">
        <v>4530</v>
      </c>
      <c r="B1454" s="474" t="s">
        <v>1907</v>
      </c>
      <c r="C1454" s="337">
        <v>1.0</v>
      </c>
      <c r="D1454" s="334" t="s">
        <v>1602</v>
      </c>
      <c r="E1454" s="338">
        <v>84.87</v>
      </c>
      <c r="F1454" s="346">
        <v>46250.0</v>
      </c>
      <c r="G1454" s="334" t="s">
        <v>9</v>
      </c>
      <c r="H1454" s="334" t="s">
        <v>1601</v>
      </c>
      <c r="I1454" s="427" t="s">
        <v>4529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</row>
    <row r="1455" ht="22.5" customHeight="1">
      <c r="A1455" s="176" t="s">
        <v>4531</v>
      </c>
      <c r="B1455" s="369" t="s">
        <v>2143</v>
      </c>
      <c r="C1455" s="343">
        <v>1.0</v>
      </c>
      <c r="D1455" s="344" t="s">
        <v>1602</v>
      </c>
      <c r="E1455" s="345">
        <v>72.33</v>
      </c>
      <c r="F1455" s="346">
        <v>46249.0</v>
      </c>
      <c r="G1455" s="344" t="s">
        <v>9</v>
      </c>
      <c r="H1455" s="344" t="s">
        <v>1601</v>
      </c>
      <c r="I1455" s="427" t="s">
        <v>4532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</row>
    <row r="1456" ht="22.5" customHeight="1">
      <c r="A1456" s="291" t="s">
        <v>4533</v>
      </c>
      <c r="B1456" s="342">
        <v>5.304530033E9</v>
      </c>
      <c r="C1456" s="337">
        <v>1.0</v>
      </c>
      <c r="D1456" s="334" t="s">
        <v>1602</v>
      </c>
      <c r="E1456" s="338">
        <v>73.64</v>
      </c>
      <c r="F1456" s="346">
        <v>46249.0</v>
      </c>
      <c r="G1456" s="334" t="s">
        <v>9</v>
      </c>
      <c r="H1456" s="334" t="s">
        <v>1601</v>
      </c>
      <c r="I1456" s="427" t="s">
        <v>4451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</row>
    <row r="1457" ht="22.5" customHeight="1">
      <c r="A1457" s="176" t="s">
        <v>4534</v>
      </c>
      <c r="B1457" s="342" t="s">
        <v>4535</v>
      </c>
      <c r="C1457" s="343">
        <v>1.0</v>
      </c>
      <c r="D1457" s="344" t="s">
        <v>1532</v>
      </c>
      <c r="E1457" s="475"/>
      <c r="F1457" s="346">
        <v>46251.0</v>
      </c>
      <c r="G1457" s="344" t="s">
        <v>9</v>
      </c>
      <c r="H1457" s="344" t="s">
        <v>11</v>
      </c>
      <c r="I1457" s="427" t="s">
        <v>4536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</row>
    <row r="1458" ht="22.5" customHeight="1">
      <c r="A1458" s="176" t="s">
        <v>4537</v>
      </c>
      <c r="B1458" s="342" t="s">
        <v>2038</v>
      </c>
      <c r="C1458" s="343">
        <v>1.0</v>
      </c>
      <c r="D1458" s="344" t="s">
        <v>1602</v>
      </c>
      <c r="E1458" s="345">
        <v>107.16</v>
      </c>
      <c r="F1458" s="346">
        <v>46251.0</v>
      </c>
      <c r="G1458" s="344" t="s">
        <v>9</v>
      </c>
      <c r="H1458" s="344" t="s">
        <v>11</v>
      </c>
      <c r="I1458" s="427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</row>
    <row r="1459" ht="22.5" customHeight="1">
      <c r="A1459" s="176" t="s">
        <v>4538</v>
      </c>
      <c r="B1459" s="369" t="s">
        <v>700</v>
      </c>
      <c r="C1459" s="343">
        <v>1.0</v>
      </c>
      <c r="D1459" s="344" t="s">
        <v>1602</v>
      </c>
      <c r="E1459" s="345">
        <v>36.83</v>
      </c>
      <c r="F1459" s="346">
        <v>46250.0</v>
      </c>
      <c r="G1459" s="344" t="s">
        <v>9</v>
      </c>
      <c r="H1459" s="344" t="s">
        <v>11</v>
      </c>
      <c r="I1459" s="335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</row>
    <row r="1460" ht="22.5" customHeight="1">
      <c r="A1460" s="176" t="s">
        <v>4539</v>
      </c>
      <c r="B1460" s="474" t="s">
        <v>4540</v>
      </c>
      <c r="C1460" s="337">
        <v>1.0</v>
      </c>
      <c r="D1460" s="334" t="s">
        <v>1602</v>
      </c>
      <c r="E1460" s="338">
        <v>17.5</v>
      </c>
      <c r="F1460" s="339">
        <v>46251.0</v>
      </c>
      <c r="G1460" s="334" t="s">
        <v>9</v>
      </c>
      <c r="H1460" s="334" t="s">
        <v>53</v>
      </c>
      <c r="I1460" s="427" t="s">
        <v>4451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</row>
    <row r="1461" ht="22.5" customHeight="1">
      <c r="A1461" s="176" t="s">
        <v>4541</v>
      </c>
      <c r="B1461" s="369" t="s">
        <v>1771</v>
      </c>
      <c r="C1461" s="337">
        <v>1.0</v>
      </c>
      <c r="D1461" s="334" t="s">
        <v>1602</v>
      </c>
      <c r="E1461" s="338">
        <v>108.37</v>
      </c>
      <c r="F1461" s="339">
        <v>46251.0</v>
      </c>
      <c r="G1461" s="334" t="s">
        <v>9</v>
      </c>
      <c r="H1461" s="334" t="s">
        <v>1356</v>
      </c>
      <c r="I1461" s="340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</row>
    <row r="1462" ht="22.5" customHeight="1">
      <c r="A1462" s="354"/>
      <c r="B1462" s="358"/>
      <c r="C1462" s="356"/>
      <c r="D1462" s="358"/>
      <c r="E1462" s="464">
        <f>SUM(Table116[Order Earnings])</f>
        <v>694.48</v>
      </c>
      <c r="F1462" s="358"/>
      <c r="G1462" s="358"/>
      <c r="H1462" s="358"/>
      <c r="I1462" s="35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</row>
    <row r="1463">
      <c r="A1463" s="199"/>
      <c r="B1463" s="200"/>
      <c r="C1463" s="201"/>
      <c r="D1463" s="200"/>
      <c r="E1463" s="202"/>
      <c r="F1463" s="199"/>
      <c r="G1463" s="199"/>
      <c r="H1463" s="199"/>
      <c r="I1463" s="199"/>
    </row>
    <row r="1464">
      <c r="A1464" s="9"/>
      <c r="B1464" s="9"/>
      <c r="C1464" s="31"/>
      <c r="D1464" s="455">
        <v>46252.0</v>
      </c>
      <c r="E1464" s="353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</row>
    <row r="1465" ht="22.5" customHeight="1">
      <c r="A1465" s="456" t="s">
        <v>1467</v>
      </c>
      <c r="B1465" s="457" t="s">
        <v>1477</v>
      </c>
      <c r="C1465" s="457" t="s">
        <v>1478</v>
      </c>
      <c r="D1465" s="457" t="s">
        <v>1479</v>
      </c>
      <c r="E1465" s="458" t="s">
        <v>1481</v>
      </c>
      <c r="F1465" s="457" t="s">
        <v>1483</v>
      </c>
      <c r="G1465" s="457" t="s">
        <v>1484</v>
      </c>
      <c r="H1465" s="457" t="s">
        <v>1486</v>
      </c>
      <c r="I1465" s="457" t="s">
        <v>1489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</row>
    <row r="1466" ht="22.5" customHeight="1">
      <c r="A1466" s="176" t="s">
        <v>4542</v>
      </c>
      <c r="B1466" s="342">
        <v>5.304530688E9</v>
      </c>
      <c r="C1466" s="343">
        <v>1.0</v>
      </c>
      <c r="D1466" s="344" t="s">
        <v>1602</v>
      </c>
      <c r="E1466" s="345">
        <v>56.83</v>
      </c>
      <c r="F1466" s="346">
        <v>46252.0</v>
      </c>
      <c r="G1466" s="344" t="s">
        <v>8</v>
      </c>
      <c r="H1466" s="344" t="s">
        <v>11</v>
      </c>
      <c r="I1466" s="427" t="s">
        <v>4427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</row>
    <row r="1467" ht="22.5" customHeight="1">
      <c r="A1467" s="176" t="s">
        <v>4543</v>
      </c>
      <c r="B1467" s="342" t="s">
        <v>4544</v>
      </c>
      <c r="C1467" s="343">
        <v>1.0</v>
      </c>
      <c r="D1467" s="344" t="s">
        <v>1602</v>
      </c>
      <c r="E1467" s="345">
        <v>55.8</v>
      </c>
      <c r="F1467" s="346">
        <v>46251.0</v>
      </c>
      <c r="G1467" s="344" t="s">
        <v>9</v>
      </c>
      <c r="H1467" s="344" t="s">
        <v>1601</v>
      </c>
      <c r="I1467" s="427" t="s">
        <v>4545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</row>
    <row r="1468" ht="22.5" customHeight="1">
      <c r="A1468" s="518" t="s">
        <v>4546</v>
      </c>
      <c r="B1468" s="342" t="s">
        <v>1718</v>
      </c>
      <c r="C1468" s="343">
        <v>1.0</v>
      </c>
      <c r="D1468" s="344" t="s">
        <v>1602</v>
      </c>
      <c r="E1468" s="345">
        <v>28.31</v>
      </c>
      <c r="F1468" s="346">
        <v>46251.0</v>
      </c>
      <c r="G1468" s="344" t="s">
        <v>8</v>
      </c>
      <c r="H1468" s="344" t="s">
        <v>1601</v>
      </c>
      <c r="I1468" s="427" t="s">
        <v>4547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</row>
    <row r="1469" ht="22.5" customHeight="1">
      <c r="A1469" s="176" t="s">
        <v>4548</v>
      </c>
      <c r="B1469" s="342" t="s">
        <v>4549</v>
      </c>
      <c r="C1469" s="343">
        <v>1.0</v>
      </c>
      <c r="D1469" s="344" t="s">
        <v>1602</v>
      </c>
      <c r="E1469" s="345">
        <v>32.47</v>
      </c>
      <c r="F1469" s="346">
        <v>46251.0</v>
      </c>
      <c r="G1469" s="344" t="s">
        <v>9</v>
      </c>
      <c r="H1469" s="344" t="s">
        <v>12</v>
      </c>
      <c r="I1469" s="427" t="s">
        <v>4550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</row>
    <row r="1470" ht="22.5" customHeight="1">
      <c r="A1470" s="176" t="s">
        <v>4551</v>
      </c>
      <c r="B1470" s="342">
        <v>5.304529549E9</v>
      </c>
      <c r="C1470" s="343">
        <v>1.0</v>
      </c>
      <c r="D1470" s="344" t="s">
        <v>1602</v>
      </c>
      <c r="E1470" s="345">
        <v>6.92</v>
      </c>
      <c r="F1470" s="346">
        <v>46251.0</v>
      </c>
      <c r="G1470" s="344" t="s">
        <v>9</v>
      </c>
      <c r="H1470" s="344" t="s">
        <v>12</v>
      </c>
      <c r="I1470" s="427" t="s">
        <v>4550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</row>
    <row r="1471" ht="22.5" customHeight="1">
      <c r="A1471" s="176" t="s">
        <v>4552</v>
      </c>
      <c r="B1471" s="474" t="s">
        <v>206</v>
      </c>
      <c r="C1471" s="337">
        <v>2.0</v>
      </c>
      <c r="D1471" s="334" t="s">
        <v>1602</v>
      </c>
      <c r="E1471" s="338">
        <v>24.63</v>
      </c>
      <c r="F1471" s="339">
        <v>46251.0</v>
      </c>
      <c r="G1471" s="334" t="s">
        <v>9</v>
      </c>
      <c r="H1471" s="334" t="s">
        <v>12</v>
      </c>
      <c r="I1471" s="427" t="s">
        <v>4553</v>
      </c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</row>
    <row r="1472" ht="22.5" customHeight="1">
      <c r="A1472" s="176" t="s">
        <v>4554</v>
      </c>
      <c r="B1472" s="369" t="s">
        <v>981</v>
      </c>
      <c r="C1472" s="343">
        <v>2.0</v>
      </c>
      <c r="D1472" s="344" t="s">
        <v>1602</v>
      </c>
      <c r="E1472" s="345">
        <v>23.21</v>
      </c>
      <c r="F1472" s="346">
        <v>46251.0</v>
      </c>
      <c r="G1472" s="344" t="s">
        <v>9</v>
      </c>
      <c r="H1472" s="344" t="s">
        <v>12</v>
      </c>
      <c r="I1472" s="427" t="s">
        <v>4555</v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</row>
    <row r="1473" ht="22.5" customHeight="1">
      <c r="A1473" s="176" t="s">
        <v>4556</v>
      </c>
      <c r="B1473" s="369" t="s">
        <v>1420</v>
      </c>
      <c r="C1473" s="337">
        <v>1.0</v>
      </c>
      <c r="D1473" s="334" t="s">
        <v>1602</v>
      </c>
      <c r="E1473" s="338">
        <v>24.29</v>
      </c>
      <c r="F1473" s="339">
        <v>46252.0</v>
      </c>
      <c r="G1473" s="334" t="s">
        <v>9</v>
      </c>
      <c r="H1473" s="334" t="s">
        <v>12</v>
      </c>
      <c r="I1473" s="463" t="s">
        <v>4416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</row>
    <row r="1474" ht="22.5" customHeight="1">
      <c r="A1474" s="176" t="s">
        <v>4557</v>
      </c>
      <c r="B1474" s="369" t="s">
        <v>1381</v>
      </c>
      <c r="C1474" s="343">
        <v>1.0</v>
      </c>
      <c r="D1474" s="344" t="s">
        <v>1602</v>
      </c>
      <c r="E1474" s="345">
        <v>36.1</v>
      </c>
      <c r="F1474" s="346">
        <v>46252.0</v>
      </c>
      <c r="G1474" s="344" t="s">
        <v>9</v>
      </c>
      <c r="H1474" s="344" t="s">
        <v>12</v>
      </c>
      <c r="I1474" s="463" t="s">
        <v>4416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</row>
    <row r="1475" ht="22.5" customHeight="1">
      <c r="A1475" s="354"/>
      <c r="B1475" s="358"/>
      <c r="C1475" s="356"/>
      <c r="D1475" s="358"/>
      <c r="E1475" s="464">
        <f>SUM(Table117[Order Earnings])</f>
        <v>288.56</v>
      </c>
      <c r="F1475" s="358"/>
      <c r="G1475" s="358"/>
      <c r="H1475" s="358"/>
      <c r="I1475" s="35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</row>
    <row r="1476">
      <c r="A1476" s="199"/>
      <c r="B1476" s="200"/>
      <c r="C1476" s="201"/>
      <c r="D1476" s="200"/>
      <c r="E1476" s="202"/>
      <c r="F1476" s="199"/>
      <c r="G1476" s="199"/>
      <c r="H1476" s="199"/>
      <c r="I1476" s="199"/>
    </row>
    <row r="1477">
      <c r="A1477" s="9"/>
      <c r="B1477" s="9"/>
      <c r="C1477" s="31"/>
      <c r="D1477" s="455">
        <v>46253.0</v>
      </c>
      <c r="E1477" s="353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</row>
    <row r="1478" ht="22.5" customHeight="1">
      <c r="A1478" s="456" t="s">
        <v>1467</v>
      </c>
      <c r="B1478" s="457" t="s">
        <v>1477</v>
      </c>
      <c r="C1478" s="457" t="s">
        <v>1478</v>
      </c>
      <c r="D1478" s="457" t="s">
        <v>1479</v>
      </c>
      <c r="E1478" s="458" t="s">
        <v>1481</v>
      </c>
      <c r="F1478" s="457" t="s">
        <v>1483</v>
      </c>
      <c r="G1478" s="457" t="s">
        <v>1484</v>
      </c>
      <c r="H1478" s="457" t="s">
        <v>1486</v>
      </c>
      <c r="I1478" s="457" t="s">
        <v>1489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</row>
    <row r="1479" ht="22.5" customHeight="1">
      <c r="A1479" s="176" t="s">
        <v>4558</v>
      </c>
      <c r="B1479" s="342" t="s">
        <v>4559</v>
      </c>
      <c r="C1479" s="343">
        <v>1.0</v>
      </c>
      <c r="D1479" s="344" t="s">
        <v>1602</v>
      </c>
      <c r="E1479" s="345">
        <v>107.5</v>
      </c>
      <c r="F1479" s="346">
        <v>46252.0</v>
      </c>
      <c r="G1479" s="344" t="s">
        <v>9</v>
      </c>
      <c r="H1479" s="344" t="s">
        <v>53</v>
      </c>
      <c r="I1479" s="427" t="s">
        <v>4529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</row>
    <row r="1480" ht="22.5" customHeight="1">
      <c r="A1480" s="176" t="s">
        <v>4560</v>
      </c>
      <c r="B1480" s="342" t="s">
        <v>29</v>
      </c>
      <c r="C1480" s="343">
        <v>1.0</v>
      </c>
      <c r="D1480" s="344" t="s">
        <v>1602</v>
      </c>
      <c r="E1480" s="345">
        <v>126.68</v>
      </c>
      <c r="F1480" s="346">
        <v>46252.0</v>
      </c>
      <c r="G1480" s="344" t="s">
        <v>9</v>
      </c>
      <c r="H1480" s="344" t="s">
        <v>11</v>
      </c>
      <c r="I1480" s="427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</row>
    <row r="1481" ht="22.5" customHeight="1">
      <c r="A1481" s="176" t="s">
        <v>4561</v>
      </c>
      <c r="B1481" s="342">
        <v>1.1001011002469E13</v>
      </c>
      <c r="C1481" s="343">
        <v>1.0</v>
      </c>
      <c r="D1481" s="344" t="s">
        <v>1602</v>
      </c>
      <c r="E1481" s="345">
        <v>68.81</v>
      </c>
      <c r="F1481" s="346">
        <v>46252.0</v>
      </c>
      <c r="G1481" s="344" t="s">
        <v>9</v>
      </c>
      <c r="H1481" s="344" t="s">
        <v>1356</v>
      </c>
      <c r="I1481" s="427" t="s">
        <v>4427</v>
      </c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</row>
    <row r="1482" ht="22.5" customHeight="1">
      <c r="A1482" s="354"/>
      <c r="B1482" s="358"/>
      <c r="C1482" s="356"/>
      <c r="D1482" s="358"/>
      <c r="E1482" s="464">
        <f>SUM(Table118[Order Earnings])</f>
        <v>302.99</v>
      </c>
      <c r="F1482" s="358"/>
      <c r="G1482" s="358"/>
      <c r="H1482" s="358"/>
      <c r="I1482" s="35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</row>
    <row r="1483">
      <c r="A1483" s="199"/>
      <c r="B1483" s="200"/>
      <c r="C1483" s="201"/>
      <c r="D1483" s="200"/>
      <c r="E1483" s="202"/>
      <c r="F1483" s="199"/>
      <c r="G1483" s="199"/>
      <c r="H1483" s="199"/>
      <c r="I1483" s="199"/>
    </row>
    <row r="1484">
      <c r="A1484" s="9"/>
      <c r="B1484" s="9"/>
      <c r="C1484" s="31"/>
      <c r="D1484" s="455">
        <v>46254.0</v>
      </c>
      <c r="E1484" s="353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</row>
    <row r="1485" ht="22.5" customHeight="1">
      <c r="A1485" s="456" t="s">
        <v>1467</v>
      </c>
      <c r="B1485" s="457" t="s">
        <v>1477</v>
      </c>
      <c r="C1485" s="457" t="s">
        <v>1478</v>
      </c>
      <c r="D1485" s="457" t="s">
        <v>1479</v>
      </c>
      <c r="E1485" s="458" t="s">
        <v>1481</v>
      </c>
      <c r="F1485" s="457" t="s">
        <v>1483</v>
      </c>
      <c r="G1485" s="457" t="s">
        <v>1484</v>
      </c>
      <c r="H1485" s="457" t="s">
        <v>1486</v>
      </c>
      <c r="I1485" s="457" t="s">
        <v>1489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</row>
    <row r="1486" ht="22.5" customHeight="1">
      <c r="A1486" s="176" t="s">
        <v>4562</v>
      </c>
      <c r="B1486" s="342" t="s">
        <v>1284</v>
      </c>
      <c r="C1486" s="343">
        <v>1.0</v>
      </c>
      <c r="D1486" s="344" t="s">
        <v>1532</v>
      </c>
      <c r="E1486" s="345"/>
      <c r="F1486" s="346">
        <v>46252.0</v>
      </c>
      <c r="G1486" s="344" t="s">
        <v>9</v>
      </c>
      <c r="H1486" s="344" t="s">
        <v>1133</v>
      </c>
      <c r="I1486" s="427" t="s">
        <v>4563</v>
      </c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</row>
    <row r="1487" ht="22.5" customHeight="1">
      <c r="A1487" s="176" t="s">
        <v>4564</v>
      </c>
      <c r="B1487" s="519" t="s">
        <v>461</v>
      </c>
      <c r="C1487" s="343">
        <v>1.0</v>
      </c>
      <c r="D1487" s="344" t="s">
        <v>1532</v>
      </c>
      <c r="E1487" s="475"/>
      <c r="F1487" s="346">
        <v>46253.0</v>
      </c>
      <c r="G1487" s="344" t="s">
        <v>9</v>
      </c>
      <c r="H1487" s="344" t="s">
        <v>351</v>
      </c>
      <c r="I1487" s="427" t="s">
        <v>4565</v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</row>
    <row r="1488" ht="22.5" customHeight="1">
      <c r="A1488" s="176" t="s">
        <v>4566</v>
      </c>
      <c r="B1488" s="342" t="s">
        <v>171</v>
      </c>
      <c r="C1488" s="343">
        <v>1.0</v>
      </c>
      <c r="D1488" s="344" t="s">
        <v>1602</v>
      </c>
      <c r="E1488" s="345">
        <v>14.11</v>
      </c>
      <c r="F1488" s="346">
        <v>46254.0</v>
      </c>
      <c r="G1488" s="344" t="s">
        <v>8</v>
      </c>
      <c r="H1488" s="344" t="s">
        <v>11</v>
      </c>
      <c r="I1488" s="427" t="s">
        <v>4567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</row>
    <row r="1489" ht="22.5" customHeight="1">
      <c r="A1489" s="176" t="s">
        <v>4568</v>
      </c>
      <c r="B1489" s="342" t="s">
        <v>223</v>
      </c>
      <c r="C1489" s="343">
        <v>2.0</v>
      </c>
      <c r="D1489" s="344" t="s">
        <v>1602</v>
      </c>
      <c r="E1489" s="345">
        <v>30.81</v>
      </c>
      <c r="F1489" s="346">
        <v>46253.0</v>
      </c>
      <c r="G1489" s="344" t="s">
        <v>9</v>
      </c>
      <c r="H1489" s="344" t="s">
        <v>11</v>
      </c>
      <c r="I1489" s="427" t="s">
        <v>4567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</row>
    <row r="1490" ht="22.5" customHeight="1">
      <c r="A1490" s="176" t="s">
        <v>4569</v>
      </c>
      <c r="B1490" s="342">
        <v>5.304535821E9</v>
      </c>
      <c r="C1490" s="343">
        <v>1.0</v>
      </c>
      <c r="D1490" s="344" t="s">
        <v>1602</v>
      </c>
      <c r="E1490" s="345">
        <v>47.68</v>
      </c>
      <c r="F1490" s="346">
        <v>46253.0</v>
      </c>
      <c r="G1490" s="344" t="s">
        <v>9</v>
      </c>
      <c r="H1490" s="344" t="s">
        <v>1087</v>
      </c>
      <c r="I1490" s="335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</row>
    <row r="1491" ht="22.5" customHeight="1">
      <c r="A1491" s="176" t="s">
        <v>4570</v>
      </c>
      <c r="B1491" s="342" t="s">
        <v>4571</v>
      </c>
      <c r="C1491" s="343">
        <v>1.0</v>
      </c>
      <c r="D1491" s="344" t="s">
        <v>1602</v>
      </c>
      <c r="E1491" s="345">
        <v>63.83</v>
      </c>
      <c r="F1491" s="346">
        <v>46254.0</v>
      </c>
      <c r="G1491" s="344" t="s">
        <v>9</v>
      </c>
      <c r="H1491" s="344" t="s">
        <v>1601</v>
      </c>
      <c r="I1491" s="427" t="s">
        <v>4572</v>
      </c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</row>
    <row r="1492" ht="22.5" customHeight="1">
      <c r="A1492" s="176" t="s">
        <v>4573</v>
      </c>
      <c r="B1492" s="397" t="s">
        <v>3166</v>
      </c>
      <c r="C1492" s="343">
        <v>1.0</v>
      </c>
      <c r="D1492" s="344" t="s">
        <v>4574</v>
      </c>
      <c r="E1492" s="475"/>
      <c r="F1492" s="346">
        <v>46253.0</v>
      </c>
      <c r="G1492" s="344" t="s">
        <v>9</v>
      </c>
      <c r="H1492" s="344" t="s">
        <v>53</v>
      </c>
      <c r="I1492" s="427" t="s">
        <v>4575</v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</row>
    <row r="1493" ht="22.5" customHeight="1">
      <c r="A1493" s="176" t="s">
        <v>4576</v>
      </c>
      <c r="B1493" s="329" t="s">
        <v>106</v>
      </c>
      <c r="C1493" s="337">
        <v>1.0</v>
      </c>
      <c r="D1493" s="334" t="s">
        <v>1602</v>
      </c>
      <c r="E1493" s="338">
        <v>27.66</v>
      </c>
      <c r="F1493" s="339">
        <v>46254.0</v>
      </c>
      <c r="G1493" s="334" t="s">
        <v>9</v>
      </c>
      <c r="H1493" s="334" t="s">
        <v>12</v>
      </c>
      <c r="I1493" s="427" t="s">
        <v>4577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</row>
    <row r="1494" ht="22.5" customHeight="1">
      <c r="A1494" s="376" t="s">
        <v>4578</v>
      </c>
      <c r="B1494" s="342">
        <v>1.40282033103E11</v>
      </c>
      <c r="C1494" s="343">
        <v>1.0</v>
      </c>
      <c r="D1494" s="344" t="s">
        <v>1602</v>
      </c>
      <c r="E1494" s="345">
        <v>19.01</v>
      </c>
      <c r="F1494" s="346">
        <v>46254.0</v>
      </c>
      <c r="G1494" s="344" t="s">
        <v>9</v>
      </c>
      <c r="H1494" s="344" t="s">
        <v>12</v>
      </c>
      <c r="I1494" s="463" t="s">
        <v>4403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</row>
    <row r="1495" ht="22.5" customHeight="1">
      <c r="A1495" s="176" t="s">
        <v>4579</v>
      </c>
      <c r="B1495" s="342" t="s">
        <v>1901</v>
      </c>
      <c r="C1495" s="337">
        <v>1.0</v>
      </c>
      <c r="D1495" s="334" t="s">
        <v>1602</v>
      </c>
      <c r="E1495" s="338">
        <v>134.51</v>
      </c>
      <c r="F1495" s="339">
        <v>46253.0</v>
      </c>
      <c r="G1495" s="334" t="s">
        <v>9</v>
      </c>
      <c r="H1495" s="334" t="s">
        <v>12</v>
      </c>
      <c r="I1495" s="463" t="s">
        <v>4580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</row>
    <row r="1496" ht="22.5" customHeight="1">
      <c r="A1496" s="176" t="s">
        <v>4581</v>
      </c>
      <c r="B1496" s="342" t="s">
        <v>4582</v>
      </c>
      <c r="C1496" s="343">
        <v>1.0</v>
      </c>
      <c r="D1496" s="344" t="s">
        <v>1602</v>
      </c>
      <c r="E1496" s="345">
        <v>30.51</v>
      </c>
      <c r="F1496" s="346">
        <v>46253.0</v>
      </c>
      <c r="G1496" s="344" t="s">
        <v>9</v>
      </c>
      <c r="H1496" s="344" t="s">
        <v>12</v>
      </c>
      <c r="I1496" s="463" t="s">
        <v>4580</v>
      </c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</row>
    <row r="1497" ht="22.5" customHeight="1">
      <c r="A1497" s="176" t="s">
        <v>4583</v>
      </c>
      <c r="B1497" s="329" t="s">
        <v>1042</v>
      </c>
      <c r="C1497" s="337">
        <v>1.0</v>
      </c>
      <c r="D1497" s="334" t="s">
        <v>1602</v>
      </c>
      <c r="E1497" s="338">
        <v>29.01</v>
      </c>
      <c r="F1497" s="339">
        <v>46253.0</v>
      </c>
      <c r="G1497" s="334" t="s">
        <v>9</v>
      </c>
      <c r="H1497" s="334" t="s">
        <v>12</v>
      </c>
      <c r="I1497" s="463" t="s">
        <v>4403</v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</row>
    <row r="1498" ht="22.5" customHeight="1">
      <c r="A1498" s="176" t="s">
        <v>4584</v>
      </c>
      <c r="B1498" s="342" t="s">
        <v>4585</v>
      </c>
      <c r="C1498" s="343">
        <v>1.0</v>
      </c>
      <c r="D1498" s="344" t="s">
        <v>1602</v>
      </c>
      <c r="E1498" s="345">
        <v>296.45</v>
      </c>
      <c r="F1498" s="346">
        <v>46253.0</v>
      </c>
      <c r="G1498" s="344" t="s">
        <v>9</v>
      </c>
      <c r="H1498" s="344" t="s">
        <v>2243</v>
      </c>
      <c r="I1498" s="427" t="s">
        <v>4278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</row>
    <row r="1499" ht="22.5" customHeight="1">
      <c r="A1499" s="354"/>
      <c r="B1499" s="358"/>
      <c r="C1499" s="356"/>
      <c r="D1499" s="358"/>
      <c r="E1499" s="464">
        <f>SUM(Table119[Order Earnings])</f>
        <v>693.58</v>
      </c>
      <c r="F1499" s="358"/>
      <c r="G1499" s="358"/>
      <c r="H1499" s="358"/>
      <c r="I1499" s="35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</row>
    <row r="1500">
      <c r="A1500" s="199"/>
      <c r="B1500" s="200"/>
      <c r="C1500" s="201"/>
      <c r="D1500" s="200"/>
      <c r="E1500" s="202"/>
      <c r="F1500" s="199"/>
      <c r="G1500" s="199"/>
      <c r="H1500" s="199"/>
      <c r="I1500" s="199"/>
    </row>
    <row r="1501">
      <c r="A1501" s="9"/>
      <c r="B1501" s="9"/>
      <c r="C1501" s="31"/>
      <c r="D1501" s="455">
        <v>46255.0</v>
      </c>
      <c r="E1501" s="353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</row>
    <row r="1502" ht="22.5" customHeight="1">
      <c r="A1502" s="456" t="s">
        <v>1467</v>
      </c>
      <c r="B1502" s="457" t="s">
        <v>1477</v>
      </c>
      <c r="C1502" s="457" t="s">
        <v>1478</v>
      </c>
      <c r="D1502" s="457" t="s">
        <v>1479</v>
      </c>
      <c r="E1502" s="458" t="s">
        <v>1481</v>
      </c>
      <c r="F1502" s="457" t="s">
        <v>1483</v>
      </c>
      <c r="G1502" s="457" t="s">
        <v>1484</v>
      </c>
      <c r="H1502" s="457" t="s">
        <v>1486</v>
      </c>
      <c r="I1502" s="457" t="s">
        <v>1489</v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</row>
    <row r="1503" ht="22.5" customHeight="1">
      <c r="A1503" s="176" t="s">
        <v>4586</v>
      </c>
      <c r="B1503" s="342" t="s">
        <v>2173</v>
      </c>
      <c r="C1503" s="343">
        <v>1.0</v>
      </c>
      <c r="D1503" s="344" t="s">
        <v>1602</v>
      </c>
      <c r="E1503" s="345">
        <v>28.99</v>
      </c>
      <c r="F1503" s="346">
        <v>46254.0</v>
      </c>
      <c r="G1503" s="344" t="s">
        <v>9</v>
      </c>
      <c r="H1503" s="344" t="s">
        <v>1601</v>
      </c>
      <c r="I1503" s="427" t="s">
        <v>4587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</row>
    <row r="1504" ht="22.5" customHeight="1">
      <c r="A1504" s="176" t="s">
        <v>4588</v>
      </c>
      <c r="B1504" s="342" t="s">
        <v>2127</v>
      </c>
      <c r="C1504" s="343">
        <v>1.0</v>
      </c>
      <c r="D1504" s="344" t="s">
        <v>1602</v>
      </c>
      <c r="E1504" s="345">
        <v>13.33</v>
      </c>
      <c r="F1504" s="346">
        <v>46254.0</v>
      </c>
      <c r="G1504" s="344" t="s">
        <v>9</v>
      </c>
      <c r="H1504" s="344" t="s">
        <v>1601</v>
      </c>
      <c r="I1504" s="427" t="s">
        <v>4587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</row>
    <row r="1505" ht="22.5" customHeight="1">
      <c r="A1505" s="176" t="s">
        <v>4589</v>
      </c>
      <c r="B1505" s="342" t="s">
        <v>4590</v>
      </c>
      <c r="C1505" s="343">
        <v>1.0</v>
      </c>
      <c r="D1505" s="344" t="s">
        <v>1532</v>
      </c>
      <c r="E1505" s="475"/>
      <c r="F1505" s="346">
        <v>46254.0</v>
      </c>
      <c r="G1505" s="344" t="s">
        <v>9</v>
      </c>
      <c r="H1505" s="344" t="s">
        <v>53</v>
      </c>
      <c r="I1505" s="427" t="s">
        <v>4591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</row>
    <row r="1506" ht="22.5" customHeight="1">
      <c r="A1506" s="176" t="s">
        <v>4592</v>
      </c>
      <c r="B1506" s="342" t="s">
        <v>2808</v>
      </c>
      <c r="C1506" s="343">
        <v>1.0</v>
      </c>
      <c r="D1506" s="344" t="s">
        <v>1532</v>
      </c>
      <c r="E1506" s="345"/>
      <c r="F1506" s="346">
        <v>46254.0</v>
      </c>
      <c r="G1506" s="344" t="s">
        <v>9</v>
      </c>
      <c r="H1506" s="344" t="s">
        <v>3557</v>
      </c>
      <c r="I1506" s="427" t="s">
        <v>4593</v>
      </c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</row>
    <row r="1507" ht="22.5" customHeight="1">
      <c r="A1507" s="176" t="s">
        <v>4594</v>
      </c>
      <c r="B1507" s="369" t="s">
        <v>4595</v>
      </c>
      <c r="C1507" s="343">
        <v>1.0</v>
      </c>
      <c r="D1507" s="344" t="s">
        <v>1602</v>
      </c>
      <c r="E1507" s="345">
        <v>49.57</v>
      </c>
      <c r="F1507" s="346">
        <v>46254.0</v>
      </c>
      <c r="G1507" s="344" t="s">
        <v>9</v>
      </c>
      <c r="H1507" s="344" t="s">
        <v>12</v>
      </c>
      <c r="I1507" s="427" t="s">
        <v>4416</v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</row>
    <row r="1508" ht="22.5" customHeight="1">
      <c r="A1508" s="176" t="s">
        <v>4596</v>
      </c>
      <c r="B1508" s="369" t="s">
        <v>4408</v>
      </c>
      <c r="C1508" s="343">
        <v>1.0</v>
      </c>
      <c r="D1508" s="344" t="s">
        <v>3475</v>
      </c>
      <c r="E1508" s="345">
        <v>-22.63</v>
      </c>
      <c r="F1508" s="346">
        <v>46239.0</v>
      </c>
      <c r="G1508" s="344" t="s">
        <v>9</v>
      </c>
      <c r="H1508" s="344" t="s">
        <v>1087</v>
      </c>
      <c r="I1508" s="427" t="s">
        <v>4597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</row>
    <row r="1509" ht="22.5" customHeight="1">
      <c r="A1509" s="354"/>
      <c r="B1509" s="358"/>
      <c r="C1509" s="356"/>
      <c r="D1509" s="358"/>
      <c r="E1509" s="464">
        <f>SUM(Table120[Order Earnings])</f>
        <v>69.26</v>
      </c>
      <c r="F1509" s="358"/>
      <c r="G1509" s="358"/>
      <c r="H1509" s="358"/>
      <c r="I1509" s="35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</row>
    <row r="1510">
      <c r="A1510" s="199"/>
      <c r="B1510" s="200"/>
      <c r="C1510" s="201"/>
      <c r="D1510" s="200"/>
      <c r="E1510" s="202"/>
      <c r="F1510" s="199"/>
      <c r="G1510" s="199"/>
      <c r="H1510" s="199"/>
      <c r="I1510" s="199"/>
    </row>
    <row r="1511">
      <c r="A1511" s="9"/>
      <c r="B1511" s="9"/>
      <c r="C1511" s="31"/>
      <c r="D1511" s="455">
        <v>46258.0</v>
      </c>
      <c r="E1511" s="353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</row>
    <row r="1512" ht="22.5" customHeight="1">
      <c r="A1512" s="456" t="s">
        <v>1467</v>
      </c>
      <c r="B1512" s="457" t="s">
        <v>1477</v>
      </c>
      <c r="C1512" s="457" t="s">
        <v>1478</v>
      </c>
      <c r="D1512" s="457" t="s">
        <v>1479</v>
      </c>
      <c r="E1512" s="458" t="s">
        <v>1481</v>
      </c>
      <c r="F1512" s="457" t="s">
        <v>1483</v>
      </c>
      <c r="G1512" s="457" t="s">
        <v>1484</v>
      </c>
      <c r="H1512" s="457" t="s">
        <v>1486</v>
      </c>
      <c r="I1512" s="457" t="s">
        <v>1489</v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</row>
    <row r="1513" ht="22.5" customHeight="1">
      <c r="A1513" s="176" t="s">
        <v>4598</v>
      </c>
      <c r="B1513" s="342" t="s">
        <v>2615</v>
      </c>
      <c r="C1513" s="343">
        <v>1.0</v>
      </c>
      <c r="D1513" s="344" t="s">
        <v>1532</v>
      </c>
      <c r="E1513" s="345"/>
      <c r="F1513" s="346">
        <v>46257.0</v>
      </c>
      <c r="G1513" s="344" t="s">
        <v>9</v>
      </c>
      <c r="H1513" s="344" t="s">
        <v>3596</v>
      </c>
      <c r="I1513" s="427" t="s">
        <v>4599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</row>
    <row r="1514" ht="22.5" customHeight="1">
      <c r="A1514" s="176" t="s">
        <v>4600</v>
      </c>
      <c r="B1514" s="342" t="s">
        <v>3291</v>
      </c>
      <c r="C1514" s="343">
        <v>1.0</v>
      </c>
      <c r="D1514" s="344" t="s">
        <v>1602</v>
      </c>
      <c r="E1514" s="345">
        <v>37.15</v>
      </c>
      <c r="F1514" s="346">
        <v>46256.0</v>
      </c>
      <c r="G1514" s="344" t="s">
        <v>9</v>
      </c>
      <c r="H1514" s="344" t="s">
        <v>11</v>
      </c>
      <c r="I1514" s="427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</row>
    <row r="1515" ht="22.5" customHeight="1">
      <c r="A1515" s="176" t="s">
        <v>4601</v>
      </c>
      <c r="B1515" s="342" t="s">
        <v>4298</v>
      </c>
      <c r="C1515" s="343">
        <v>1.0</v>
      </c>
      <c r="D1515" s="344" t="s">
        <v>1602</v>
      </c>
      <c r="E1515" s="345">
        <v>36.46</v>
      </c>
      <c r="F1515" s="346">
        <v>46256.0</v>
      </c>
      <c r="G1515" s="344" t="s">
        <v>9</v>
      </c>
      <c r="H1515" s="344" t="s">
        <v>11</v>
      </c>
      <c r="I1515" s="335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</row>
    <row r="1516" ht="22.5" customHeight="1">
      <c r="A1516" s="176" t="s">
        <v>4602</v>
      </c>
      <c r="B1516" s="342" t="s">
        <v>1751</v>
      </c>
      <c r="C1516" s="343">
        <v>1.0</v>
      </c>
      <c r="D1516" s="344" t="s">
        <v>1602</v>
      </c>
      <c r="E1516" s="345">
        <v>26.38</v>
      </c>
      <c r="F1516" s="346">
        <v>46255.0</v>
      </c>
      <c r="G1516" s="344" t="s">
        <v>9</v>
      </c>
      <c r="H1516" s="344" t="s">
        <v>1356</v>
      </c>
      <c r="I1516" s="427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</row>
    <row r="1517" ht="22.5" customHeight="1">
      <c r="A1517" s="176" t="s">
        <v>4603</v>
      </c>
      <c r="B1517" s="369" t="s">
        <v>414</v>
      </c>
      <c r="C1517" s="343">
        <v>1.0</v>
      </c>
      <c r="D1517" s="344" t="s">
        <v>1532</v>
      </c>
      <c r="E1517" s="475"/>
      <c r="F1517" s="346">
        <v>46256.0</v>
      </c>
      <c r="G1517" s="344" t="s">
        <v>9</v>
      </c>
      <c r="H1517" s="344" t="s">
        <v>3380</v>
      </c>
      <c r="I1517" s="427" t="s">
        <v>4604</v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</row>
    <row r="1518" ht="22.5" customHeight="1">
      <c r="A1518" s="176" t="s">
        <v>4605</v>
      </c>
      <c r="B1518" s="329">
        <v>5.304493604E9</v>
      </c>
      <c r="C1518" s="337">
        <v>1.0</v>
      </c>
      <c r="D1518" s="334" t="s">
        <v>1602</v>
      </c>
      <c r="E1518" s="338">
        <v>14.71</v>
      </c>
      <c r="F1518" s="339">
        <v>46255.0</v>
      </c>
      <c r="G1518" s="334" t="s">
        <v>8</v>
      </c>
      <c r="H1518" s="334" t="s">
        <v>12</v>
      </c>
      <c r="I1518" s="427" t="s">
        <v>4606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</row>
    <row r="1519" ht="22.5" customHeight="1">
      <c r="A1519" s="176" t="s">
        <v>4607</v>
      </c>
      <c r="B1519" s="342">
        <v>5.304534551E9</v>
      </c>
      <c r="C1519" s="343">
        <v>1.0</v>
      </c>
      <c r="D1519" s="344" t="s">
        <v>1602</v>
      </c>
      <c r="E1519" s="345">
        <v>60.41</v>
      </c>
      <c r="F1519" s="346">
        <v>46255.0</v>
      </c>
      <c r="G1519" s="344" t="s">
        <v>9</v>
      </c>
      <c r="H1519" s="344" t="s">
        <v>12</v>
      </c>
      <c r="I1519" s="427" t="s">
        <v>4278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</row>
    <row r="1520" ht="22.5" customHeight="1">
      <c r="A1520" s="176" t="s">
        <v>4608</v>
      </c>
      <c r="B1520" s="369" t="s">
        <v>882</v>
      </c>
      <c r="C1520" s="337">
        <v>1.0</v>
      </c>
      <c r="D1520" s="334" t="s">
        <v>1602</v>
      </c>
      <c r="E1520" s="338">
        <v>17.59</v>
      </c>
      <c r="F1520" s="339">
        <v>46257.0</v>
      </c>
      <c r="G1520" s="334" t="s">
        <v>9</v>
      </c>
      <c r="H1520" s="334" t="s">
        <v>12</v>
      </c>
      <c r="I1520" s="463" t="s">
        <v>4609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</row>
    <row r="1521" ht="22.5" customHeight="1">
      <c r="A1521" s="176" t="s">
        <v>4610</v>
      </c>
      <c r="B1521" s="369" t="s">
        <v>1284</v>
      </c>
      <c r="C1521" s="343">
        <v>1.0</v>
      </c>
      <c r="D1521" s="344" t="s">
        <v>1602</v>
      </c>
      <c r="E1521" s="345">
        <v>146.34</v>
      </c>
      <c r="F1521" s="346">
        <v>46255.0</v>
      </c>
      <c r="G1521" s="344" t="s">
        <v>9</v>
      </c>
      <c r="H1521" s="344" t="s">
        <v>1133</v>
      </c>
      <c r="I1521" s="427" t="s">
        <v>4611</v>
      </c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</row>
    <row r="1522" ht="22.5" customHeight="1">
      <c r="A1522" s="176" t="s">
        <v>4612</v>
      </c>
      <c r="B1522" s="474" t="s">
        <v>2025</v>
      </c>
      <c r="C1522" s="337">
        <v>1.0</v>
      </c>
      <c r="D1522" s="334" t="s">
        <v>1602</v>
      </c>
      <c r="E1522" s="338">
        <v>45.55</v>
      </c>
      <c r="F1522" s="339">
        <v>46256.0</v>
      </c>
      <c r="G1522" s="334" t="s">
        <v>9</v>
      </c>
      <c r="H1522" s="334" t="s">
        <v>1601</v>
      </c>
      <c r="I1522" s="427" t="s">
        <v>4465</v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</row>
    <row r="1523" ht="22.5" customHeight="1">
      <c r="A1523" s="176" t="s">
        <v>4613</v>
      </c>
      <c r="B1523" s="520">
        <v>5.304530931E9</v>
      </c>
      <c r="C1523" s="337">
        <v>1.0</v>
      </c>
      <c r="D1523" s="334" t="s">
        <v>1602</v>
      </c>
      <c r="E1523" s="338">
        <v>64.13</v>
      </c>
      <c r="F1523" s="339">
        <v>46257.0</v>
      </c>
      <c r="G1523" s="334" t="s">
        <v>9</v>
      </c>
      <c r="H1523" s="334" t="s">
        <v>1601</v>
      </c>
      <c r="I1523" s="427" t="s">
        <v>4611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</row>
    <row r="1524" ht="22.5" customHeight="1">
      <c r="A1524" s="176" t="s">
        <v>4614</v>
      </c>
      <c r="B1524" s="318" t="s">
        <v>2044</v>
      </c>
      <c r="C1524" s="211">
        <v>1.0</v>
      </c>
      <c r="D1524" s="185" t="s">
        <v>1602</v>
      </c>
      <c r="E1524" s="188">
        <v>88.8</v>
      </c>
      <c r="F1524" s="183">
        <v>46258.0</v>
      </c>
      <c r="G1524" s="185" t="s">
        <v>9</v>
      </c>
      <c r="H1524" s="185" t="s">
        <v>1601</v>
      </c>
      <c r="I1524" s="186" t="s">
        <v>4465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</row>
    <row r="1525" ht="22.5" customHeight="1">
      <c r="A1525" s="176" t="s">
        <v>4615</v>
      </c>
      <c r="B1525" s="369" t="s">
        <v>4616</v>
      </c>
      <c r="C1525" s="343">
        <v>1.0</v>
      </c>
      <c r="D1525" s="344" t="s">
        <v>1602</v>
      </c>
      <c r="E1525" s="345">
        <v>13.49</v>
      </c>
      <c r="F1525" s="346">
        <v>46256.0</v>
      </c>
      <c r="G1525" s="344" t="s">
        <v>9</v>
      </c>
      <c r="H1525" s="344" t="s">
        <v>351</v>
      </c>
      <c r="I1525" s="427" t="s">
        <v>4617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</row>
    <row r="1526" ht="22.5" customHeight="1">
      <c r="A1526" s="176" t="s">
        <v>4618</v>
      </c>
      <c r="B1526" s="521" t="s">
        <v>598</v>
      </c>
      <c r="C1526" s="522">
        <v>1.0</v>
      </c>
      <c r="D1526" s="344" t="s">
        <v>1602</v>
      </c>
      <c r="E1526" s="345">
        <v>28.21</v>
      </c>
      <c r="F1526" s="346">
        <v>46255.0</v>
      </c>
      <c r="G1526" s="344" t="s">
        <v>9</v>
      </c>
      <c r="H1526" s="344" t="s">
        <v>351</v>
      </c>
      <c r="I1526" s="427" t="s">
        <v>4619</v>
      </c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</row>
    <row r="1527" ht="22.5" customHeight="1">
      <c r="A1527" s="176" t="s">
        <v>4620</v>
      </c>
      <c r="B1527" s="342" t="s">
        <v>647</v>
      </c>
      <c r="C1527" s="343">
        <v>1.0</v>
      </c>
      <c r="D1527" s="344" t="s">
        <v>1602</v>
      </c>
      <c r="E1527" s="345">
        <v>88.52</v>
      </c>
      <c r="F1527" s="346">
        <v>46258.0</v>
      </c>
      <c r="G1527" s="344" t="s">
        <v>9</v>
      </c>
      <c r="H1527" s="344" t="s">
        <v>351</v>
      </c>
      <c r="I1527" s="427" t="s">
        <v>3909</v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</row>
    <row r="1528" ht="22.5" customHeight="1">
      <c r="A1528" s="354"/>
      <c r="B1528" s="358"/>
      <c r="C1528" s="356"/>
      <c r="D1528" s="358"/>
      <c r="E1528" s="464">
        <f>SUM(Table121[Order Earnings])</f>
        <v>667.74</v>
      </c>
      <c r="F1528" s="358"/>
      <c r="G1528" s="358"/>
      <c r="H1528" s="358"/>
      <c r="I1528" s="35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</row>
    <row r="1529">
      <c r="A1529" s="199"/>
      <c r="B1529" s="200"/>
      <c r="C1529" s="201"/>
      <c r="D1529" s="200"/>
      <c r="E1529" s="202"/>
      <c r="F1529" s="199"/>
      <c r="G1529" s="199"/>
      <c r="H1529" s="199"/>
      <c r="I1529" s="199"/>
    </row>
    <row r="1530">
      <c r="A1530" s="9"/>
      <c r="B1530" s="9"/>
      <c r="C1530" s="31"/>
      <c r="D1530" s="455">
        <v>46259.0</v>
      </c>
      <c r="E1530" s="353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</row>
    <row r="1531" ht="22.5" customHeight="1">
      <c r="A1531" s="456" t="s">
        <v>1467</v>
      </c>
      <c r="B1531" s="457" t="s">
        <v>1477</v>
      </c>
      <c r="C1531" s="457" t="s">
        <v>1478</v>
      </c>
      <c r="D1531" s="457" t="s">
        <v>1479</v>
      </c>
      <c r="E1531" s="458" t="s">
        <v>1481</v>
      </c>
      <c r="F1531" s="457" t="s">
        <v>1483</v>
      </c>
      <c r="G1531" s="457" t="s">
        <v>1484</v>
      </c>
      <c r="H1531" s="457" t="s">
        <v>1486</v>
      </c>
      <c r="I1531" s="457" t="s">
        <v>1489</v>
      </c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</row>
    <row r="1532" ht="22.5" customHeight="1">
      <c r="A1532" s="176" t="s">
        <v>4621</v>
      </c>
      <c r="B1532" s="520">
        <v>5.304534597E9</v>
      </c>
      <c r="C1532" s="523">
        <v>1.0</v>
      </c>
      <c r="D1532" s="334" t="s">
        <v>1602</v>
      </c>
      <c r="E1532" s="338">
        <v>20.89</v>
      </c>
      <c r="F1532" s="339">
        <v>46256.0</v>
      </c>
      <c r="G1532" s="334" t="s">
        <v>9</v>
      </c>
      <c r="H1532" s="334" t="s">
        <v>53</v>
      </c>
      <c r="I1532" s="427" t="s">
        <v>4622</v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</row>
    <row r="1533" ht="22.5" customHeight="1">
      <c r="A1533" s="176" t="s">
        <v>4623</v>
      </c>
      <c r="B1533" s="524" t="s">
        <v>3208</v>
      </c>
      <c r="C1533" s="525">
        <v>1.0</v>
      </c>
      <c r="D1533" s="526" t="s">
        <v>1602</v>
      </c>
      <c r="E1533" s="345">
        <v>14.77</v>
      </c>
      <c r="F1533" s="346">
        <v>46256.0</v>
      </c>
      <c r="G1533" s="344" t="s">
        <v>9</v>
      </c>
      <c r="H1533" s="344" t="s">
        <v>53</v>
      </c>
      <c r="I1533" s="427" t="s">
        <v>4624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</row>
    <row r="1534" ht="22.5" customHeight="1">
      <c r="A1534" s="176" t="s">
        <v>4625</v>
      </c>
      <c r="B1534" s="527">
        <v>1.40287527075E11</v>
      </c>
      <c r="C1534" s="525">
        <v>1.0</v>
      </c>
      <c r="D1534" s="526" t="s">
        <v>1602</v>
      </c>
      <c r="E1534" s="345">
        <v>33.72</v>
      </c>
      <c r="F1534" s="346">
        <v>46258.0</v>
      </c>
      <c r="G1534" s="344" t="s">
        <v>9</v>
      </c>
      <c r="H1534" s="344" t="s">
        <v>53</v>
      </c>
      <c r="I1534" s="427" t="s">
        <v>4622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</row>
    <row r="1535" ht="22.5" customHeight="1">
      <c r="A1535" s="176" t="s">
        <v>4626</v>
      </c>
      <c r="B1535" s="527" t="s">
        <v>4627</v>
      </c>
      <c r="C1535" s="525">
        <v>1.0</v>
      </c>
      <c r="D1535" s="526" t="s">
        <v>1602</v>
      </c>
      <c r="E1535" s="345">
        <v>67.26</v>
      </c>
      <c r="F1535" s="346">
        <v>46258.0</v>
      </c>
      <c r="G1535" s="344" t="s">
        <v>9</v>
      </c>
      <c r="H1535" s="344" t="s">
        <v>53</v>
      </c>
      <c r="I1535" s="427" t="s">
        <v>4622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</row>
    <row r="1536" ht="22.5" customHeight="1">
      <c r="A1536" s="176" t="s">
        <v>4628</v>
      </c>
      <c r="B1536" s="528" t="s">
        <v>2462</v>
      </c>
      <c r="C1536" s="525">
        <v>1.0</v>
      </c>
      <c r="D1536" s="526" t="s">
        <v>1602</v>
      </c>
      <c r="E1536" s="345">
        <v>60.35</v>
      </c>
      <c r="F1536" s="346">
        <v>46258.0</v>
      </c>
      <c r="G1536" s="344" t="s">
        <v>9</v>
      </c>
      <c r="H1536" s="344" t="s">
        <v>53</v>
      </c>
      <c r="I1536" s="427" t="s">
        <v>4622</v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</row>
    <row r="1537" ht="22.5" customHeight="1">
      <c r="A1537" s="176" t="s">
        <v>4629</v>
      </c>
      <c r="B1537" s="529" t="s">
        <v>4630</v>
      </c>
      <c r="C1537" s="530">
        <v>1.0</v>
      </c>
      <c r="D1537" s="531" t="s">
        <v>1602</v>
      </c>
      <c r="E1537" s="338">
        <v>44.99</v>
      </c>
      <c r="F1537" s="339">
        <v>46259.0</v>
      </c>
      <c r="G1537" s="334" t="s">
        <v>9</v>
      </c>
      <c r="H1537" s="334" t="s">
        <v>53</v>
      </c>
      <c r="I1537" s="427" t="s">
        <v>4624</v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</row>
    <row r="1538" ht="22.5" customHeight="1">
      <c r="A1538" s="176" t="s">
        <v>4631</v>
      </c>
      <c r="B1538" s="369" t="s">
        <v>325</v>
      </c>
      <c r="C1538" s="343">
        <v>1.0</v>
      </c>
      <c r="D1538" s="344" t="s">
        <v>1602</v>
      </c>
      <c r="E1538" s="345">
        <v>4.48</v>
      </c>
      <c r="F1538" s="346">
        <v>46259.0</v>
      </c>
      <c r="G1538" s="344" t="s">
        <v>9</v>
      </c>
      <c r="H1538" s="344" t="s">
        <v>12</v>
      </c>
      <c r="I1538" s="427" t="s">
        <v>4632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</row>
    <row r="1539" ht="22.5" customHeight="1">
      <c r="A1539" s="176" t="s">
        <v>4633</v>
      </c>
      <c r="B1539" s="474" t="s">
        <v>318</v>
      </c>
      <c r="C1539" s="337">
        <v>3.0</v>
      </c>
      <c r="D1539" s="334" t="s">
        <v>1602</v>
      </c>
      <c r="E1539" s="338">
        <v>11.93</v>
      </c>
      <c r="F1539" s="339">
        <v>46259.0</v>
      </c>
      <c r="G1539" s="334" t="s">
        <v>8</v>
      </c>
      <c r="H1539" s="334" t="s">
        <v>12</v>
      </c>
      <c r="I1539" s="427" t="s">
        <v>4634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</row>
    <row r="1540" ht="22.5" customHeight="1">
      <c r="A1540" s="176" t="s">
        <v>4635</v>
      </c>
      <c r="B1540" s="474" t="s">
        <v>4636</v>
      </c>
      <c r="C1540" s="337">
        <v>1.0</v>
      </c>
      <c r="D1540" s="334" t="s">
        <v>1602</v>
      </c>
      <c r="E1540" s="338">
        <v>19.87</v>
      </c>
      <c r="F1540" s="339">
        <v>46258.0</v>
      </c>
      <c r="G1540" s="334" t="s">
        <v>9</v>
      </c>
      <c r="H1540" s="334" t="s">
        <v>11</v>
      </c>
      <c r="I1540" s="427" t="s">
        <v>4637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</row>
    <row r="1541" ht="22.5" customHeight="1">
      <c r="A1541" s="176" t="s">
        <v>4638</v>
      </c>
      <c r="B1541" s="369" t="s">
        <v>23</v>
      </c>
      <c r="C1541" s="343">
        <v>1.0</v>
      </c>
      <c r="D1541" s="344" t="s">
        <v>1602</v>
      </c>
      <c r="E1541" s="345">
        <v>13.03</v>
      </c>
      <c r="F1541" s="346">
        <v>46258.0</v>
      </c>
      <c r="G1541" s="344" t="s">
        <v>8</v>
      </c>
      <c r="H1541" s="344" t="s">
        <v>3530</v>
      </c>
      <c r="I1541" s="335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</row>
    <row r="1542" ht="22.5" customHeight="1">
      <c r="A1542" s="176" t="s">
        <v>4639</v>
      </c>
      <c r="B1542" s="369" t="s">
        <v>1425</v>
      </c>
      <c r="C1542" s="337">
        <v>1.0</v>
      </c>
      <c r="D1542" s="334" t="s">
        <v>1875</v>
      </c>
      <c r="E1542" s="338">
        <v>-56.6</v>
      </c>
      <c r="F1542" s="339">
        <v>46238.0</v>
      </c>
      <c r="G1542" s="334" t="s">
        <v>9</v>
      </c>
      <c r="H1542" s="334" t="s">
        <v>1356</v>
      </c>
      <c r="I1542" s="463" t="s">
        <v>4640</v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</row>
    <row r="1543" ht="22.5" customHeight="1">
      <c r="A1543" s="354"/>
      <c r="B1543" s="358"/>
      <c r="C1543" s="356"/>
      <c r="D1543" s="358"/>
      <c r="E1543" s="464">
        <f>SUM(Table122[Order Earnings])</f>
        <v>234.69</v>
      </c>
      <c r="F1543" s="358"/>
      <c r="G1543" s="358"/>
      <c r="H1543" s="358"/>
      <c r="I1543" s="35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</row>
    <row r="1544">
      <c r="A1544" s="199"/>
      <c r="B1544" s="200"/>
      <c r="C1544" s="201"/>
      <c r="D1544" s="200"/>
      <c r="E1544" s="202"/>
      <c r="F1544" s="199"/>
      <c r="G1544" s="199"/>
      <c r="H1544" s="199"/>
      <c r="I1544" s="199"/>
    </row>
    <row r="1545">
      <c r="A1545" s="9"/>
      <c r="B1545" s="9"/>
      <c r="C1545" s="31"/>
      <c r="D1545" s="455">
        <v>46260.0</v>
      </c>
      <c r="E1545" s="353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</row>
    <row r="1546" ht="22.5" customHeight="1">
      <c r="A1546" s="456" t="s">
        <v>1467</v>
      </c>
      <c r="B1546" s="457" t="s">
        <v>1477</v>
      </c>
      <c r="C1546" s="457" t="s">
        <v>1478</v>
      </c>
      <c r="D1546" s="457" t="s">
        <v>1479</v>
      </c>
      <c r="E1546" s="458" t="s">
        <v>1481</v>
      </c>
      <c r="F1546" s="457" t="s">
        <v>1483</v>
      </c>
      <c r="G1546" s="457" t="s">
        <v>1484</v>
      </c>
      <c r="H1546" s="457" t="s">
        <v>1486</v>
      </c>
      <c r="I1546" s="457" t="s">
        <v>1489</v>
      </c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</row>
    <row r="1547" ht="22.5" customHeight="1">
      <c r="A1547" s="418" t="s">
        <v>4641</v>
      </c>
      <c r="B1547" s="532" t="s">
        <v>4642</v>
      </c>
      <c r="C1547" s="533">
        <v>1.0</v>
      </c>
      <c r="D1547" s="534" t="s">
        <v>1602</v>
      </c>
      <c r="E1547" s="535">
        <v>13.37</v>
      </c>
      <c r="F1547" s="536">
        <v>46259.0</v>
      </c>
      <c r="G1547" s="537" t="s">
        <v>9</v>
      </c>
      <c r="H1547" s="538" t="s">
        <v>1133</v>
      </c>
      <c r="I1547" s="506" t="s">
        <v>4643</v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</row>
    <row r="1548" ht="22.5" customHeight="1">
      <c r="A1548" s="176" t="s">
        <v>4644</v>
      </c>
      <c r="B1548" s="527" t="s">
        <v>2805</v>
      </c>
      <c r="C1548" s="525">
        <v>1.0</v>
      </c>
      <c r="D1548" s="526" t="s">
        <v>1532</v>
      </c>
      <c r="E1548" s="475"/>
      <c r="F1548" s="346">
        <v>46259.0</v>
      </c>
      <c r="G1548" s="344" t="s">
        <v>9</v>
      </c>
      <c r="H1548" s="344" t="s">
        <v>3557</v>
      </c>
      <c r="I1548" s="427" t="s">
        <v>4645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</row>
    <row r="1549" ht="22.5" customHeight="1">
      <c r="A1549" s="176" t="s">
        <v>4646</v>
      </c>
      <c r="B1549" s="528" t="s">
        <v>4647</v>
      </c>
      <c r="C1549" s="525">
        <v>1.0</v>
      </c>
      <c r="D1549" s="526" t="s">
        <v>1532</v>
      </c>
      <c r="E1549" s="475"/>
      <c r="F1549" s="346">
        <v>46259.0</v>
      </c>
      <c r="G1549" s="344" t="s">
        <v>9</v>
      </c>
      <c r="H1549" s="344" t="s">
        <v>53</v>
      </c>
      <c r="I1549" s="427" t="s">
        <v>4648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</row>
    <row r="1550" ht="22.5" customHeight="1">
      <c r="A1550" s="176" t="s">
        <v>4649</v>
      </c>
      <c r="B1550" s="527" t="s">
        <v>2725</v>
      </c>
      <c r="C1550" s="525">
        <v>1.0</v>
      </c>
      <c r="D1550" s="526" t="s">
        <v>1602</v>
      </c>
      <c r="E1550" s="345">
        <v>143.79</v>
      </c>
      <c r="F1550" s="346">
        <v>46259.0</v>
      </c>
      <c r="G1550" s="344" t="s">
        <v>9</v>
      </c>
      <c r="H1550" s="344" t="s">
        <v>53</v>
      </c>
      <c r="I1550" s="427" t="s">
        <v>4650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</row>
    <row r="1551" ht="22.5" customHeight="1">
      <c r="A1551" s="176" t="s">
        <v>4651</v>
      </c>
      <c r="B1551" s="326" t="s">
        <v>1771</v>
      </c>
      <c r="C1551" s="539">
        <v>1.0</v>
      </c>
      <c r="D1551" s="334" t="s">
        <v>1602</v>
      </c>
      <c r="E1551" s="338">
        <v>127.71</v>
      </c>
      <c r="F1551" s="339">
        <v>46260.0</v>
      </c>
      <c r="G1551" s="334" t="s">
        <v>9</v>
      </c>
      <c r="H1551" s="334" t="s">
        <v>53</v>
      </c>
      <c r="I1551" s="427" t="s">
        <v>4652</v>
      </c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</row>
    <row r="1552" ht="22.5" customHeight="1">
      <c r="A1552" s="176" t="s">
        <v>4653</v>
      </c>
      <c r="B1552" s="540" t="s">
        <v>4654</v>
      </c>
      <c r="C1552" s="530">
        <v>1.0</v>
      </c>
      <c r="D1552" s="531" t="s">
        <v>1602</v>
      </c>
      <c r="E1552" s="338">
        <v>13.72</v>
      </c>
      <c r="F1552" s="339">
        <v>46259.0</v>
      </c>
      <c r="G1552" s="334" t="s">
        <v>9</v>
      </c>
      <c r="H1552" s="334" t="s">
        <v>351</v>
      </c>
      <c r="I1552" s="427" t="s">
        <v>4655</v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</row>
    <row r="1553" ht="22.5" customHeight="1">
      <c r="A1553" s="176" t="s">
        <v>4656</v>
      </c>
      <c r="B1553" s="527" t="s">
        <v>639</v>
      </c>
      <c r="C1553" s="525">
        <v>1.0</v>
      </c>
      <c r="D1553" s="526" t="s">
        <v>1602</v>
      </c>
      <c r="E1553" s="345">
        <v>186.64</v>
      </c>
      <c r="F1553" s="346">
        <v>46260.0</v>
      </c>
      <c r="G1553" s="344" t="s">
        <v>9</v>
      </c>
      <c r="H1553" s="344" t="s">
        <v>351</v>
      </c>
      <c r="I1553" s="427" t="s">
        <v>4657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</row>
    <row r="1554" ht="22.5" customHeight="1">
      <c r="A1554" s="401" t="s">
        <v>4658</v>
      </c>
      <c r="B1554" s="342">
        <v>1.0397318E7</v>
      </c>
      <c r="C1554" s="343">
        <v>1.0</v>
      </c>
      <c r="D1554" s="344" t="s">
        <v>1602</v>
      </c>
      <c r="E1554" s="345">
        <v>357.94</v>
      </c>
      <c r="F1554" s="346">
        <v>46260.0</v>
      </c>
      <c r="G1554" s="344" t="s">
        <v>8</v>
      </c>
      <c r="H1554" s="344" t="s">
        <v>12</v>
      </c>
      <c r="I1554" s="427" t="s">
        <v>4659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</row>
    <row r="1555" ht="22.5" customHeight="1">
      <c r="A1555" s="376" t="s">
        <v>4660</v>
      </c>
      <c r="B1555" s="329" t="s">
        <v>4661</v>
      </c>
      <c r="C1555" s="541"/>
      <c r="D1555" s="334" t="s">
        <v>1602</v>
      </c>
      <c r="E1555" s="338">
        <v>12.62</v>
      </c>
      <c r="F1555" s="339">
        <v>46259.0</v>
      </c>
      <c r="G1555" s="334" t="s">
        <v>9</v>
      </c>
      <c r="H1555" s="334" t="s">
        <v>12</v>
      </c>
      <c r="I1555" s="427" t="s">
        <v>4662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</row>
    <row r="1556" ht="22.5" customHeight="1">
      <c r="A1556" s="176" t="s">
        <v>4663</v>
      </c>
      <c r="B1556" s="342" t="s">
        <v>1257</v>
      </c>
      <c r="C1556" s="343">
        <v>1.0</v>
      </c>
      <c r="D1556" s="344" t="s">
        <v>1602</v>
      </c>
      <c r="E1556" s="345">
        <v>27.34</v>
      </c>
      <c r="F1556" s="346">
        <v>46259.0</v>
      </c>
      <c r="G1556" s="344" t="s">
        <v>9</v>
      </c>
      <c r="H1556" s="344" t="s">
        <v>12</v>
      </c>
      <c r="I1556" s="427" t="s">
        <v>4278</v>
      </c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</row>
    <row r="1557" ht="22.5" customHeight="1">
      <c r="A1557" s="176" t="s">
        <v>4664</v>
      </c>
      <c r="B1557" s="329" t="s">
        <v>1737</v>
      </c>
      <c r="C1557" s="337">
        <v>1.0</v>
      </c>
      <c r="D1557" s="334" t="s">
        <v>1602</v>
      </c>
      <c r="E1557" s="338">
        <v>30.81</v>
      </c>
      <c r="F1557" s="339">
        <v>46260.0</v>
      </c>
      <c r="G1557" s="334" t="s">
        <v>9</v>
      </c>
      <c r="H1557" s="334" t="s">
        <v>1356</v>
      </c>
      <c r="I1557" s="335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</row>
    <row r="1558" ht="22.5" customHeight="1">
      <c r="A1558" s="176" t="s">
        <v>4665</v>
      </c>
      <c r="B1558" s="177" t="s">
        <v>4666</v>
      </c>
      <c r="C1558" s="211">
        <v>1.0</v>
      </c>
      <c r="D1558" s="185" t="s">
        <v>1602</v>
      </c>
      <c r="E1558" s="188">
        <v>47.43</v>
      </c>
      <c r="F1558" s="183">
        <v>46259.0</v>
      </c>
      <c r="G1558" s="185" t="s">
        <v>9</v>
      </c>
      <c r="H1558" s="185" t="s">
        <v>11</v>
      </c>
      <c r="I1558" s="18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</row>
    <row r="1559" ht="22.5" customHeight="1">
      <c r="A1559" s="176" t="s">
        <v>4667</v>
      </c>
      <c r="B1559" s="369" t="s">
        <v>69</v>
      </c>
      <c r="C1559" s="343">
        <v>1.0</v>
      </c>
      <c r="D1559" s="344" t="s">
        <v>1875</v>
      </c>
      <c r="E1559" s="345">
        <v>-80.3</v>
      </c>
      <c r="F1559" s="346">
        <v>46240.0</v>
      </c>
      <c r="G1559" s="344" t="s">
        <v>8</v>
      </c>
      <c r="H1559" s="344" t="s">
        <v>3530</v>
      </c>
      <c r="I1559" s="427" t="s">
        <v>4668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</row>
    <row r="1560" ht="22.5" customHeight="1">
      <c r="A1560" s="354"/>
      <c r="B1560" s="358"/>
      <c r="C1560" s="356"/>
      <c r="D1560" s="358"/>
      <c r="E1560" s="464">
        <f>SUM(Table123[Order Earnings])</f>
        <v>881.07</v>
      </c>
      <c r="F1560" s="358"/>
      <c r="G1560" s="358"/>
      <c r="H1560" s="358"/>
      <c r="I1560" s="35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</row>
    <row r="1561">
      <c r="A1561" s="199"/>
      <c r="B1561" s="200"/>
      <c r="C1561" s="201"/>
      <c r="D1561" s="200"/>
      <c r="E1561" s="202"/>
      <c r="F1561" s="199"/>
      <c r="G1561" s="199"/>
      <c r="H1561" s="199"/>
      <c r="I1561" s="199"/>
    </row>
    <row r="1562">
      <c r="A1562" s="9"/>
      <c r="B1562" s="9"/>
      <c r="C1562" s="31"/>
      <c r="D1562" s="455">
        <v>46261.0</v>
      </c>
      <c r="E1562" s="353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</row>
    <row r="1563" ht="22.5" customHeight="1">
      <c r="A1563" s="456" t="s">
        <v>1467</v>
      </c>
      <c r="B1563" s="457" t="s">
        <v>1477</v>
      </c>
      <c r="C1563" s="457" t="s">
        <v>1478</v>
      </c>
      <c r="D1563" s="457" t="s">
        <v>1479</v>
      </c>
      <c r="E1563" s="458" t="s">
        <v>1481</v>
      </c>
      <c r="F1563" s="457" t="s">
        <v>1483</v>
      </c>
      <c r="G1563" s="457" t="s">
        <v>1484</v>
      </c>
      <c r="H1563" s="457" t="s">
        <v>1486</v>
      </c>
      <c r="I1563" s="457" t="s">
        <v>1489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</row>
    <row r="1564" ht="22.5" customHeight="1">
      <c r="A1564" s="176" t="s">
        <v>4669</v>
      </c>
      <c r="B1564" s="527" t="s">
        <v>2162</v>
      </c>
      <c r="C1564" s="525">
        <v>1.0</v>
      </c>
      <c r="D1564" s="526" t="s">
        <v>1602</v>
      </c>
      <c r="E1564" s="345">
        <v>103.29</v>
      </c>
      <c r="F1564" s="346">
        <v>46259.0</v>
      </c>
      <c r="G1564" s="344" t="s">
        <v>9</v>
      </c>
      <c r="H1564" s="344" t="s">
        <v>1601</v>
      </c>
      <c r="I1564" s="427" t="s">
        <v>4670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</row>
    <row r="1565" ht="22.5" customHeight="1">
      <c r="A1565" s="176" t="s">
        <v>4671</v>
      </c>
      <c r="B1565" s="441" t="s">
        <v>1915</v>
      </c>
      <c r="C1565" s="539">
        <v>1.0</v>
      </c>
      <c r="D1565" s="334" t="s">
        <v>1532</v>
      </c>
      <c r="E1565" s="489"/>
      <c r="F1565" s="339">
        <v>46260.0</v>
      </c>
      <c r="G1565" s="334" t="s">
        <v>8</v>
      </c>
      <c r="H1565" s="334" t="s">
        <v>1601</v>
      </c>
      <c r="I1565" s="542" t="s">
        <v>4672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</row>
    <row r="1566" ht="22.5" customHeight="1">
      <c r="A1566" s="176" t="s">
        <v>4673</v>
      </c>
      <c r="B1566" s="527" t="s">
        <v>4674</v>
      </c>
      <c r="C1566" s="525">
        <v>1.0</v>
      </c>
      <c r="D1566" s="526" t="s">
        <v>1602</v>
      </c>
      <c r="E1566" s="345">
        <v>67.49</v>
      </c>
      <c r="F1566" s="346">
        <v>46261.0</v>
      </c>
      <c r="G1566" s="344" t="s">
        <v>9</v>
      </c>
      <c r="H1566" s="344" t="s">
        <v>11</v>
      </c>
      <c r="I1566" s="543" t="s">
        <v>4490</v>
      </c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</row>
    <row r="1567" ht="22.5" customHeight="1">
      <c r="A1567" s="176" t="s">
        <v>4675</v>
      </c>
      <c r="B1567" s="544" t="s">
        <v>1257</v>
      </c>
      <c r="C1567" s="525">
        <v>1.0</v>
      </c>
      <c r="D1567" s="526" t="s">
        <v>1602</v>
      </c>
      <c r="E1567" s="345">
        <v>32.62</v>
      </c>
      <c r="F1567" s="346">
        <v>46261.0</v>
      </c>
      <c r="G1567" s="344" t="s">
        <v>9</v>
      </c>
      <c r="H1567" s="344" t="s">
        <v>12</v>
      </c>
      <c r="I1567" s="427" t="s">
        <v>4278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</row>
    <row r="1568" ht="22.5" customHeight="1">
      <c r="A1568" s="176" t="s">
        <v>4676</v>
      </c>
      <c r="B1568" s="540" t="s">
        <v>402</v>
      </c>
      <c r="C1568" s="530">
        <v>1.0</v>
      </c>
      <c r="D1568" s="531" t="s">
        <v>1602</v>
      </c>
      <c r="E1568" s="338">
        <v>18.45</v>
      </c>
      <c r="F1568" s="339">
        <v>46260.0</v>
      </c>
      <c r="G1568" s="334" t="s">
        <v>9</v>
      </c>
      <c r="H1568" s="334" t="s">
        <v>12</v>
      </c>
      <c r="I1568" s="427" t="s">
        <v>4416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</row>
    <row r="1569" ht="22.5" customHeight="1">
      <c r="A1569" s="176" t="s">
        <v>4677</v>
      </c>
      <c r="B1569" s="527" t="s">
        <v>102</v>
      </c>
      <c r="C1569" s="525">
        <v>1.0</v>
      </c>
      <c r="D1569" s="526" t="s">
        <v>1602</v>
      </c>
      <c r="E1569" s="345">
        <v>139.58</v>
      </c>
      <c r="F1569" s="346">
        <v>46260.0</v>
      </c>
      <c r="G1569" s="344" t="s">
        <v>9</v>
      </c>
      <c r="H1569" s="344" t="s">
        <v>12</v>
      </c>
      <c r="I1569" s="427" t="s">
        <v>4416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</row>
    <row r="1570" ht="22.5" customHeight="1">
      <c r="A1570" s="176" t="s">
        <v>4678</v>
      </c>
      <c r="B1570" s="177" t="s">
        <v>1606</v>
      </c>
      <c r="C1570" s="539">
        <v>1.0</v>
      </c>
      <c r="D1570" s="334" t="s">
        <v>1875</v>
      </c>
      <c r="E1570" s="338">
        <v>-74.43</v>
      </c>
      <c r="F1570" s="339">
        <v>46240.0</v>
      </c>
      <c r="G1570" s="334" t="s">
        <v>9</v>
      </c>
      <c r="H1570" s="334" t="s">
        <v>12</v>
      </c>
      <c r="I1570" s="427" t="s">
        <v>4679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</row>
    <row r="1571" ht="22.5" customHeight="1">
      <c r="A1571" s="354"/>
      <c r="B1571" s="358"/>
      <c r="C1571" s="356"/>
      <c r="D1571" s="358"/>
      <c r="E1571" s="464">
        <f>SUM(Table124[Order Earnings])</f>
        <v>287</v>
      </c>
      <c r="F1571" s="358"/>
      <c r="G1571" s="358"/>
      <c r="H1571" s="358"/>
      <c r="I1571" s="35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</row>
    <row r="1572">
      <c r="A1572" s="199"/>
      <c r="B1572" s="200"/>
      <c r="C1572" s="201"/>
      <c r="D1572" s="200"/>
      <c r="E1572" s="202"/>
      <c r="F1572" s="199"/>
      <c r="G1572" s="199"/>
      <c r="H1572" s="199"/>
      <c r="I1572" s="199"/>
    </row>
    <row r="1573">
      <c r="A1573" s="9"/>
      <c r="B1573" s="9"/>
      <c r="C1573" s="31"/>
      <c r="D1573" s="455">
        <v>46262.0</v>
      </c>
      <c r="E1573" s="353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</row>
    <row r="1574" ht="22.5" customHeight="1">
      <c r="A1574" s="456" t="s">
        <v>1467</v>
      </c>
      <c r="B1574" s="457" t="s">
        <v>1477</v>
      </c>
      <c r="C1574" s="457" t="s">
        <v>1478</v>
      </c>
      <c r="D1574" s="457" t="s">
        <v>1479</v>
      </c>
      <c r="E1574" s="458" t="s">
        <v>1481</v>
      </c>
      <c r="F1574" s="457" t="s">
        <v>1483</v>
      </c>
      <c r="G1574" s="457" t="s">
        <v>1484</v>
      </c>
      <c r="H1574" s="457" t="s">
        <v>1486</v>
      </c>
      <c r="I1574" s="457" t="s">
        <v>1489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</row>
    <row r="1575" ht="22.5" customHeight="1">
      <c r="A1575" s="176" t="s">
        <v>4680</v>
      </c>
      <c r="B1575" s="527" t="s">
        <v>477</v>
      </c>
      <c r="C1575" s="525">
        <v>1.0</v>
      </c>
      <c r="D1575" s="526" t="s">
        <v>1602</v>
      </c>
      <c r="E1575" s="188">
        <v>52.34</v>
      </c>
      <c r="F1575" s="346">
        <v>46261.0</v>
      </c>
      <c r="G1575" s="344" t="s">
        <v>9</v>
      </c>
      <c r="H1575" s="344" t="s">
        <v>11</v>
      </c>
      <c r="I1575" s="543" t="s">
        <v>4681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</row>
    <row r="1576" ht="22.5" customHeight="1">
      <c r="A1576" s="176" t="s">
        <v>4682</v>
      </c>
      <c r="B1576" s="527">
        <v>5.30453219E9</v>
      </c>
      <c r="C1576" s="525">
        <v>2.0</v>
      </c>
      <c r="D1576" s="526" t="s">
        <v>1602</v>
      </c>
      <c r="E1576" s="345">
        <v>111.53</v>
      </c>
      <c r="F1576" s="346">
        <v>46261.0</v>
      </c>
      <c r="G1576" s="344" t="s">
        <v>9</v>
      </c>
      <c r="H1576" s="344" t="s">
        <v>11</v>
      </c>
      <c r="I1576" s="543" t="s">
        <v>4681</v>
      </c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</row>
    <row r="1577" ht="22.5" customHeight="1">
      <c r="A1577" s="176" t="s">
        <v>4683</v>
      </c>
      <c r="B1577" s="527" t="s">
        <v>206</v>
      </c>
      <c r="C1577" s="525">
        <v>1.0</v>
      </c>
      <c r="D1577" s="526" t="s">
        <v>1602</v>
      </c>
      <c r="E1577" s="345">
        <v>11.83</v>
      </c>
      <c r="F1577" s="346">
        <v>46261.0</v>
      </c>
      <c r="G1577" s="344" t="s">
        <v>9</v>
      </c>
      <c r="H1577" s="344" t="s">
        <v>1087</v>
      </c>
      <c r="I1577" s="543" t="s">
        <v>4681</v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</row>
    <row r="1578" ht="22.5" customHeight="1">
      <c r="A1578" s="176" t="s">
        <v>4684</v>
      </c>
      <c r="B1578" s="527">
        <v>2.42018303E8</v>
      </c>
      <c r="C1578" s="525">
        <v>1.0</v>
      </c>
      <c r="D1578" s="526" t="s">
        <v>1602</v>
      </c>
      <c r="E1578" s="345">
        <v>24.2</v>
      </c>
      <c r="F1578" s="346">
        <v>46261.0</v>
      </c>
      <c r="G1578" s="344" t="s">
        <v>9</v>
      </c>
      <c r="H1578" s="344" t="s">
        <v>1601</v>
      </c>
      <c r="I1578" s="427" t="s">
        <v>4685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</row>
    <row r="1579" ht="22.5" customHeight="1">
      <c r="A1579" s="176" t="s">
        <v>4686</v>
      </c>
      <c r="B1579" s="441" t="s">
        <v>4687</v>
      </c>
      <c r="C1579" s="539">
        <v>1.0</v>
      </c>
      <c r="D1579" s="334" t="s">
        <v>1602</v>
      </c>
      <c r="E1579" s="338">
        <v>17.56</v>
      </c>
      <c r="F1579" s="339">
        <v>46261.0</v>
      </c>
      <c r="G1579" s="334" t="s">
        <v>9</v>
      </c>
      <c r="H1579" s="334" t="s">
        <v>53</v>
      </c>
      <c r="I1579" s="351" t="s">
        <v>4685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</row>
    <row r="1580" ht="22.5" customHeight="1">
      <c r="A1580" s="176" t="s">
        <v>4688</v>
      </c>
      <c r="B1580" s="527" t="s">
        <v>2302</v>
      </c>
      <c r="C1580" s="525">
        <v>1.0</v>
      </c>
      <c r="D1580" s="526" t="s">
        <v>1602</v>
      </c>
      <c r="E1580" s="345">
        <v>25.72</v>
      </c>
      <c r="F1580" s="346">
        <v>46261.0</v>
      </c>
      <c r="G1580" s="344" t="s">
        <v>8</v>
      </c>
      <c r="H1580" s="344" t="s">
        <v>12</v>
      </c>
      <c r="I1580" s="427" t="s">
        <v>4511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</row>
    <row r="1581" ht="22.5" customHeight="1">
      <c r="A1581" s="376" t="s">
        <v>4689</v>
      </c>
      <c r="B1581" s="544" t="s">
        <v>2790</v>
      </c>
      <c r="C1581" s="525">
        <v>1.0</v>
      </c>
      <c r="D1581" s="526" t="s">
        <v>1602</v>
      </c>
      <c r="E1581" s="345">
        <v>88.7</v>
      </c>
      <c r="F1581" s="346">
        <v>46261.0</v>
      </c>
      <c r="G1581" s="344" t="s">
        <v>8</v>
      </c>
      <c r="H1581" s="344" t="s">
        <v>12</v>
      </c>
      <c r="I1581" s="427" t="s">
        <v>4511</v>
      </c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</row>
    <row r="1582" ht="22.5" customHeight="1">
      <c r="A1582" s="176" t="s">
        <v>4690</v>
      </c>
      <c r="B1582" s="540" t="s">
        <v>380</v>
      </c>
      <c r="C1582" s="530">
        <v>1.0</v>
      </c>
      <c r="D1582" s="531" t="s">
        <v>1602</v>
      </c>
      <c r="E1582" s="338">
        <v>24.04</v>
      </c>
      <c r="F1582" s="339">
        <v>46262.0</v>
      </c>
      <c r="G1582" s="334" t="s">
        <v>9</v>
      </c>
      <c r="H1582" s="334" t="s">
        <v>351</v>
      </c>
      <c r="I1582" s="427" t="s">
        <v>4691</v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</row>
    <row r="1583" ht="22.5" customHeight="1">
      <c r="A1583" s="354"/>
      <c r="B1583" s="358"/>
      <c r="C1583" s="356"/>
      <c r="D1583" s="358"/>
      <c r="E1583" s="464">
        <f>SUM(Table125[Order Earnings])</f>
        <v>355.92</v>
      </c>
      <c r="F1583" s="358"/>
      <c r="G1583" s="358"/>
      <c r="H1583" s="358"/>
      <c r="I1583" s="35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</row>
    <row r="1584">
      <c r="A1584" s="199"/>
      <c r="B1584" s="200"/>
      <c r="C1584" s="201"/>
      <c r="D1584" s="200"/>
      <c r="E1584" s="202"/>
      <c r="F1584" s="199"/>
      <c r="G1584" s="199"/>
      <c r="H1584" s="199"/>
      <c r="I1584" s="199"/>
    </row>
    <row r="1585">
      <c r="A1585" s="9"/>
      <c r="B1585" s="9"/>
      <c r="C1585" s="31"/>
      <c r="D1585" s="455">
        <v>46265.0</v>
      </c>
      <c r="E1585" s="353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</row>
    <row r="1586" ht="22.5" customHeight="1">
      <c r="A1586" s="456" t="s">
        <v>1467</v>
      </c>
      <c r="B1586" s="457" t="s">
        <v>1477</v>
      </c>
      <c r="C1586" s="457" t="s">
        <v>1478</v>
      </c>
      <c r="D1586" s="457" t="s">
        <v>1479</v>
      </c>
      <c r="E1586" s="458" t="s">
        <v>1481</v>
      </c>
      <c r="F1586" s="457" t="s">
        <v>1483</v>
      </c>
      <c r="G1586" s="457" t="s">
        <v>1484</v>
      </c>
      <c r="H1586" s="457" t="s">
        <v>1486</v>
      </c>
      <c r="I1586" s="457" t="s">
        <v>1489</v>
      </c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</row>
    <row r="1587" ht="22.5" customHeight="1">
      <c r="A1587" s="176" t="s">
        <v>4692</v>
      </c>
      <c r="B1587" s="527">
        <v>1.7431000001476E13</v>
      </c>
      <c r="C1587" s="525">
        <v>1.0</v>
      </c>
      <c r="D1587" s="526" t="s">
        <v>1532</v>
      </c>
      <c r="E1587" s="475"/>
      <c r="F1587" s="346">
        <v>46262.0</v>
      </c>
      <c r="G1587" s="344" t="s">
        <v>9</v>
      </c>
      <c r="H1587" s="344" t="s">
        <v>1356</v>
      </c>
      <c r="I1587" s="427" t="s">
        <v>4693</v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</row>
    <row r="1588" ht="22.5" customHeight="1">
      <c r="A1588" s="376" t="s">
        <v>4694</v>
      </c>
      <c r="B1588" s="350" t="s">
        <v>2502</v>
      </c>
      <c r="C1588" s="539">
        <v>1.0</v>
      </c>
      <c r="D1588" s="334" t="s">
        <v>1602</v>
      </c>
      <c r="E1588" s="338">
        <v>26.0</v>
      </c>
      <c r="F1588" s="339">
        <v>46262.0</v>
      </c>
      <c r="G1588" s="334" t="s">
        <v>9</v>
      </c>
      <c r="H1588" s="334" t="s">
        <v>3380</v>
      </c>
      <c r="I1588" s="351" t="s">
        <v>4695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</row>
    <row r="1589" ht="22.5" customHeight="1">
      <c r="A1589" s="176" t="s">
        <v>4696</v>
      </c>
      <c r="B1589" s="527">
        <v>5.304534551E9</v>
      </c>
      <c r="C1589" s="525">
        <v>1.0</v>
      </c>
      <c r="D1589" s="526" t="s">
        <v>1602</v>
      </c>
      <c r="E1589" s="345">
        <v>53.1</v>
      </c>
      <c r="F1589" s="346">
        <v>46264.0</v>
      </c>
      <c r="G1589" s="344" t="s">
        <v>9</v>
      </c>
      <c r="H1589" s="344" t="s">
        <v>3530</v>
      </c>
      <c r="I1589" s="543" t="s">
        <v>4697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</row>
    <row r="1590" ht="22.5" customHeight="1">
      <c r="A1590" s="176" t="s">
        <v>4698</v>
      </c>
      <c r="B1590" s="527" t="s">
        <v>206</v>
      </c>
      <c r="C1590" s="525">
        <v>1.0</v>
      </c>
      <c r="D1590" s="526" t="s">
        <v>1602</v>
      </c>
      <c r="E1590" s="345">
        <v>10.26</v>
      </c>
      <c r="F1590" s="346">
        <v>46263.0</v>
      </c>
      <c r="G1590" s="344" t="s">
        <v>9</v>
      </c>
      <c r="H1590" s="344" t="s">
        <v>1601</v>
      </c>
      <c r="I1590" s="427" t="s">
        <v>4699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</row>
    <row r="1591" ht="22.5" customHeight="1">
      <c r="A1591" s="176" t="s">
        <v>4700</v>
      </c>
      <c r="B1591" s="528" t="s">
        <v>2078</v>
      </c>
      <c r="C1591" s="525">
        <v>1.0</v>
      </c>
      <c r="D1591" s="526" t="s">
        <v>1602</v>
      </c>
      <c r="E1591" s="345">
        <v>47.96</v>
      </c>
      <c r="F1591" s="346">
        <v>46264.0</v>
      </c>
      <c r="G1591" s="344" t="s">
        <v>9</v>
      </c>
      <c r="H1591" s="344" t="s">
        <v>1601</v>
      </c>
      <c r="I1591" s="427" t="s">
        <v>4699</v>
      </c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</row>
    <row r="1592" ht="22.5" customHeight="1">
      <c r="A1592" s="176" t="s">
        <v>4701</v>
      </c>
      <c r="B1592" s="540" t="s">
        <v>461</v>
      </c>
      <c r="C1592" s="530">
        <v>1.0</v>
      </c>
      <c r="D1592" s="531" t="s">
        <v>1602</v>
      </c>
      <c r="E1592" s="338">
        <v>148.73</v>
      </c>
      <c r="F1592" s="339">
        <v>46265.0</v>
      </c>
      <c r="G1592" s="334" t="s">
        <v>9</v>
      </c>
      <c r="H1592" s="334" t="s">
        <v>351</v>
      </c>
      <c r="I1592" s="427" t="s">
        <v>4691</v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</row>
    <row r="1593" ht="22.5" customHeight="1">
      <c r="A1593" s="176" t="s">
        <v>4702</v>
      </c>
      <c r="B1593" s="527">
        <v>1.2938000003641E13</v>
      </c>
      <c r="C1593" s="525">
        <v>2.0</v>
      </c>
      <c r="D1593" s="526" t="s">
        <v>1602</v>
      </c>
      <c r="E1593" s="345">
        <v>30.42</v>
      </c>
      <c r="F1593" s="346">
        <v>46264.0</v>
      </c>
      <c r="G1593" s="344" t="s">
        <v>8</v>
      </c>
      <c r="H1593" s="344" t="s">
        <v>11</v>
      </c>
      <c r="I1593" s="427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</row>
    <row r="1594" ht="22.5" customHeight="1">
      <c r="A1594" s="176" t="s">
        <v>4703</v>
      </c>
      <c r="B1594" s="342" t="s">
        <v>4704</v>
      </c>
      <c r="C1594" s="343">
        <v>1.0</v>
      </c>
      <c r="D1594" s="344" t="s">
        <v>1602</v>
      </c>
      <c r="E1594" s="345">
        <v>14.46</v>
      </c>
      <c r="F1594" s="346">
        <v>46265.0</v>
      </c>
      <c r="G1594" s="344" t="s">
        <v>9</v>
      </c>
      <c r="H1594" s="344" t="s">
        <v>11</v>
      </c>
      <c r="I1594" s="335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</row>
    <row r="1595" ht="22.5" customHeight="1">
      <c r="A1595" s="176" t="s">
        <v>4705</v>
      </c>
      <c r="B1595" s="545" t="s">
        <v>1219</v>
      </c>
      <c r="C1595" s="539">
        <v>1.0</v>
      </c>
      <c r="D1595" s="334" t="s">
        <v>3475</v>
      </c>
      <c r="E1595" s="338">
        <v>-32.25</v>
      </c>
      <c r="F1595" s="339">
        <v>46265.0</v>
      </c>
      <c r="G1595" s="334" t="s">
        <v>9</v>
      </c>
      <c r="H1595" s="334" t="s">
        <v>1133</v>
      </c>
      <c r="I1595" s="427" t="s">
        <v>4706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</row>
    <row r="1596" ht="22.5" customHeight="1">
      <c r="A1596" s="176" t="s">
        <v>4707</v>
      </c>
      <c r="B1596" s="342" t="s">
        <v>539</v>
      </c>
      <c r="C1596" s="343">
        <v>1.0</v>
      </c>
      <c r="D1596" s="344" t="s">
        <v>1602</v>
      </c>
      <c r="E1596" s="345">
        <v>21.42</v>
      </c>
      <c r="F1596" s="346">
        <v>46264.0</v>
      </c>
      <c r="G1596" s="344" t="s">
        <v>8</v>
      </c>
      <c r="H1596" s="344" t="s">
        <v>12</v>
      </c>
      <c r="I1596" s="427" t="s">
        <v>4511</v>
      </c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</row>
    <row r="1597" ht="22.5" customHeight="1">
      <c r="A1597" s="376" t="s">
        <v>4708</v>
      </c>
      <c r="B1597" s="329">
        <v>5.304529549E9</v>
      </c>
      <c r="C1597" s="337">
        <v>1.0</v>
      </c>
      <c r="D1597" s="334" t="s">
        <v>1602</v>
      </c>
      <c r="E1597" s="338">
        <v>5.28</v>
      </c>
      <c r="F1597" s="339">
        <v>46264.0</v>
      </c>
      <c r="G1597" s="334" t="s">
        <v>9</v>
      </c>
      <c r="H1597" s="334" t="s">
        <v>12</v>
      </c>
      <c r="I1597" s="427" t="s">
        <v>4511</v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</row>
    <row r="1598" ht="22.5" customHeight="1">
      <c r="A1598" s="176" t="s">
        <v>4709</v>
      </c>
      <c r="B1598" s="342" t="s">
        <v>14</v>
      </c>
      <c r="C1598" s="343">
        <v>1.0</v>
      </c>
      <c r="D1598" s="344" t="s">
        <v>1602</v>
      </c>
      <c r="E1598" s="345">
        <v>25.31</v>
      </c>
      <c r="F1598" s="346">
        <v>46263.0</v>
      </c>
      <c r="G1598" s="344" t="s">
        <v>9</v>
      </c>
      <c r="H1598" s="344" t="s">
        <v>12</v>
      </c>
      <c r="I1598" s="427" t="s">
        <v>4511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</row>
    <row r="1599" ht="22.5" customHeight="1">
      <c r="A1599" s="176" t="s">
        <v>4710</v>
      </c>
      <c r="B1599" s="329">
        <v>2.42253002E8</v>
      </c>
      <c r="C1599" s="337">
        <v>1.0</v>
      </c>
      <c r="D1599" s="334" t="s">
        <v>1602</v>
      </c>
      <c r="E1599" s="338">
        <v>15.37</v>
      </c>
      <c r="F1599" s="339">
        <v>46265.0</v>
      </c>
      <c r="G1599" s="334" t="s">
        <v>9</v>
      </c>
      <c r="H1599" s="334" t="s">
        <v>12</v>
      </c>
      <c r="I1599" s="427" t="s">
        <v>4711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</row>
    <row r="1600" ht="22.5" customHeight="1">
      <c r="A1600" s="354"/>
      <c r="B1600" s="358"/>
      <c r="C1600" s="356"/>
      <c r="D1600" s="358"/>
      <c r="E1600" s="464">
        <f>SUM(Table126[Order Earnings])</f>
        <v>366.06</v>
      </c>
      <c r="F1600" s="358"/>
      <c r="G1600" s="358"/>
      <c r="H1600" s="358"/>
      <c r="I1600" s="35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</row>
    <row r="1601">
      <c r="A1601" s="199"/>
      <c r="B1601" s="200"/>
      <c r="C1601" s="201"/>
      <c r="D1601" s="200"/>
      <c r="E1601" s="202"/>
      <c r="F1601" s="199"/>
      <c r="G1601" s="199"/>
      <c r="H1601" s="199"/>
      <c r="I1601" s="199"/>
    </row>
    <row r="1602">
      <c r="A1602" s="9"/>
      <c r="B1602" s="9"/>
      <c r="C1602" s="31"/>
      <c r="D1602" s="455">
        <v>46266.0</v>
      </c>
      <c r="E1602" s="353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</row>
    <row r="1603" ht="22.5" customHeight="1">
      <c r="A1603" s="456" t="s">
        <v>1467</v>
      </c>
      <c r="B1603" s="457" t="s">
        <v>1477</v>
      </c>
      <c r="C1603" s="457" t="s">
        <v>1478</v>
      </c>
      <c r="D1603" s="457" t="s">
        <v>1479</v>
      </c>
      <c r="E1603" s="458" t="s">
        <v>1481</v>
      </c>
      <c r="F1603" s="457" t="s">
        <v>1483</v>
      </c>
      <c r="G1603" s="457" t="s">
        <v>1484</v>
      </c>
      <c r="H1603" s="457" t="s">
        <v>1486</v>
      </c>
      <c r="I1603" s="457" t="s">
        <v>1489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</row>
    <row r="1604" ht="22.5" customHeight="1">
      <c r="A1604" s="176" t="s">
        <v>4712</v>
      </c>
      <c r="B1604" s="527" t="s">
        <v>109</v>
      </c>
      <c r="C1604" s="525">
        <v>1.0</v>
      </c>
      <c r="D1604" s="526" t="s">
        <v>1602</v>
      </c>
      <c r="E1604" s="345">
        <v>63.77</v>
      </c>
      <c r="F1604" s="346">
        <v>46265.0</v>
      </c>
      <c r="G1604" s="344" t="s">
        <v>9</v>
      </c>
      <c r="H1604" s="344" t="s">
        <v>3380</v>
      </c>
      <c r="I1604" s="427" t="s">
        <v>4713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</row>
    <row r="1605" ht="22.5" customHeight="1">
      <c r="A1605" s="176" t="s">
        <v>4714</v>
      </c>
      <c r="B1605" s="546" t="s">
        <v>3096</v>
      </c>
      <c r="C1605" s="539">
        <v>1.0</v>
      </c>
      <c r="D1605" s="334" t="s">
        <v>1875</v>
      </c>
      <c r="E1605" s="338">
        <v>-179.19</v>
      </c>
      <c r="F1605" s="339">
        <v>46198.0</v>
      </c>
      <c r="G1605" s="334" t="s">
        <v>8</v>
      </c>
      <c r="H1605" s="334" t="s">
        <v>12</v>
      </c>
      <c r="I1605" s="351" t="s">
        <v>4715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</row>
    <row r="1606" ht="22.5" customHeight="1">
      <c r="A1606" s="176" t="s">
        <v>4716</v>
      </c>
      <c r="B1606" s="527" t="s">
        <v>531</v>
      </c>
      <c r="C1606" s="525">
        <v>1.0</v>
      </c>
      <c r="D1606" s="526" t="s">
        <v>1602</v>
      </c>
      <c r="E1606" s="345">
        <v>13.41</v>
      </c>
      <c r="F1606" s="346">
        <v>46265.0</v>
      </c>
      <c r="G1606" s="344" t="s">
        <v>8</v>
      </c>
      <c r="H1606" s="344" t="s">
        <v>12</v>
      </c>
      <c r="I1606" s="543" t="s">
        <v>4713</v>
      </c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</row>
    <row r="1607" ht="22.5" customHeight="1">
      <c r="A1607" s="176" t="s">
        <v>4717</v>
      </c>
      <c r="B1607" s="527" t="s">
        <v>531</v>
      </c>
      <c r="C1607" s="525">
        <v>1.0</v>
      </c>
      <c r="D1607" s="526" t="s">
        <v>1602</v>
      </c>
      <c r="E1607" s="345">
        <v>13.41</v>
      </c>
      <c r="F1607" s="346">
        <v>46265.0</v>
      </c>
      <c r="G1607" s="344" t="s">
        <v>8</v>
      </c>
      <c r="H1607" s="344" t="s">
        <v>12</v>
      </c>
      <c r="I1607" s="427" t="s">
        <v>4713</v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</row>
    <row r="1608" ht="22.5" customHeight="1">
      <c r="A1608" s="176" t="s">
        <v>4718</v>
      </c>
      <c r="B1608" s="544" t="s">
        <v>4719</v>
      </c>
      <c r="C1608" s="525">
        <v>1.0</v>
      </c>
      <c r="D1608" s="526" t="s">
        <v>1602</v>
      </c>
      <c r="E1608" s="345">
        <v>5.69</v>
      </c>
      <c r="F1608" s="346">
        <v>46265.0</v>
      </c>
      <c r="G1608" s="344" t="s">
        <v>9</v>
      </c>
      <c r="H1608" s="344" t="s">
        <v>3530</v>
      </c>
      <c r="I1608" s="427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</row>
    <row r="1609" ht="22.5" customHeight="1">
      <c r="A1609" s="176" t="s">
        <v>4720</v>
      </c>
      <c r="B1609" s="540" t="s">
        <v>1923</v>
      </c>
      <c r="C1609" s="530">
        <v>1.0</v>
      </c>
      <c r="D1609" s="531" t="s">
        <v>1602</v>
      </c>
      <c r="E1609" s="338">
        <v>119.72</v>
      </c>
      <c r="F1609" s="339">
        <v>46266.0</v>
      </c>
      <c r="G1609" s="334" t="s">
        <v>9</v>
      </c>
      <c r="H1609" s="334" t="s">
        <v>3596</v>
      </c>
      <c r="I1609" s="427" t="s">
        <v>4511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</row>
    <row r="1610" ht="22.5" customHeight="1">
      <c r="A1610" s="176" t="s">
        <v>4721</v>
      </c>
      <c r="B1610" s="369" t="s">
        <v>4298</v>
      </c>
      <c r="C1610" s="337">
        <v>1.0</v>
      </c>
      <c r="D1610" s="334" t="s">
        <v>1875</v>
      </c>
      <c r="E1610" s="338"/>
      <c r="F1610" s="339">
        <v>46234.0</v>
      </c>
      <c r="G1610" s="334" t="s">
        <v>9</v>
      </c>
      <c r="H1610" s="334" t="s">
        <v>11</v>
      </c>
      <c r="I1610" s="463" t="s">
        <v>4722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</row>
    <row r="1611" ht="22.5" customHeight="1">
      <c r="A1611" s="354"/>
      <c r="B1611" s="358"/>
      <c r="C1611" s="356"/>
      <c r="D1611" s="358"/>
      <c r="E1611" s="464">
        <f>SUM(Table127[Order Earnings])</f>
        <v>36.81</v>
      </c>
      <c r="F1611" s="358"/>
      <c r="G1611" s="358"/>
      <c r="H1611" s="358"/>
      <c r="I1611" s="35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</row>
    <row r="1612">
      <c r="A1612" s="199"/>
      <c r="B1612" s="200"/>
      <c r="C1612" s="201"/>
      <c r="D1612" s="200"/>
      <c r="E1612" s="202"/>
      <c r="F1612" s="199"/>
      <c r="G1612" s="199"/>
      <c r="H1612" s="199"/>
      <c r="I1612" s="199"/>
    </row>
    <row r="1613">
      <c r="A1613" s="9"/>
      <c r="B1613" s="9"/>
      <c r="C1613" s="31"/>
      <c r="D1613" s="455">
        <v>46267.0</v>
      </c>
      <c r="E1613" s="353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</row>
    <row r="1614" ht="22.5" customHeight="1">
      <c r="A1614" s="456" t="s">
        <v>1467</v>
      </c>
      <c r="B1614" s="457" t="s">
        <v>1477</v>
      </c>
      <c r="C1614" s="457" t="s">
        <v>1478</v>
      </c>
      <c r="D1614" s="457" t="s">
        <v>1479</v>
      </c>
      <c r="E1614" s="458" t="s">
        <v>1481</v>
      </c>
      <c r="F1614" s="457" t="s">
        <v>1483</v>
      </c>
      <c r="G1614" s="457" t="s">
        <v>1484</v>
      </c>
      <c r="H1614" s="457" t="s">
        <v>1486</v>
      </c>
      <c r="I1614" s="457" t="s">
        <v>1489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</row>
    <row r="1615" ht="22.5" customHeight="1">
      <c r="A1615" s="176" t="s">
        <v>4723</v>
      </c>
      <c r="B1615" s="527" t="s">
        <v>2431</v>
      </c>
      <c r="C1615" s="525">
        <v>1.0</v>
      </c>
      <c r="D1615" s="526" t="s">
        <v>1602</v>
      </c>
      <c r="E1615" s="345">
        <v>17.84</v>
      </c>
      <c r="F1615" s="346">
        <v>46266.0</v>
      </c>
      <c r="G1615" s="344" t="s">
        <v>9</v>
      </c>
      <c r="H1615" s="344" t="s">
        <v>3380</v>
      </c>
      <c r="I1615" s="427" t="s">
        <v>4278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</row>
    <row r="1616" ht="22.5" customHeight="1">
      <c r="A1616" s="176" t="s">
        <v>4724</v>
      </c>
      <c r="B1616" s="546" t="s">
        <v>4725</v>
      </c>
      <c r="C1616" s="539">
        <v>1.0</v>
      </c>
      <c r="D1616" s="334" t="s">
        <v>1602</v>
      </c>
      <c r="E1616" s="338">
        <v>112.26</v>
      </c>
      <c r="F1616" s="339">
        <v>46266.0</v>
      </c>
      <c r="G1616" s="334" t="s">
        <v>9</v>
      </c>
      <c r="H1616" s="334" t="s">
        <v>12</v>
      </c>
      <c r="I1616" s="351" t="s">
        <v>4726</v>
      </c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</row>
    <row r="1617" ht="22.5" customHeight="1">
      <c r="A1617" s="354"/>
      <c r="B1617" s="358"/>
      <c r="C1617" s="356"/>
      <c r="D1617" s="358"/>
      <c r="E1617" s="464">
        <f>SUM(Table128[Order Earnings])</f>
        <v>130.1</v>
      </c>
      <c r="F1617" s="358"/>
      <c r="G1617" s="358"/>
      <c r="H1617" s="358"/>
      <c r="I1617" s="35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</row>
    <row r="1618">
      <c r="A1618" s="199"/>
      <c r="B1618" s="200"/>
      <c r="C1618" s="201"/>
      <c r="D1618" s="200"/>
      <c r="E1618" s="202"/>
      <c r="F1618" s="199"/>
      <c r="G1618" s="199"/>
      <c r="H1618" s="199"/>
      <c r="I1618" s="199"/>
    </row>
    <row r="1619">
      <c r="A1619" s="9"/>
      <c r="B1619" s="9"/>
      <c r="C1619" s="31"/>
      <c r="D1619" s="455">
        <v>46268.0</v>
      </c>
      <c r="E1619" s="353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</row>
    <row r="1620" ht="22.5" customHeight="1">
      <c r="A1620" s="456" t="s">
        <v>1467</v>
      </c>
      <c r="B1620" s="457" t="s">
        <v>1477</v>
      </c>
      <c r="C1620" s="457" t="s">
        <v>1478</v>
      </c>
      <c r="D1620" s="457" t="s">
        <v>1479</v>
      </c>
      <c r="E1620" s="458" t="s">
        <v>1481</v>
      </c>
      <c r="F1620" s="457" t="s">
        <v>1483</v>
      </c>
      <c r="G1620" s="457" t="s">
        <v>1484</v>
      </c>
      <c r="H1620" s="457" t="s">
        <v>1486</v>
      </c>
      <c r="I1620" s="457" t="s">
        <v>1489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</row>
    <row r="1621" ht="22.5" customHeight="1">
      <c r="A1621" s="176" t="s">
        <v>4727</v>
      </c>
      <c r="B1621" s="402" t="s">
        <v>4728</v>
      </c>
      <c r="C1621" s="525">
        <v>1.0</v>
      </c>
      <c r="D1621" s="526" t="s">
        <v>1602</v>
      </c>
      <c r="E1621" s="345">
        <v>10.34</v>
      </c>
      <c r="F1621" s="346">
        <v>46267.0</v>
      </c>
      <c r="G1621" s="344" t="s">
        <v>9</v>
      </c>
      <c r="H1621" s="344" t="s">
        <v>53</v>
      </c>
      <c r="I1621" s="427" t="s">
        <v>4395</v>
      </c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</row>
    <row r="1622" ht="22.5" customHeight="1">
      <c r="A1622" s="176" t="s">
        <v>4729</v>
      </c>
      <c r="B1622" s="350">
        <v>5.304513609E9</v>
      </c>
      <c r="C1622" s="539">
        <v>1.0</v>
      </c>
      <c r="D1622" s="334" t="s">
        <v>1602</v>
      </c>
      <c r="E1622" s="338">
        <v>14.29</v>
      </c>
      <c r="F1622" s="346">
        <v>46267.0</v>
      </c>
      <c r="G1622" s="334" t="s">
        <v>9</v>
      </c>
      <c r="H1622" s="334" t="s">
        <v>53</v>
      </c>
      <c r="I1622" s="427" t="s">
        <v>4699</v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</row>
    <row r="1623" ht="22.5" customHeight="1">
      <c r="A1623" s="176" t="s">
        <v>4730</v>
      </c>
      <c r="B1623" s="177">
        <v>5.304505059E9</v>
      </c>
      <c r="C1623" s="539">
        <v>1.0</v>
      </c>
      <c r="D1623" s="334" t="s">
        <v>1602</v>
      </c>
      <c r="E1623" s="338">
        <v>133.05</v>
      </c>
      <c r="F1623" s="339">
        <v>46268.0</v>
      </c>
      <c r="G1623" s="334" t="s">
        <v>9</v>
      </c>
      <c r="H1623" s="334" t="s">
        <v>53</v>
      </c>
      <c r="I1623" s="427" t="s">
        <v>4699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</row>
    <row r="1624" ht="22.5" customHeight="1">
      <c r="A1624" s="176" t="s">
        <v>4731</v>
      </c>
      <c r="B1624" s="527" t="s">
        <v>2148</v>
      </c>
      <c r="C1624" s="525">
        <v>1.0</v>
      </c>
      <c r="D1624" s="526" t="s">
        <v>1602</v>
      </c>
      <c r="E1624" s="345">
        <v>40.91</v>
      </c>
      <c r="F1624" s="346">
        <v>46267.0</v>
      </c>
      <c r="G1624" s="344" t="s">
        <v>9</v>
      </c>
      <c r="H1624" s="344" t="s">
        <v>1601</v>
      </c>
      <c r="I1624" s="543" t="s">
        <v>4699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</row>
    <row r="1625" ht="22.5" customHeight="1">
      <c r="A1625" s="176" t="s">
        <v>4732</v>
      </c>
      <c r="B1625" s="540" t="s">
        <v>2109</v>
      </c>
      <c r="C1625" s="530">
        <v>1.0</v>
      </c>
      <c r="D1625" s="531" t="s">
        <v>1602</v>
      </c>
      <c r="E1625" s="338">
        <v>6.64</v>
      </c>
      <c r="F1625" s="339">
        <v>46267.0</v>
      </c>
      <c r="G1625" s="334" t="s">
        <v>9</v>
      </c>
      <c r="H1625" s="334" t="s">
        <v>12</v>
      </c>
      <c r="I1625" s="427" t="s">
        <v>4733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</row>
    <row r="1626" ht="22.5" customHeight="1">
      <c r="A1626" s="376" t="s">
        <v>4734</v>
      </c>
      <c r="B1626" s="527">
        <v>5.304523183E9</v>
      </c>
      <c r="C1626" s="525">
        <v>1.0</v>
      </c>
      <c r="D1626" s="526" t="s">
        <v>1602</v>
      </c>
      <c r="E1626" s="345">
        <v>43.89</v>
      </c>
      <c r="F1626" s="346">
        <v>46267.0</v>
      </c>
      <c r="G1626" s="344" t="s">
        <v>9</v>
      </c>
      <c r="H1626" s="344" t="s">
        <v>12</v>
      </c>
      <c r="I1626" s="427" t="s">
        <v>4735</v>
      </c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</row>
    <row r="1627" ht="22.5" customHeight="1">
      <c r="A1627" s="176" t="s">
        <v>4736</v>
      </c>
      <c r="B1627" s="369" t="s">
        <v>916</v>
      </c>
      <c r="C1627" s="343">
        <v>1.0</v>
      </c>
      <c r="D1627" s="344" t="s">
        <v>1602</v>
      </c>
      <c r="E1627" s="345">
        <v>39.78</v>
      </c>
      <c r="F1627" s="346">
        <v>46268.0</v>
      </c>
      <c r="G1627" s="344" t="s">
        <v>9</v>
      </c>
      <c r="H1627" s="344" t="s">
        <v>12</v>
      </c>
      <c r="I1627" s="427" t="s">
        <v>4580</v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</row>
    <row r="1628" ht="22.5" customHeight="1">
      <c r="A1628" s="176" t="s">
        <v>4737</v>
      </c>
      <c r="B1628" s="474" t="s">
        <v>3624</v>
      </c>
      <c r="C1628" s="337">
        <v>1.0</v>
      </c>
      <c r="D1628" s="334" t="s">
        <v>1532</v>
      </c>
      <c r="E1628" s="489"/>
      <c r="F1628" s="339">
        <v>46268.0</v>
      </c>
      <c r="G1628" s="334" t="s">
        <v>9</v>
      </c>
      <c r="H1628" s="334" t="s">
        <v>11</v>
      </c>
      <c r="I1628" s="427" t="s">
        <v>4738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</row>
    <row r="1629" ht="22.5" customHeight="1">
      <c r="A1629" s="354"/>
      <c r="B1629" s="358"/>
      <c r="C1629" s="356"/>
      <c r="D1629" s="358"/>
      <c r="E1629" s="464">
        <f>SUM(Table129[Order Earnings])</f>
        <v>288.9</v>
      </c>
      <c r="F1629" s="358"/>
      <c r="G1629" s="358"/>
      <c r="H1629" s="358"/>
      <c r="I1629" s="35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</row>
    <row r="1630">
      <c r="A1630" s="199"/>
      <c r="B1630" s="200"/>
      <c r="C1630" s="201"/>
      <c r="D1630" s="200"/>
      <c r="E1630" s="202"/>
      <c r="F1630" s="199"/>
      <c r="G1630" s="199"/>
      <c r="H1630" s="199"/>
      <c r="I1630" s="199"/>
    </row>
    <row r="1631">
      <c r="A1631" s="9"/>
      <c r="B1631" s="9"/>
      <c r="C1631" s="31"/>
      <c r="D1631" s="455">
        <v>46269.0</v>
      </c>
      <c r="E1631" s="353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</row>
    <row r="1632" ht="22.5" customHeight="1">
      <c r="A1632" s="547" t="s">
        <v>1467</v>
      </c>
      <c r="B1632" s="457" t="s">
        <v>1477</v>
      </c>
      <c r="C1632" s="457" t="s">
        <v>1478</v>
      </c>
      <c r="D1632" s="457" t="s">
        <v>1479</v>
      </c>
      <c r="E1632" s="458" t="s">
        <v>1481</v>
      </c>
      <c r="F1632" s="457" t="s">
        <v>1483</v>
      </c>
      <c r="G1632" s="457" t="s">
        <v>1484</v>
      </c>
      <c r="H1632" s="457" t="s">
        <v>1486</v>
      </c>
      <c r="I1632" s="457" t="s">
        <v>1489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</row>
    <row r="1633" ht="22.5" customHeight="1">
      <c r="A1633" s="176" t="s">
        <v>4739</v>
      </c>
      <c r="B1633" s="527" t="s">
        <v>1905</v>
      </c>
      <c r="C1633" s="525">
        <v>1.0</v>
      </c>
      <c r="D1633" s="526" t="s">
        <v>1532</v>
      </c>
      <c r="E1633" s="475"/>
      <c r="F1633" s="346">
        <v>46267.0</v>
      </c>
      <c r="G1633" s="344" t="s">
        <v>9</v>
      </c>
      <c r="H1633" s="344" t="s">
        <v>3596</v>
      </c>
      <c r="I1633" s="427" t="s">
        <v>4740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</row>
    <row r="1634" ht="22.5" customHeight="1">
      <c r="A1634" s="376" t="s">
        <v>4741</v>
      </c>
      <c r="B1634" s="548" t="s">
        <v>1922</v>
      </c>
      <c r="C1634" s="525">
        <v>1.0</v>
      </c>
      <c r="D1634" s="526" t="s">
        <v>1602</v>
      </c>
      <c r="E1634" s="345">
        <v>50.91</v>
      </c>
      <c r="F1634" s="346">
        <v>46267.0</v>
      </c>
      <c r="G1634" s="344" t="s">
        <v>9</v>
      </c>
      <c r="H1634" s="344" t="s">
        <v>3596</v>
      </c>
      <c r="I1634" s="427" t="s">
        <v>4278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</row>
    <row r="1635" ht="22.5" customHeight="1">
      <c r="A1635" s="176" t="s">
        <v>4742</v>
      </c>
      <c r="B1635" s="527">
        <v>5.304534597E9</v>
      </c>
      <c r="C1635" s="525">
        <v>1.0</v>
      </c>
      <c r="D1635" s="526" t="s">
        <v>1602</v>
      </c>
      <c r="E1635" s="345">
        <v>57.14</v>
      </c>
      <c r="F1635" s="346">
        <v>46268.0</v>
      </c>
      <c r="G1635" s="344" t="s">
        <v>9</v>
      </c>
      <c r="H1635" s="344" t="s">
        <v>1087</v>
      </c>
      <c r="I1635" s="543" t="s">
        <v>4743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</row>
    <row r="1636" ht="22.5" customHeight="1">
      <c r="A1636" s="176" t="s">
        <v>4744</v>
      </c>
      <c r="B1636" s="416" t="s">
        <v>2110</v>
      </c>
      <c r="C1636" s="539">
        <v>1.0</v>
      </c>
      <c r="D1636" s="334" t="s">
        <v>1602</v>
      </c>
      <c r="E1636" s="338">
        <v>106.29</v>
      </c>
      <c r="F1636" s="339">
        <v>46269.0</v>
      </c>
      <c r="G1636" s="334" t="s">
        <v>9</v>
      </c>
      <c r="H1636" s="334" t="s">
        <v>1601</v>
      </c>
      <c r="I1636" s="549" t="s">
        <v>4395</v>
      </c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</row>
    <row r="1637" ht="22.5" customHeight="1">
      <c r="A1637" s="176" t="s">
        <v>4745</v>
      </c>
      <c r="B1637" s="527" t="s">
        <v>4746</v>
      </c>
      <c r="C1637" s="525">
        <v>2.0</v>
      </c>
      <c r="D1637" s="526" t="s">
        <v>1602</v>
      </c>
      <c r="E1637" s="345">
        <v>97.36</v>
      </c>
      <c r="F1637" s="346">
        <v>46269.0</v>
      </c>
      <c r="G1637" s="344" t="s">
        <v>9</v>
      </c>
      <c r="H1637" s="344" t="s">
        <v>1601</v>
      </c>
      <c r="I1637" s="549" t="s">
        <v>4395</v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</row>
    <row r="1638" ht="22.5" customHeight="1">
      <c r="A1638" s="176" t="s">
        <v>4747</v>
      </c>
      <c r="B1638" s="544" t="s">
        <v>969</v>
      </c>
      <c r="C1638" s="525">
        <v>1.0</v>
      </c>
      <c r="D1638" s="526" t="s">
        <v>1602</v>
      </c>
      <c r="E1638" s="345">
        <v>71.5</v>
      </c>
      <c r="F1638" s="346">
        <v>46269.0</v>
      </c>
      <c r="G1638" s="344" t="s">
        <v>9</v>
      </c>
      <c r="H1638" s="344" t="s">
        <v>3380</v>
      </c>
      <c r="I1638" s="427" t="s">
        <v>4403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</row>
    <row r="1639" ht="22.5" customHeight="1">
      <c r="A1639" s="176" t="s">
        <v>4748</v>
      </c>
      <c r="B1639" s="527" t="s">
        <v>278</v>
      </c>
      <c r="C1639" s="525">
        <v>1.0</v>
      </c>
      <c r="D1639" s="526" t="s">
        <v>1602</v>
      </c>
      <c r="E1639" s="345">
        <v>26.06</v>
      </c>
      <c r="F1639" s="346">
        <v>46268.0</v>
      </c>
      <c r="G1639" s="344" t="s">
        <v>8</v>
      </c>
      <c r="H1639" s="344" t="s">
        <v>12</v>
      </c>
      <c r="I1639" s="427" t="s">
        <v>4278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</row>
    <row r="1640" ht="22.5" customHeight="1">
      <c r="A1640" s="176" t="s">
        <v>4749</v>
      </c>
      <c r="B1640" s="540" t="s">
        <v>678</v>
      </c>
      <c r="C1640" s="530">
        <v>1.0</v>
      </c>
      <c r="D1640" s="531" t="s">
        <v>1602</v>
      </c>
      <c r="E1640" s="338">
        <v>50.72</v>
      </c>
      <c r="F1640" s="339">
        <v>46269.0</v>
      </c>
      <c r="G1640" s="334" t="s">
        <v>9</v>
      </c>
      <c r="H1640" s="334" t="s">
        <v>12</v>
      </c>
      <c r="I1640" s="427" t="s">
        <v>4416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</row>
    <row r="1641" ht="22.5" customHeight="1">
      <c r="A1641" s="176" t="s">
        <v>4750</v>
      </c>
      <c r="B1641" s="527" t="s">
        <v>805</v>
      </c>
      <c r="C1641" s="525">
        <v>1.0</v>
      </c>
      <c r="D1641" s="526" t="s">
        <v>1602</v>
      </c>
      <c r="E1641" s="345">
        <v>20.49</v>
      </c>
      <c r="F1641" s="346">
        <v>46269.0</v>
      </c>
      <c r="G1641" s="344" t="s">
        <v>9</v>
      </c>
      <c r="H1641" s="344" t="s">
        <v>12</v>
      </c>
      <c r="I1641" s="427" t="s">
        <v>4416</v>
      </c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</row>
    <row r="1642" ht="22.5" customHeight="1">
      <c r="A1642" s="354"/>
      <c r="B1642" s="358"/>
      <c r="C1642" s="356"/>
      <c r="D1642" s="358"/>
      <c r="E1642" s="464">
        <f>SUM(Table130[Order Earnings])</f>
        <v>480.47</v>
      </c>
      <c r="F1642" s="358"/>
      <c r="G1642" s="358"/>
      <c r="H1642" s="358"/>
      <c r="I1642" s="35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</row>
    <row r="1643">
      <c r="A1643" s="199"/>
      <c r="B1643" s="200"/>
      <c r="C1643" s="201"/>
      <c r="D1643" s="200"/>
      <c r="E1643" s="202"/>
      <c r="F1643" s="199"/>
      <c r="G1643" s="199"/>
      <c r="H1643" s="199"/>
      <c r="I1643" s="199"/>
    </row>
    <row r="1644">
      <c r="A1644" s="9"/>
      <c r="B1644" s="9"/>
      <c r="C1644" s="31"/>
      <c r="D1644" s="455">
        <v>46273.0</v>
      </c>
      <c r="E1644" s="353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</row>
    <row r="1645" ht="22.5" customHeight="1">
      <c r="A1645" s="547" t="s">
        <v>1467</v>
      </c>
      <c r="B1645" s="457" t="s">
        <v>1477</v>
      </c>
      <c r="C1645" s="457" t="s">
        <v>1478</v>
      </c>
      <c r="D1645" s="457" t="s">
        <v>1479</v>
      </c>
      <c r="E1645" s="458" t="s">
        <v>1481</v>
      </c>
      <c r="F1645" s="457" t="s">
        <v>1483</v>
      </c>
      <c r="G1645" s="457" t="s">
        <v>1484</v>
      </c>
      <c r="H1645" s="457" t="s">
        <v>1486</v>
      </c>
      <c r="I1645" s="457" t="s">
        <v>1489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</row>
    <row r="1646" ht="22.5" customHeight="1">
      <c r="A1646" s="176" t="s">
        <v>4751</v>
      </c>
      <c r="B1646" s="527" t="s">
        <v>125</v>
      </c>
      <c r="C1646" s="525">
        <v>1.0</v>
      </c>
      <c r="D1646" s="526" t="s">
        <v>1602</v>
      </c>
      <c r="E1646" s="345">
        <v>88.64</v>
      </c>
      <c r="F1646" s="346">
        <v>46269.0</v>
      </c>
      <c r="G1646" s="344" t="s">
        <v>9</v>
      </c>
      <c r="H1646" s="344" t="s">
        <v>3530</v>
      </c>
      <c r="I1646" s="427" t="s">
        <v>4752</v>
      </c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</row>
    <row r="1647" ht="22.5" customHeight="1">
      <c r="A1647" s="176" t="s">
        <v>4753</v>
      </c>
      <c r="B1647" s="546" t="s">
        <v>115</v>
      </c>
      <c r="C1647" s="539">
        <v>1.0</v>
      </c>
      <c r="D1647" s="334" t="s">
        <v>1602</v>
      </c>
      <c r="E1647" s="338">
        <v>23.8</v>
      </c>
      <c r="F1647" s="339">
        <v>46272.0</v>
      </c>
      <c r="G1647" s="334" t="s">
        <v>9</v>
      </c>
      <c r="H1647" s="334" t="s">
        <v>3530</v>
      </c>
      <c r="I1647" s="427" t="s">
        <v>4752</v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</row>
    <row r="1648" ht="22.5" customHeight="1">
      <c r="A1648" s="176" t="s">
        <v>4754</v>
      </c>
      <c r="B1648" s="474" t="s">
        <v>4755</v>
      </c>
      <c r="C1648" s="337">
        <v>1.0</v>
      </c>
      <c r="D1648" s="334" t="s">
        <v>1602</v>
      </c>
      <c r="E1648" s="338">
        <v>14.11</v>
      </c>
      <c r="F1648" s="339">
        <v>46273.0</v>
      </c>
      <c r="G1648" s="334" t="s">
        <v>9</v>
      </c>
      <c r="H1648" s="334" t="s">
        <v>11</v>
      </c>
      <c r="I1648" s="427" t="s">
        <v>4752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</row>
    <row r="1649" ht="22.5" customHeight="1">
      <c r="A1649" s="176" t="s">
        <v>4756</v>
      </c>
      <c r="B1649" s="527" t="s">
        <v>3025</v>
      </c>
      <c r="C1649" s="525">
        <v>1.0</v>
      </c>
      <c r="D1649" s="526" t="s">
        <v>1532</v>
      </c>
      <c r="E1649" s="475"/>
      <c r="F1649" s="346">
        <v>46271.0</v>
      </c>
      <c r="G1649" s="344" t="s">
        <v>9</v>
      </c>
      <c r="H1649" s="344" t="s">
        <v>53</v>
      </c>
      <c r="I1649" s="427" t="s">
        <v>4757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</row>
    <row r="1650" ht="22.5" customHeight="1">
      <c r="A1650" s="176" t="s">
        <v>4758</v>
      </c>
      <c r="B1650" s="402" t="s">
        <v>4759</v>
      </c>
      <c r="C1650" s="525">
        <v>1.0</v>
      </c>
      <c r="D1650" s="526" t="s">
        <v>1602</v>
      </c>
      <c r="E1650" s="345">
        <v>123.42</v>
      </c>
      <c r="F1650" s="346">
        <v>46269.0</v>
      </c>
      <c r="G1650" s="344" t="s">
        <v>9</v>
      </c>
      <c r="H1650" s="344" t="s">
        <v>53</v>
      </c>
      <c r="I1650" s="543" t="s">
        <v>4760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</row>
    <row r="1651" ht="22.5" customHeight="1">
      <c r="A1651" s="176" t="s">
        <v>4761</v>
      </c>
      <c r="B1651" s="550" t="s">
        <v>4762</v>
      </c>
      <c r="C1651" s="525">
        <v>1.0</v>
      </c>
      <c r="D1651" s="526" t="s">
        <v>1602</v>
      </c>
      <c r="E1651" s="345">
        <v>20.27</v>
      </c>
      <c r="F1651" s="346">
        <v>46270.0</v>
      </c>
      <c r="G1651" s="344" t="s">
        <v>9</v>
      </c>
      <c r="H1651" s="344" t="s">
        <v>351</v>
      </c>
      <c r="I1651" s="427" t="s">
        <v>4465</v>
      </c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</row>
    <row r="1652" ht="22.5" customHeight="1">
      <c r="A1652" s="176" t="s">
        <v>4763</v>
      </c>
      <c r="B1652" s="540" t="s">
        <v>4764</v>
      </c>
      <c r="C1652" s="530">
        <v>1.0</v>
      </c>
      <c r="D1652" s="531" t="s">
        <v>1602</v>
      </c>
      <c r="E1652" s="338">
        <v>33.86</v>
      </c>
      <c r="F1652" s="339">
        <v>46272.0</v>
      </c>
      <c r="G1652" s="334" t="s">
        <v>9</v>
      </c>
      <c r="H1652" s="334" t="s">
        <v>1601</v>
      </c>
      <c r="I1652" s="427" t="s">
        <v>4765</v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</row>
    <row r="1653" ht="22.5" customHeight="1">
      <c r="A1653" s="176" t="s">
        <v>4766</v>
      </c>
      <c r="B1653" s="527" t="s">
        <v>4767</v>
      </c>
      <c r="C1653" s="525">
        <v>1.0</v>
      </c>
      <c r="D1653" s="526" t="s">
        <v>1602</v>
      </c>
      <c r="E1653" s="345">
        <v>136.7</v>
      </c>
      <c r="F1653" s="346">
        <v>46270.0</v>
      </c>
      <c r="G1653" s="344" t="s">
        <v>9</v>
      </c>
      <c r="H1653" s="344" t="s">
        <v>1601</v>
      </c>
      <c r="I1653" s="427" t="s">
        <v>4465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</row>
    <row r="1654" ht="22.5" customHeight="1">
      <c r="A1654" s="176" t="s">
        <v>4768</v>
      </c>
      <c r="B1654" s="177" t="s">
        <v>2108</v>
      </c>
      <c r="C1654" s="539">
        <v>1.0</v>
      </c>
      <c r="D1654" s="334" t="s">
        <v>1602</v>
      </c>
      <c r="E1654" s="338">
        <v>87.01</v>
      </c>
      <c r="F1654" s="339">
        <v>46269.0</v>
      </c>
      <c r="G1654" s="334" t="s">
        <v>9</v>
      </c>
      <c r="H1654" s="334" t="s">
        <v>1601</v>
      </c>
      <c r="I1654" s="427" t="s">
        <v>4465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</row>
    <row r="1655" ht="22.5" customHeight="1">
      <c r="A1655" s="176" t="s">
        <v>4769</v>
      </c>
      <c r="B1655" s="369" t="s">
        <v>4235</v>
      </c>
      <c r="C1655" s="343">
        <v>1.0</v>
      </c>
      <c r="D1655" s="344" t="s">
        <v>1602</v>
      </c>
      <c r="E1655" s="345">
        <v>32.97</v>
      </c>
      <c r="F1655" s="346">
        <v>46273.0</v>
      </c>
      <c r="G1655" s="344" t="s">
        <v>9</v>
      </c>
      <c r="H1655" s="344" t="s">
        <v>1601</v>
      </c>
      <c r="I1655" s="427" t="s">
        <v>4465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</row>
    <row r="1656" ht="22.5" customHeight="1">
      <c r="A1656" s="176" t="s">
        <v>4770</v>
      </c>
      <c r="B1656" s="485" t="s">
        <v>828</v>
      </c>
      <c r="C1656" s="480">
        <v>1.0</v>
      </c>
      <c r="D1656" s="481" t="s">
        <v>1602</v>
      </c>
      <c r="E1656" s="482">
        <v>33.01</v>
      </c>
      <c r="F1656" s="483">
        <v>46273.0</v>
      </c>
      <c r="G1656" s="481" t="s">
        <v>9</v>
      </c>
      <c r="H1656" s="481" t="s">
        <v>1601</v>
      </c>
      <c r="I1656" s="484" t="s">
        <v>4652</v>
      </c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</row>
    <row r="1657" ht="22.5" customHeight="1">
      <c r="A1657" s="176" t="s">
        <v>4771</v>
      </c>
      <c r="B1657" s="551" t="s">
        <v>4772</v>
      </c>
      <c r="C1657" s="337">
        <v>1.0</v>
      </c>
      <c r="D1657" s="334" t="s">
        <v>1532</v>
      </c>
      <c r="E1657" s="489"/>
      <c r="F1657" s="339">
        <v>46273.0</v>
      </c>
      <c r="G1657" s="334" t="s">
        <v>9</v>
      </c>
      <c r="H1657" s="334" t="s">
        <v>1601</v>
      </c>
      <c r="I1657" s="427" t="s">
        <v>4757</v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</row>
    <row r="1658" ht="22.5" customHeight="1">
      <c r="A1658" s="176" t="s">
        <v>4773</v>
      </c>
      <c r="B1658" s="552" t="s">
        <v>4774</v>
      </c>
      <c r="C1658" s="522">
        <v>1.0</v>
      </c>
      <c r="D1658" s="344" t="s">
        <v>1602</v>
      </c>
      <c r="E1658" s="345">
        <v>19.36</v>
      </c>
      <c r="F1658" s="346">
        <v>46270.0</v>
      </c>
      <c r="G1658" s="344" t="s">
        <v>8</v>
      </c>
      <c r="H1658" s="344" t="s">
        <v>12</v>
      </c>
      <c r="I1658" s="427" t="s">
        <v>4403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</row>
    <row r="1659" ht="22.5" customHeight="1">
      <c r="A1659" s="447" t="s">
        <v>4775</v>
      </c>
      <c r="B1659" s="553" t="s">
        <v>132</v>
      </c>
      <c r="C1659" s="337">
        <v>1.0</v>
      </c>
      <c r="D1659" s="334" t="s">
        <v>1602</v>
      </c>
      <c r="E1659" s="338">
        <v>22.64</v>
      </c>
      <c r="F1659" s="339">
        <v>46273.0</v>
      </c>
      <c r="G1659" s="334" t="s">
        <v>9</v>
      </c>
      <c r="H1659" s="334" t="s">
        <v>12</v>
      </c>
      <c r="I1659" s="427" t="s">
        <v>4403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</row>
    <row r="1660" ht="22.5" customHeight="1">
      <c r="A1660" s="176" t="s">
        <v>4776</v>
      </c>
      <c r="B1660" s="369" t="s">
        <v>1257</v>
      </c>
      <c r="C1660" s="343">
        <v>1.0</v>
      </c>
      <c r="D1660" s="344" t="s">
        <v>1602</v>
      </c>
      <c r="E1660" s="345">
        <v>32.35</v>
      </c>
      <c r="F1660" s="346">
        <v>46272.0</v>
      </c>
      <c r="G1660" s="344" t="s">
        <v>9</v>
      </c>
      <c r="H1660" s="344" t="s">
        <v>12</v>
      </c>
      <c r="I1660" s="427" t="s">
        <v>4403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</row>
    <row r="1661" ht="22.5" customHeight="1">
      <c r="A1661" s="176" t="s">
        <v>4777</v>
      </c>
      <c r="B1661" s="474" t="s">
        <v>2109</v>
      </c>
      <c r="C1661" s="337">
        <v>1.0</v>
      </c>
      <c r="D1661" s="334" t="s">
        <v>1602</v>
      </c>
      <c r="E1661" s="338">
        <v>6.7</v>
      </c>
      <c r="F1661" s="339">
        <v>46272.0</v>
      </c>
      <c r="G1661" s="334" t="s">
        <v>9</v>
      </c>
      <c r="H1661" s="334" t="s">
        <v>12</v>
      </c>
      <c r="I1661" s="427" t="s">
        <v>4778</v>
      </c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</row>
    <row r="1662" ht="22.5" customHeight="1">
      <c r="A1662" s="176" t="s">
        <v>4779</v>
      </c>
      <c r="B1662" s="369" t="s">
        <v>3165</v>
      </c>
      <c r="C1662" s="343">
        <v>1.0</v>
      </c>
      <c r="D1662" s="344" t="s">
        <v>1602</v>
      </c>
      <c r="E1662" s="345">
        <v>48.24</v>
      </c>
      <c r="F1662" s="346">
        <v>46270.0</v>
      </c>
      <c r="G1662" s="344" t="s">
        <v>9</v>
      </c>
      <c r="H1662" s="344" t="s">
        <v>12</v>
      </c>
      <c r="I1662" s="427" t="s">
        <v>4778</v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</row>
    <row r="1663" ht="22.5" customHeight="1">
      <c r="A1663" s="176" t="s">
        <v>4780</v>
      </c>
      <c r="B1663" s="369" t="s">
        <v>49</v>
      </c>
      <c r="C1663" s="337">
        <v>1.0</v>
      </c>
      <c r="D1663" s="334" t="s">
        <v>1602</v>
      </c>
      <c r="E1663" s="338">
        <v>52.4</v>
      </c>
      <c r="F1663" s="339">
        <v>46269.0</v>
      </c>
      <c r="G1663" s="334" t="s">
        <v>9</v>
      </c>
      <c r="H1663" s="334" t="s">
        <v>12</v>
      </c>
      <c r="I1663" s="427" t="s">
        <v>4778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</row>
    <row r="1664" ht="22.5" customHeight="1">
      <c r="A1664" s="176" t="s">
        <v>4781</v>
      </c>
      <c r="B1664" s="369" t="s">
        <v>166</v>
      </c>
      <c r="C1664" s="343">
        <v>1.0</v>
      </c>
      <c r="D1664" s="344" t="s">
        <v>1602</v>
      </c>
      <c r="E1664" s="345">
        <v>8.21</v>
      </c>
      <c r="F1664" s="346">
        <v>46273.0</v>
      </c>
      <c r="G1664" s="344" t="s">
        <v>9</v>
      </c>
      <c r="H1664" s="344" t="s">
        <v>12</v>
      </c>
      <c r="I1664" s="427" t="s">
        <v>4403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</row>
    <row r="1665" ht="22.5" customHeight="1">
      <c r="A1665" s="354"/>
      <c r="B1665" s="358"/>
      <c r="C1665" s="356"/>
      <c r="D1665" s="358"/>
      <c r="E1665" s="464">
        <f>SUM(Table131[Order Earnings])</f>
        <v>783.69</v>
      </c>
      <c r="F1665" s="358"/>
      <c r="G1665" s="358"/>
      <c r="H1665" s="358"/>
      <c r="I1665" s="35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</row>
    <row r="1666">
      <c r="A1666" s="199"/>
      <c r="B1666" s="200"/>
      <c r="C1666" s="201"/>
      <c r="D1666" s="200"/>
      <c r="E1666" s="202"/>
      <c r="F1666" s="199"/>
      <c r="G1666" s="199"/>
      <c r="H1666" s="199"/>
      <c r="I1666" s="199"/>
    </row>
    <row r="1667">
      <c r="A1667" s="9"/>
      <c r="B1667" s="9"/>
      <c r="C1667" s="31"/>
      <c r="D1667" s="455">
        <v>46274.0</v>
      </c>
      <c r="E1667" s="353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</row>
    <row r="1668" ht="22.5" customHeight="1">
      <c r="A1668" s="547" t="s">
        <v>1467</v>
      </c>
      <c r="B1668" s="457" t="s">
        <v>1477</v>
      </c>
      <c r="C1668" s="457" t="s">
        <v>1478</v>
      </c>
      <c r="D1668" s="457" t="s">
        <v>1479</v>
      </c>
      <c r="E1668" s="458" t="s">
        <v>1481</v>
      </c>
      <c r="F1668" s="457" t="s">
        <v>1483</v>
      </c>
      <c r="G1668" s="457" t="s">
        <v>1484</v>
      </c>
      <c r="H1668" s="457" t="s">
        <v>1486</v>
      </c>
      <c r="I1668" s="457" t="s">
        <v>1489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</row>
    <row r="1669" ht="22.5" customHeight="1">
      <c r="A1669" s="176" t="s">
        <v>4782</v>
      </c>
      <c r="B1669" s="342">
        <v>5.304531112E9</v>
      </c>
      <c r="C1669" s="343">
        <v>1.0</v>
      </c>
      <c r="D1669" s="344" t="s">
        <v>3475</v>
      </c>
      <c r="E1669" s="345">
        <v>-73.9</v>
      </c>
      <c r="F1669" s="346">
        <v>46247.0</v>
      </c>
      <c r="G1669" s="344" t="s">
        <v>8</v>
      </c>
      <c r="H1669" s="344" t="s">
        <v>11</v>
      </c>
      <c r="I1669" s="427" t="s">
        <v>4783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</row>
    <row r="1670" ht="22.5" customHeight="1">
      <c r="A1670" s="176" t="s">
        <v>4784</v>
      </c>
      <c r="B1670" s="527" t="s">
        <v>4785</v>
      </c>
      <c r="C1670" s="525">
        <v>1.0</v>
      </c>
      <c r="D1670" s="526" t="s">
        <v>1602</v>
      </c>
      <c r="E1670" s="345">
        <v>119.79</v>
      </c>
      <c r="F1670" s="346">
        <v>46273.0</v>
      </c>
      <c r="G1670" s="344" t="s">
        <v>8</v>
      </c>
      <c r="H1670" s="344" t="s">
        <v>53</v>
      </c>
      <c r="I1670" s="427" t="s">
        <v>4395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</row>
    <row r="1671" ht="22.5" customHeight="1">
      <c r="A1671" s="176" t="s">
        <v>4786</v>
      </c>
      <c r="B1671" s="546" t="s">
        <v>458</v>
      </c>
      <c r="C1671" s="539">
        <v>1.0</v>
      </c>
      <c r="D1671" s="334" t="s">
        <v>1602</v>
      </c>
      <c r="E1671" s="338">
        <v>24.49</v>
      </c>
      <c r="F1671" s="339">
        <v>46273.0</v>
      </c>
      <c r="G1671" s="334" t="s">
        <v>9</v>
      </c>
      <c r="H1671" s="334" t="s">
        <v>12</v>
      </c>
      <c r="I1671" s="351" t="s">
        <v>4526</v>
      </c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</row>
    <row r="1672" ht="22.5" customHeight="1">
      <c r="A1672" s="176" t="s">
        <v>4787</v>
      </c>
      <c r="B1672" s="527" t="s">
        <v>4055</v>
      </c>
      <c r="C1672" s="525">
        <v>2.0</v>
      </c>
      <c r="D1672" s="526" t="s">
        <v>1602</v>
      </c>
      <c r="E1672" s="345">
        <v>97.23</v>
      </c>
      <c r="F1672" s="346">
        <v>46273.0</v>
      </c>
      <c r="G1672" s="344" t="s">
        <v>9</v>
      </c>
      <c r="H1672" s="344" t="s">
        <v>12</v>
      </c>
      <c r="I1672" s="427" t="s">
        <v>4788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</row>
    <row r="1673" ht="22.5" customHeight="1">
      <c r="A1673" s="176" t="s">
        <v>4789</v>
      </c>
      <c r="B1673" s="527">
        <v>5.304531112E9</v>
      </c>
      <c r="C1673" s="525">
        <v>1.0</v>
      </c>
      <c r="D1673" s="526" t="s">
        <v>1602</v>
      </c>
      <c r="E1673" s="345">
        <v>51.6</v>
      </c>
      <c r="F1673" s="346">
        <v>46273.0</v>
      </c>
      <c r="G1673" s="344" t="s">
        <v>9</v>
      </c>
      <c r="H1673" s="344" t="s">
        <v>12</v>
      </c>
      <c r="I1673" s="427" t="s">
        <v>4713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</row>
    <row r="1674" ht="22.5" customHeight="1">
      <c r="A1674" s="176" t="s">
        <v>4790</v>
      </c>
      <c r="B1674" s="544" t="s">
        <v>2422</v>
      </c>
      <c r="C1674" s="525">
        <v>1.0</v>
      </c>
      <c r="D1674" s="526" t="s">
        <v>1602</v>
      </c>
      <c r="E1674" s="345">
        <v>47.01</v>
      </c>
      <c r="F1674" s="346">
        <v>46273.0</v>
      </c>
      <c r="G1674" s="344" t="s">
        <v>9</v>
      </c>
      <c r="H1674" s="344" t="s">
        <v>12</v>
      </c>
      <c r="I1674" s="427" t="s">
        <v>4713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</row>
    <row r="1675" ht="22.5" customHeight="1">
      <c r="A1675" s="376" t="s">
        <v>4791</v>
      </c>
      <c r="B1675" s="540" t="s">
        <v>923</v>
      </c>
      <c r="C1675" s="530">
        <v>1.0</v>
      </c>
      <c r="D1675" s="531" t="s">
        <v>1602</v>
      </c>
      <c r="E1675" s="338">
        <v>67.81</v>
      </c>
      <c r="F1675" s="346">
        <v>46273.0</v>
      </c>
      <c r="G1675" s="344" t="s">
        <v>9</v>
      </c>
      <c r="H1675" s="344" t="s">
        <v>12</v>
      </c>
      <c r="I1675" s="427" t="s">
        <v>4713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</row>
    <row r="1676" ht="22.5" customHeight="1">
      <c r="A1676" s="176" t="s">
        <v>4792</v>
      </c>
      <c r="B1676" s="527" t="s">
        <v>4793</v>
      </c>
      <c r="C1676" s="525">
        <v>1.0</v>
      </c>
      <c r="D1676" s="526" t="s">
        <v>1602</v>
      </c>
      <c r="E1676" s="345">
        <v>112.09</v>
      </c>
      <c r="F1676" s="346">
        <v>46273.0</v>
      </c>
      <c r="G1676" s="344" t="s">
        <v>9</v>
      </c>
      <c r="H1676" s="344" t="s">
        <v>53</v>
      </c>
      <c r="I1676" s="427" t="s">
        <v>4650</v>
      </c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</row>
    <row r="1677" ht="22.5" customHeight="1">
      <c r="A1677" s="176" t="s">
        <v>4794</v>
      </c>
      <c r="B1677" s="342">
        <v>5.304534537E9</v>
      </c>
      <c r="C1677" s="343">
        <v>1.0</v>
      </c>
      <c r="D1677" s="344" t="s">
        <v>1602</v>
      </c>
      <c r="E1677" s="345">
        <v>73.56</v>
      </c>
      <c r="F1677" s="346">
        <v>46274.0</v>
      </c>
      <c r="G1677" s="344" t="s">
        <v>9</v>
      </c>
      <c r="H1677" s="344" t="s">
        <v>12</v>
      </c>
      <c r="I1677" s="427" t="s">
        <v>4713</v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</row>
    <row r="1678" ht="22.5" customHeight="1">
      <c r="A1678" s="354"/>
      <c r="B1678" s="358"/>
      <c r="C1678" s="356"/>
      <c r="D1678" s="358"/>
      <c r="E1678" s="464">
        <f>SUM(Table132[Order Earnings])</f>
        <v>519.68</v>
      </c>
      <c r="F1678" s="358"/>
      <c r="G1678" s="358"/>
      <c r="H1678" s="358"/>
      <c r="I1678" s="35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</row>
    <row r="1679">
      <c r="A1679" s="199"/>
      <c r="B1679" s="200"/>
      <c r="C1679" s="201"/>
      <c r="D1679" s="200"/>
      <c r="E1679" s="202"/>
      <c r="F1679" s="199"/>
      <c r="G1679" s="199"/>
      <c r="H1679" s="199"/>
      <c r="I1679" s="199"/>
    </row>
    <row r="1680">
      <c r="A1680" s="9"/>
      <c r="B1680" s="9"/>
      <c r="C1680" s="31"/>
      <c r="D1680" s="455">
        <v>46275.0</v>
      </c>
      <c r="E1680" s="353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</row>
    <row r="1681" ht="22.5" customHeight="1">
      <c r="A1681" s="547" t="s">
        <v>1467</v>
      </c>
      <c r="B1681" s="457" t="s">
        <v>1477</v>
      </c>
      <c r="C1681" s="457" t="s">
        <v>1478</v>
      </c>
      <c r="D1681" s="457" t="s">
        <v>1479</v>
      </c>
      <c r="E1681" s="458" t="s">
        <v>1481</v>
      </c>
      <c r="F1681" s="457" t="s">
        <v>1483</v>
      </c>
      <c r="G1681" s="457" t="s">
        <v>1484</v>
      </c>
      <c r="H1681" s="457" t="s">
        <v>1486</v>
      </c>
      <c r="I1681" s="457" t="s">
        <v>1489</v>
      </c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</row>
    <row r="1682" ht="22.5" customHeight="1">
      <c r="A1682" s="176" t="s">
        <v>4795</v>
      </c>
      <c r="B1682" s="342" t="s">
        <v>4796</v>
      </c>
      <c r="C1682" s="343">
        <v>1.0</v>
      </c>
      <c r="D1682" s="344" t="s">
        <v>1602</v>
      </c>
      <c r="E1682" s="345">
        <v>56.84</v>
      </c>
      <c r="F1682" s="346">
        <v>46274.0</v>
      </c>
      <c r="G1682" s="344" t="s">
        <v>9</v>
      </c>
      <c r="H1682" s="344" t="s">
        <v>1087</v>
      </c>
      <c r="I1682" s="427" t="s">
        <v>4752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</row>
    <row r="1683" ht="22.5" customHeight="1">
      <c r="A1683" s="176" t="s">
        <v>4797</v>
      </c>
      <c r="B1683" s="546" t="s">
        <v>318</v>
      </c>
      <c r="C1683" s="539">
        <v>1.0</v>
      </c>
      <c r="D1683" s="334" t="s">
        <v>1602</v>
      </c>
      <c r="E1683" s="338">
        <v>3.48</v>
      </c>
      <c r="F1683" s="339">
        <v>46274.0</v>
      </c>
      <c r="G1683" s="334" t="s">
        <v>9</v>
      </c>
      <c r="H1683" s="334" t="s">
        <v>11</v>
      </c>
      <c r="I1683" s="351" t="s">
        <v>4681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</row>
    <row r="1684" ht="22.5" customHeight="1">
      <c r="A1684" s="176" t="s">
        <v>4798</v>
      </c>
      <c r="B1684" s="527" t="s">
        <v>1368</v>
      </c>
      <c r="C1684" s="525">
        <v>1.0</v>
      </c>
      <c r="D1684" s="526" t="s">
        <v>1602</v>
      </c>
      <c r="E1684" s="345">
        <v>15.0</v>
      </c>
      <c r="F1684" s="346">
        <v>46274.0</v>
      </c>
      <c r="G1684" s="344" t="s">
        <v>9</v>
      </c>
      <c r="H1684" s="344" t="s">
        <v>11</v>
      </c>
      <c r="I1684" s="427" t="s">
        <v>4752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</row>
    <row r="1685" ht="22.5" customHeight="1">
      <c r="A1685" s="176" t="s">
        <v>4799</v>
      </c>
      <c r="B1685" s="527" t="s">
        <v>2132</v>
      </c>
      <c r="C1685" s="525">
        <v>1.0</v>
      </c>
      <c r="D1685" s="526" t="s">
        <v>1602</v>
      </c>
      <c r="E1685" s="345">
        <v>28.04</v>
      </c>
      <c r="F1685" s="346">
        <v>46274.0</v>
      </c>
      <c r="G1685" s="344" t="s">
        <v>9</v>
      </c>
      <c r="H1685" s="344" t="s">
        <v>1601</v>
      </c>
      <c r="I1685" s="427" t="s">
        <v>4800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</row>
    <row r="1686" ht="22.5" customHeight="1">
      <c r="A1686" s="491" t="s">
        <v>4801</v>
      </c>
      <c r="B1686" s="554" t="s">
        <v>308</v>
      </c>
      <c r="C1686" s="555">
        <v>1.0</v>
      </c>
      <c r="D1686" s="556" t="s">
        <v>1602</v>
      </c>
      <c r="E1686" s="338">
        <v>4.85</v>
      </c>
      <c r="F1686" s="557">
        <v>46274.0</v>
      </c>
      <c r="G1686" s="558" t="s">
        <v>9</v>
      </c>
      <c r="H1686" s="559" t="s">
        <v>1601</v>
      </c>
      <c r="I1686" s="499" t="s">
        <v>4800</v>
      </c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</row>
    <row r="1687" ht="22.5" customHeight="1">
      <c r="A1687" s="376" t="s">
        <v>4802</v>
      </c>
      <c r="B1687" s="527" t="s">
        <v>85</v>
      </c>
      <c r="C1687" s="525">
        <v>1.0</v>
      </c>
      <c r="D1687" s="526" t="s">
        <v>1602</v>
      </c>
      <c r="E1687" s="345">
        <v>48.02</v>
      </c>
      <c r="F1687" s="346">
        <v>46275.0</v>
      </c>
      <c r="G1687" s="344" t="s">
        <v>9</v>
      </c>
      <c r="H1687" s="344" t="s">
        <v>12</v>
      </c>
      <c r="I1687" s="427" t="s">
        <v>4803</v>
      </c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</row>
    <row r="1688" ht="22.5" customHeight="1">
      <c r="A1688" s="176" t="s">
        <v>4804</v>
      </c>
      <c r="B1688" s="544" t="s">
        <v>4805</v>
      </c>
      <c r="C1688" s="525">
        <v>1.0</v>
      </c>
      <c r="D1688" s="526" t="s">
        <v>1602</v>
      </c>
      <c r="E1688" s="345">
        <v>71.62</v>
      </c>
      <c r="F1688" s="346">
        <v>46275.0</v>
      </c>
      <c r="G1688" s="344" t="s">
        <v>9</v>
      </c>
      <c r="H1688" s="344" t="s">
        <v>12</v>
      </c>
      <c r="I1688" s="427" t="s">
        <v>4806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</row>
    <row r="1689" ht="22.5" customHeight="1">
      <c r="A1689" s="176" t="s">
        <v>4807</v>
      </c>
      <c r="B1689" s="540" t="s">
        <v>4808</v>
      </c>
      <c r="C1689" s="530">
        <v>1.0</v>
      </c>
      <c r="D1689" s="531" t="s">
        <v>1602</v>
      </c>
      <c r="E1689" s="338">
        <v>199.89</v>
      </c>
      <c r="F1689" s="346">
        <v>46274.0</v>
      </c>
      <c r="G1689" s="344" t="s">
        <v>9</v>
      </c>
      <c r="H1689" s="344" t="s">
        <v>12</v>
      </c>
      <c r="I1689" s="427" t="s">
        <v>4803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</row>
    <row r="1690" ht="22.5" customHeight="1">
      <c r="A1690" s="176" t="s">
        <v>4809</v>
      </c>
      <c r="B1690" s="527">
        <v>3.16489403E8</v>
      </c>
      <c r="C1690" s="525">
        <v>1.0</v>
      </c>
      <c r="D1690" s="526" t="s">
        <v>1602</v>
      </c>
      <c r="E1690" s="345">
        <v>8.7</v>
      </c>
      <c r="F1690" s="346">
        <v>46274.0</v>
      </c>
      <c r="G1690" s="344" t="s">
        <v>9</v>
      </c>
      <c r="H1690" s="344" t="s">
        <v>12</v>
      </c>
      <c r="I1690" s="427" t="s">
        <v>4806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</row>
    <row r="1691" ht="22.5" customHeight="1">
      <c r="A1691" s="176" t="s">
        <v>4810</v>
      </c>
      <c r="B1691" s="342" t="s">
        <v>1422</v>
      </c>
      <c r="C1691" s="343">
        <v>1.0</v>
      </c>
      <c r="D1691" s="344" t="s">
        <v>1602</v>
      </c>
      <c r="E1691" s="345">
        <v>16.6</v>
      </c>
      <c r="F1691" s="346">
        <v>46274.0</v>
      </c>
      <c r="G1691" s="344" t="s">
        <v>9</v>
      </c>
      <c r="H1691" s="344" t="s">
        <v>12</v>
      </c>
      <c r="I1691" s="427" t="s">
        <v>4803</v>
      </c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</row>
    <row r="1692" ht="22.5" customHeight="1">
      <c r="A1692" s="354"/>
      <c r="B1692" s="358"/>
      <c r="C1692" s="356"/>
      <c r="D1692" s="358"/>
      <c r="E1692" s="464">
        <f>SUM(Table133[Order Earnings])</f>
        <v>453.04</v>
      </c>
      <c r="F1692" s="358"/>
      <c r="G1692" s="358"/>
      <c r="H1692" s="358"/>
      <c r="I1692" s="35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</row>
    <row r="1693">
      <c r="A1693" s="199"/>
      <c r="B1693" s="200"/>
      <c r="C1693" s="201"/>
      <c r="D1693" s="200"/>
      <c r="E1693" s="202"/>
      <c r="F1693" s="199"/>
      <c r="G1693" s="199"/>
      <c r="H1693" s="199"/>
      <c r="I1693" s="199"/>
    </row>
    <row r="1694">
      <c r="A1694" s="9"/>
      <c r="B1694" s="9"/>
      <c r="C1694" s="31"/>
      <c r="D1694" s="455">
        <v>46276.0</v>
      </c>
      <c r="E1694" s="353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</row>
    <row r="1695" ht="22.5" customHeight="1">
      <c r="A1695" s="547" t="s">
        <v>1467</v>
      </c>
      <c r="B1695" s="457" t="s">
        <v>1477</v>
      </c>
      <c r="C1695" s="457" t="s">
        <v>1478</v>
      </c>
      <c r="D1695" s="457" t="s">
        <v>1479</v>
      </c>
      <c r="E1695" s="458" t="s">
        <v>1481</v>
      </c>
      <c r="F1695" s="457" t="s">
        <v>1483</v>
      </c>
      <c r="G1695" s="457" t="s">
        <v>1484</v>
      </c>
      <c r="H1695" s="457" t="s">
        <v>1486</v>
      </c>
      <c r="I1695" s="457" t="s">
        <v>1489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</row>
    <row r="1696" ht="22.5" customHeight="1">
      <c r="A1696" s="176" t="s">
        <v>4811</v>
      </c>
      <c r="B1696" s="527">
        <v>5.30453352E9</v>
      </c>
      <c r="C1696" s="525">
        <v>1.0</v>
      </c>
      <c r="D1696" s="526" t="s">
        <v>1602</v>
      </c>
      <c r="E1696" s="345">
        <v>29.7</v>
      </c>
      <c r="F1696" s="346">
        <v>46275.0</v>
      </c>
      <c r="G1696" s="344" t="s">
        <v>9</v>
      </c>
      <c r="H1696" s="344" t="s">
        <v>1087</v>
      </c>
      <c r="I1696" s="427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</row>
    <row r="1697" ht="22.5" customHeight="1">
      <c r="A1697" s="176" t="s">
        <v>4812</v>
      </c>
      <c r="B1697" s="527" t="s">
        <v>1604</v>
      </c>
      <c r="C1697" s="525">
        <v>1.0</v>
      </c>
      <c r="D1697" s="526" t="s">
        <v>1602</v>
      </c>
      <c r="E1697" s="345">
        <v>201.31</v>
      </c>
      <c r="F1697" s="346">
        <v>46275.0</v>
      </c>
      <c r="G1697" s="344" t="s">
        <v>9</v>
      </c>
      <c r="H1697" s="344" t="s">
        <v>11</v>
      </c>
      <c r="I1697" s="427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</row>
    <row r="1698" ht="22.5" customHeight="1">
      <c r="A1698" s="176" t="s">
        <v>4813</v>
      </c>
      <c r="B1698" s="548" t="s">
        <v>1752</v>
      </c>
      <c r="C1698" s="525">
        <v>1.0</v>
      </c>
      <c r="D1698" s="526" t="s">
        <v>1602</v>
      </c>
      <c r="E1698" s="345">
        <v>55.96</v>
      </c>
      <c r="F1698" s="346">
        <v>46275.0</v>
      </c>
      <c r="G1698" s="344" t="s">
        <v>9</v>
      </c>
      <c r="H1698" s="344" t="s">
        <v>1356</v>
      </c>
      <c r="I1698" s="427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</row>
    <row r="1699" ht="22.5" customHeight="1">
      <c r="A1699" s="176" t="s">
        <v>4814</v>
      </c>
      <c r="B1699" s="342" t="s">
        <v>2144</v>
      </c>
      <c r="C1699" s="343">
        <v>1.0</v>
      </c>
      <c r="D1699" s="344" t="s">
        <v>1532</v>
      </c>
      <c r="E1699" s="345"/>
      <c r="F1699" s="346">
        <v>46275.0</v>
      </c>
      <c r="G1699" s="344" t="s">
        <v>9</v>
      </c>
      <c r="H1699" s="344" t="s">
        <v>1601</v>
      </c>
      <c r="I1699" s="427" t="s">
        <v>4815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</row>
    <row r="1700" ht="22.5" customHeight="1">
      <c r="A1700" s="176" t="s">
        <v>4816</v>
      </c>
      <c r="B1700" s="527" t="s">
        <v>4817</v>
      </c>
      <c r="C1700" s="525">
        <v>1.0</v>
      </c>
      <c r="D1700" s="526" t="s">
        <v>1602</v>
      </c>
      <c r="E1700" s="345">
        <v>66.06</v>
      </c>
      <c r="F1700" s="346">
        <v>46275.0</v>
      </c>
      <c r="G1700" s="344" t="s">
        <v>9</v>
      </c>
      <c r="H1700" s="344" t="s">
        <v>1133</v>
      </c>
      <c r="I1700" s="427" t="s">
        <v>4818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</row>
    <row r="1701" ht="22.5" customHeight="1">
      <c r="A1701" s="176" t="s">
        <v>4819</v>
      </c>
      <c r="B1701" s="546" t="s">
        <v>2929</v>
      </c>
      <c r="C1701" s="539">
        <v>1.0</v>
      </c>
      <c r="D1701" s="334" t="s">
        <v>4820</v>
      </c>
      <c r="E1701" s="338">
        <v>74.09</v>
      </c>
      <c r="F1701" s="339">
        <v>46275.0</v>
      </c>
      <c r="G1701" s="334" t="s">
        <v>9</v>
      </c>
      <c r="H1701" s="334" t="s">
        <v>53</v>
      </c>
      <c r="I1701" s="427" t="s">
        <v>4699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</row>
    <row r="1702" ht="22.5" customHeight="1">
      <c r="A1702" s="176" t="s">
        <v>4821</v>
      </c>
      <c r="B1702" s="342" t="s">
        <v>2369</v>
      </c>
      <c r="C1702" s="343">
        <v>1.0</v>
      </c>
      <c r="D1702" s="344" t="s">
        <v>1532</v>
      </c>
      <c r="E1702" s="345"/>
      <c r="F1702" s="346">
        <v>46275.0</v>
      </c>
      <c r="G1702" s="344" t="s">
        <v>9</v>
      </c>
      <c r="H1702" s="344" t="s">
        <v>3380</v>
      </c>
      <c r="I1702" s="427" t="s">
        <v>4822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</row>
    <row r="1703" ht="22.5" customHeight="1">
      <c r="A1703" s="376" t="s">
        <v>4823</v>
      </c>
      <c r="B1703" s="527" t="s">
        <v>4824</v>
      </c>
      <c r="C1703" s="525">
        <v>1.0</v>
      </c>
      <c r="D1703" s="526" t="s">
        <v>1602</v>
      </c>
      <c r="E1703" s="345">
        <v>71.82</v>
      </c>
      <c r="F1703" s="346">
        <v>46276.0</v>
      </c>
      <c r="G1703" s="344" t="s">
        <v>9</v>
      </c>
      <c r="H1703" s="344" t="s">
        <v>3380</v>
      </c>
      <c r="I1703" s="427" t="s">
        <v>4606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</row>
    <row r="1704" ht="22.5" customHeight="1">
      <c r="A1704" s="176" t="s">
        <v>4825</v>
      </c>
      <c r="B1704" s="546" t="s">
        <v>4826</v>
      </c>
      <c r="C1704" s="539">
        <v>3.0</v>
      </c>
      <c r="D1704" s="334" t="s">
        <v>1602</v>
      </c>
      <c r="E1704" s="338">
        <v>44.38</v>
      </c>
      <c r="F1704" s="339">
        <v>46275.0</v>
      </c>
      <c r="G1704" s="334" t="s">
        <v>8</v>
      </c>
      <c r="H1704" s="334" t="s">
        <v>12</v>
      </c>
      <c r="I1704" s="351" t="s">
        <v>4606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</row>
    <row r="1705" ht="22.5" customHeight="1">
      <c r="A1705" s="176" t="s">
        <v>4827</v>
      </c>
      <c r="B1705" s="527" t="s">
        <v>4828</v>
      </c>
      <c r="C1705" s="525">
        <v>1.0</v>
      </c>
      <c r="D1705" s="526" t="s">
        <v>1602</v>
      </c>
      <c r="E1705" s="345">
        <v>188.74</v>
      </c>
      <c r="F1705" s="346">
        <v>46275.0</v>
      </c>
      <c r="G1705" s="344" t="s">
        <v>9</v>
      </c>
      <c r="H1705" s="344" t="s">
        <v>12</v>
      </c>
      <c r="I1705" s="427" t="s">
        <v>4606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</row>
    <row r="1706" ht="22.5" customHeight="1">
      <c r="A1706" s="176" t="s">
        <v>4829</v>
      </c>
      <c r="B1706" s="540" t="s">
        <v>115</v>
      </c>
      <c r="C1706" s="530">
        <v>1.0</v>
      </c>
      <c r="D1706" s="531" t="s">
        <v>1602</v>
      </c>
      <c r="E1706" s="338">
        <v>25.02</v>
      </c>
      <c r="F1706" s="346">
        <v>46276.0</v>
      </c>
      <c r="G1706" s="344" t="s">
        <v>9</v>
      </c>
      <c r="H1706" s="344" t="s">
        <v>12</v>
      </c>
      <c r="I1706" s="427" t="s">
        <v>4606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</row>
    <row r="1707" ht="22.5" customHeight="1">
      <c r="A1707" s="176" t="s">
        <v>4830</v>
      </c>
      <c r="B1707" s="342" t="s">
        <v>489</v>
      </c>
      <c r="C1707" s="343">
        <v>1.0</v>
      </c>
      <c r="D1707" s="344" t="s">
        <v>1875</v>
      </c>
      <c r="E1707" s="345">
        <v>-49.57</v>
      </c>
      <c r="F1707" s="346">
        <v>46254.0</v>
      </c>
      <c r="G1707" s="344" t="s">
        <v>9</v>
      </c>
      <c r="H1707" s="344" t="s">
        <v>12</v>
      </c>
      <c r="I1707" s="427" t="s">
        <v>4250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</row>
    <row r="1708" ht="22.5" customHeight="1">
      <c r="A1708" s="176" t="s">
        <v>4831</v>
      </c>
      <c r="B1708" s="527" t="s">
        <v>1257</v>
      </c>
      <c r="C1708" s="525">
        <v>1.0</v>
      </c>
      <c r="D1708" s="526" t="s">
        <v>1602</v>
      </c>
      <c r="E1708" s="345">
        <v>33.2</v>
      </c>
      <c r="F1708" s="346">
        <v>46275.0</v>
      </c>
      <c r="G1708" s="344" t="s">
        <v>9</v>
      </c>
      <c r="H1708" s="344" t="s">
        <v>4832</v>
      </c>
      <c r="I1708" s="427" t="s">
        <v>4511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</row>
    <row r="1709" ht="22.5" customHeight="1">
      <c r="A1709" s="354"/>
      <c r="B1709" s="358"/>
      <c r="C1709" s="356"/>
      <c r="D1709" s="358"/>
      <c r="E1709" s="464">
        <f>SUM(Table134[Order Earnings])</f>
        <v>740.71</v>
      </c>
      <c r="F1709" s="358"/>
      <c r="G1709" s="358"/>
      <c r="H1709" s="358"/>
      <c r="I1709" s="35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</row>
    <row r="1710">
      <c r="A1710" s="199"/>
      <c r="B1710" s="200"/>
      <c r="C1710" s="201"/>
      <c r="D1710" s="200"/>
      <c r="E1710" s="202"/>
      <c r="F1710" s="199"/>
      <c r="G1710" s="199"/>
      <c r="H1710" s="199"/>
      <c r="I1710" s="199"/>
    </row>
    <row r="1711">
      <c r="A1711" s="9"/>
      <c r="B1711" s="9"/>
      <c r="C1711" s="31"/>
      <c r="D1711" s="455">
        <v>46279.0</v>
      </c>
      <c r="E1711" s="353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</row>
    <row r="1712" ht="22.5" customHeight="1">
      <c r="A1712" s="547" t="s">
        <v>1467</v>
      </c>
      <c r="B1712" s="457" t="s">
        <v>1477</v>
      </c>
      <c r="C1712" s="457" t="s">
        <v>1478</v>
      </c>
      <c r="D1712" s="457" t="s">
        <v>1479</v>
      </c>
      <c r="E1712" s="458" t="s">
        <v>1481</v>
      </c>
      <c r="F1712" s="457" t="s">
        <v>1483</v>
      </c>
      <c r="G1712" s="457" t="s">
        <v>1484</v>
      </c>
      <c r="H1712" s="457" t="s">
        <v>1486</v>
      </c>
      <c r="I1712" s="457" t="s">
        <v>1489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</row>
    <row r="1713" ht="22.5" customHeight="1">
      <c r="A1713" s="176" t="s">
        <v>4833</v>
      </c>
      <c r="B1713" s="527" t="s">
        <v>1032</v>
      </c>
      <c r="C1713" s="525">
        <v>1.0</v>
      </c>
      <c r="D1713" s="526" t="s">
        <v>4820</v>
      </c>
      <c r="E1713" s="345">
        <v>69.99</v>
      </c>
      <c r="F1713" s="346">
        <v>46276.0</v>
      </c>
      <c r="G1713" s="344" t="s">
        <v>9</v>
      </c>
      <c r="H1713" s="344" t="s">
        <v>53</v>
      </c>
      <c r="I1713" s="427" t="s">
        <v>4834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</row>
    <row r="1714" ht="22.5" customHeight="1">
      <c r="A1714" s="176" t="s">
        <v>4835</v>
      </c>
      <c r="B1714" s="560" t="s">
        <v>461</v>
      </c>
      <c r="C1714" s="525">
        <v>1.0</v>
      </c>
      <c r="D1714" s="526" t="s">
        <v>1532</v>
      </c>
      <c r="E1714" s="345"/>
      <c r="F1714" s="346">
        <v>46278.0</v>
      </c>
      <c r="G1714" s="344" t="s">
        <v>9</v>
      </c>
      <c r="H1714" s="344" t="s">
        <v>1601</v>
      </c>
      <c r="I1714" s="427" t="s">
        <v>4836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</row>
    <row r="1715" ht="22.5" customHeight="1">
      <c r="A1715" s="354"/>
      <c r="B1715" s="358"/>
      <c r="C1715" s="356"/>
      <c r="D1715" s="358"/>
      <c r="E1715" s="464">
        <f>SUM(Table135[Order Earnings])</f>
        <v>69.99</v>
      </c>
      <c r="F1715" s="358"/>
      <c r="G1715" s="358"/>
      <c r="H1715" s="358"/>
      <c r="I1715" s="35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</row>
    <row r="1716">
      <c r="A1716" s="199"/>
      <c r="B1716" s="200"/>
      <c r="C1716" s="201"/>
      <c r="D1716" s="200"/>
      <c r="E1716" s="202"/>
      <c r="F1716" s="199"/>
      <c r="G1716" s="199"/>
      <c r="H1716" s="199"/>
      <c r="I1716" s="199"/>
    </row>
    <row r="1717">
      <c r="A1717" s="9"/>
      <c r="B1717" s="9"/>
      <c r="C1717" s="31"/>
      <c r="D1717" s="455">
        <v>46280.0</v>
      </c>
      <c r="E1717" s="353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</row>
    <row r="1718" ht="22.5" customHeight="1">
      <c r="A1718" s="547" t="s">
        <v>1467</v>
      </c>
      <c r="B1718" s="457" t="s">
        <v>1477</v>
      </c>
      <c r="C1718" s="457" t="s">
        <v>1478</v>
      </c>
      <c r="D1718" s="457" t="s">
        <v>1479</v>
      </c>
      <c r="E1718" s="458" t="s">
        <v>1481</v>
      </c>
      <c r="F1718" s="457" t="s">
        <v>1483</v>
      </c>
      <c r="G1718" s="457" t="s">
        <v>1484</v>
      </c>
      <c r="H1718" s="457" t="s">
        <v>1486</v>
      </c>
      <c r="I1718" s="457" t="s">
        <v>1489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</row>
    <row r="1719" ht="22.5" customHeight="1">
      <c r="A1719" s="176" t="s">
        <v>4837</v>
      </c>
      <c r="B1719" s="342" t="s">
        <v>1856</v>
      </c>
      <c r="C1719" s="343">
        <v>1.0</v>
      </c>
      <c r="D1719" s="344" t="s">
        <v>1602</v>
      </c>
      <c r="E1719" s="345">
        <v>12.95</v>
      </c>
      <c r="F1719" s="346">
        <v>46280.0</v>
      </c>
      <c r="G1719" s="344" t="s">
        <v>9</v>
      </c>
      <c r="H1719" s="344" t="s">
        <v>12</v>
      </c>
      <c r="I1719" s="427" t="s">
        <v>4838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</row>
    <row r="1720" ht="22.5" customHeight="1">
      <c r="A1720" s="176" t="s">
        <v>4839</v>
      </c>
      <c r="B1720" s="527">
        <v>5.304535641E9</v>
      </c>
      <c r="C1720" s="343">
        <v>1.0</v>
      </c>
      <c r="D1720" s="344" t="s">
        <v>1602</v>
      </c>
      <c r="E1720" s="345">
        <v>22.14</v>
      </c>
      <c r="F1720" s="346">
        <v>46280.0</v>
      </c>
      <c r="G1720" s="344" t="s">
        <v>9</v>
      </c>
      <c r="H1720" s="344" t="s">
        <v>12</v>
      </c>
      <c r="I1720" s="427" t="s">
        <v>4838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</row>
    <row r="1721" ht="22.5" customHeight="1">
      <c r="A1721" s="176" t="s">
        <v>4840</v>
      </c>
      <c r="B1721" s="546" t="s">
        <v>1032</v>
      </c>
      <c r="C1721" s="343">
        <v>1.0</v>
      </c>
      <c r="D1721" s="344" t="s">
        <v>1602</v>
      </c>
      <c r="E1721" s="338">
        <v>85.55</v>
      </c>
      <c r="F1721" s="346">
        <v>46280.0</v>
      </c>
      <c r="G1721" s="344" t="s">
        <v>9</v>
      </c>
      <c r="H1721" s="344" t="s">
        <v>12</v>
      </c>
      <c r="I1721" s="351" t="s">
        <v>4841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</row>
    <row r="1722" ht="22.5" customHeight="1">
      <c r="A1722" s="176" t="s">
        <v>4842</v>
      </c>
      <c r="B1722" s="527" t="s">
        <v>4843</v>
      </c>
      <c r="C1722" s="343">
        <v>1.0</v>
      </c>
      <c r="D1722" s="344" t="s">
        <v>1602</v>
      </c>
      <c r="E1722" s="345">
        <v>17.07</v>
      </c>
      <c r="F1722" s="346">
        <v>46280.0</v>
      </c>
      <c r="G1722" s="344" t="s">
        <v>9</v>
      </c>
      <c r="H1722" s="344" t="s">
        <v>12</v>
      </c>
      <c r="I1722" s="351" t="s">
        <v>4841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</row>
    <row r="1723" ht="22.5" customHeight="1">
      <c r="A1723" s="176" t="s">
        <v>4844</v>
      </c>
      <c r="B1723" s="527">
        <v>5.304536819E9</v>
      </c>
      <c r="C1723" s="343">
        <v>1.0</v>
      </c>
      <c r="D1723" s="344" t="s">
        <v>1602</v>
      </c>
      <c r="E1723" s="345">
        <v>46.77</v>
      </c>
      <c r="F1723" s="346">
        <v>46280.0</v>
      </c>
      <c r="G1723" s="344" t="s">
        <v>9</v>
      </c>
      <c r="H1723" s="344" t="s">
        <v>12</v>
      </c>
      <c r="I1723" s="351" t="s">
        <v>4841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</row>
    <row r="1724" ht="22.5" customHeight="1">
      <c r="A1724" s="176" t="s">
        <v>4845</v>
      </c>
      <c r="B1724" s="540" t="s">
        <v>23</v>
      </c>
      <c r="C1724" s="530">
        <v>1.0</v>
      </c>
      <c r="D1724" s="531" t="s">
        <v>1602</v>
      </c>
      <c r="E1724" s="338">
        <v>19.03</v>
      </c>
      <c r="F1724" s="346">
        <v>46280.0</v>
      </c>
      <c r="G1724" s="344" t="s">
        <v>8</v>
      </c>
      <c r="H1724" s="344" t="s">
        <v>12</v>
      </c>
      <c r="I1724" s="427" t="s">
        <v>4838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</row>
    <row r="1725" ht="22.5" customHeight="1">
      <c r="A1725" s="176" t="s">
        <v>4846</v>
      </c>
      <c r="B1725" s="548" t="s">
        <v>4847</v>
      </c>
      <c r="C1725" s="525">
        <v>1.0</v>
      </c>
      <c r="D1725" s="526" t="s">
        <v>1602</v>
      </c>
      <c r="E1725" s="345">
        <v>28.16</v>
      </c>
      <c r="F1725" s="346">
        <v>46279.0</v>
      </c>
      <c r="G1725" s="344" t="s">
        <v>9</v>
      </c>
      <c r="H1725" s="344" t="s">
        <v>351</v>
      </c>
      <c r="I1725" s="427" t="s">
        <v>4465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</row>
    <row r="1726" ht="22.5" customHeight="1">
      <c r="A1726" s="176" t="s">
        <v>4848</v>
      </c>
      <c r="B1726" s="527" t="s">
        <v>4849</v>
      </c>
      <c r="C1726" s="525">
        <v>1.0</v>
      </c>
      <c r="D1726" s="526" t="s">
        <v>1875</v>
      </c>
      <c r="E1726" s="345">
        <v>-35.09</v>
      </c>
      <c r="F1726" s="346">
        <v>46262.0</v>
      </c>
      <c r="G1726" s="344" t="s">
        <v>9</v>
      </c>
      <c r="H1726" s="344" t="s">
        <v>3380</v>
      </c>
      <c r="I1726" s="427" t="s">
        <v>4850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</row>
    <row r="1727" ht="22.5" customHeight="1">
      <c r="A1727" s="354"/>
      <c r="B1727" s="358"/>
      <c r="C1727" s="356"/>
      <c r="D1727" s="358"/>
      <c r="E1727" s="464">
        <f>SUM(Table136[Order Earnings])</f>
        <v>196.58</v>
      </c>
      <c r="F1727" s="358"/>
      <c r="G1727" s="358"/>
      <c r="H1727" s="358"/>
      <c r="I1727" s="35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</row>
    <row r="1728">
      <c r="A1728" s="199"/>
      <c r="B1728" s="200"/>
      <c r="C1728" s="201"/>
      <c r="D1728" s="200"/>
      <c r="E1728" s="202"/>
      <c r="F1728" s="199"/>
      <c r="G1728" s="199"/>
      <c r="H1728" s="199"/>
      <c r="I1728" s="199"/>
    </row>
    <row r="1729">
      <c r="A1729" s="9"/>
      <c r="B1729" s="9"/>
      <c r="C1729" s="31"/>
      <c r="D1729" s="455">
        <v>46281.0</v>
      </c>
      <c r="E1729" s="353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</row>
    <row r="1730" ht="22.5" customHeight="1">
      <c r="A1730" s="547" t="s">
        <v>1467</v>
      </c>
      <c r="B1730" s="457" t="s">
        <v>1477</v>
      </c>
      <c r="C1730" s="457" t="s">
        <v>1478</v>
      </c>
      <c r="D1730" s="457" t="s">
        <v>1479</v>
      </c>
      <c r="E1730" s="458" t="s">
        <v>1481</v>
      </c>
      <c r="F1730" s="457" t="s">
        <v>1483</v>
      </c>
      <c r="G1730" s="457" t="s">
        <v>1484</v>
      </c>
      <c r="H1730" s="457" t="s">
        <v>1486</v>
      </c>
      <c r="I1730" s="457" t="s">
        <v>1489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</row>
    <row r="1731" ht="22.5" customHeight="1">
      <c r="A1731" s="176" t="s">
        <v>4851</v>
      </c>
      <c r="B1731" s="342">
        <v>5.304519758E9</v>
      </c>
      <c r="C1731" s="343">
        <v>1.0</v>
      </c>
      <c r="D1731" s="344" t="s">
        <v>1602</v>
      </c>
      <c r="E1731" s="345">
        <v>58.75</v>
      </c>
      <c r="F1731" s="346">
        <v>46276.0</v>
      </c>
      <c r="G1731" s="344" t="s">
        <v>8</v>
      </c>
      <c r="H1731" s="344" t="s">
        <v>11</v>
      </c>
      <c r="I1731" s="427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</row>
    <row r="1732" ht="22.5" customHeight="1">
      <c r="A1732" s="176" t="s">
        <v>4852</v>
      </c>
      <c r="B1732" s="561" t="s">
        <v>1655</v>
      </c>
      <c r="C1732" s="562">
        <v>1.0</v>
      </c>
      <c r="D1732" s="556" t="s">
        <v>1602</v>
      </c>
      <c r="E1732" s="338">
        <v>45.49</v>
      </c>
      <c r="F1732" s="563">
        <v>46279.0</v>
      </c>
      <c r="G1732" s="564" t="s">
        <v>9</v>
      </c>
      <c r="H1732" s="565" t="s">
        <v>11</v>
      </c>
      <c r="I1732" s="566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</row>
    <row r="1733" ht="22.5" customHeight="1">
      <c r="A1733" s="176" t="s">
        <v>4853</v>
      </c>
      <c r="B1733" s="474" t="s">
        <v>4854</v>
      </c>
      <c r="C1733" s="337">
        <v>1.0</v>
      </c>
      <c r="D1733" s="334" t="s">
        <v>1602</v>
      </c>
      <c r="E1733" s="338">
        <v>34.06</v>
      </c>
      <c r="F1733" s="346">
        <v>46277.0</v>
      </c>
      <c r="G1733" s="344" t="s">
        <v>9</v>
      </c>
      <c r="H1733" s="344" t="s">
        <v>11</v>
      </c>
      <c r="I1733" s="335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</row>
    <row r="1734" ht="22.5" customHeight="1">
      <c r="A1734" s="176" t="s">
        <v>4855</v>
      </c>
      <c r="B1734" s="369" t="s">
        <v>4856</v>
      </c>
      <c r="C1734" s="343">
        <v>1.0</v>
      </c>
      <c r="D1734" s="344" t="s">
        <v>1602</v>
      </c>
      <c r="E1734" s="345">
        <v>13.8</v>
      </c>
      <c r="F1734" s="346">
        <v>46277.0</v>
      </c>
      <c r="G1734" s="344" t="s">
        <v>9</v>
      </c>
      <c r="H1734" s="344" t="s">
        <v>11</v>
      </c>
      <c r="I1734" s="335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</row>
    <row r="1735" ht="22.5" customHeight="1">
      <c r="A1735" s="176" t="s">
        <v>4857</v>
      </c>
      <c r="B1735" s="369" t="s">
        <v>3337</v>
      </c>
      <c r="C1735" s="343">
        <v>1.0</v>
      </c>
      <c r="D1735" s="344" t="s">
        <v>1532</v>
      </c>
      <c r="E1735" s="475"/>
      <c r="F1735" s="346">
        <v>46278.0</v>
      </c>
      <c r="G1735" s="344" t="s">
        <v>9</v>
      </c>
      <c r="H1735" s="344" t="s">
        <v>11</v>
      </c>
      <c r="I1735" s="427" t="s">
        <v>3687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</row>
    <row r="1736" ht="22.5" customHeight="1">
      <c r="A1736" s="176" t="s">
        <v>4858</v>
      </c>
      <c r="B1736" s="342" t="s">
        <v>4298</v>
      </c>
      <c r="C1736" s="343">
        <v>1.0</v>
      </c>
      <c r="D1736" s="344" t="s">
        <v>3475</v>
      </c>
      <c r="E1736" s="345">
        <v>-59.35</v>
      </c>
      <c r="F1736" s="346">
        <v>46256.0</v>
      </c>
      <c r="G1736" s="344" t="s">
        <v>9</v>
      </c>
      <c r="H1736" s="344" t="s">
        <v>11</v>
      </c>
      <c r="I1736" s="427" t="s">
        <v>4859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</row>
    <row r="1737" ht="22.5" customHeight="1">
      <c r="A1737" s="176" t="s">
        <v>4860</v>
      </c>
      <c r="B1737" s="540" t="s">
        <v>1799</v>
      </c>
      <c r="C1737" s="530">
        <v>1.0</v>
      </c>
      <c r="D1737" s="531" t="s">
        <v>1602</v>
      </c>
      <c r="E1737" s="338">
        <v>26.13</v>
      </c>
      <c r="F1737" s="346">
        <v>46281.0</v>
      </c>
      <c r="G1737" s="344" t="s">
        <v>9</v>
      </c>
      <c r="H1737" s="344" t="s">
        <v>1356</v>
      </c>
      <c r="I1737" s="427" t="s">
        <v>4752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</row>
    <row r="1738" ht="22.5" customHeight="1">
      <c r="A1738" s="176" t="s">
        <v>4861</v>
      </c>
      <c r="B1738" s="527" t="s">
        <v>854</v>
      </c>
      <c r="C1738" s="525">
        <v>1.0</v>
      </c>
      <c r="D1738" s="526" t="s">
        <v>1602</v>
      </c>
      <c r="E1738" s="345">
        <v>6.39</v>
      </c>
      <c r="F1738" s="346">
        <v>46280.0</v>
      </c>
      <c r="G1738" s="344" t="s">
        <v>9</v>
      </c>
      <c r="H1738" s="344" t="s">
        <v>1087</v>
      </c>
      <c r="I1738" s="427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</row>
    <row r="1739" ht="22.5" customHeight="1">
      <c r="A1739" s="176" t="s">
        <v>4862</v>
      </c>
      <c r="B1739" s="548" t="s">
        <v>1257</v>
      </c>
      <c r="C1739" s="525">
        <v>1.0</v>
      </c>
      <c r="D1739" s="526" t="s">
        <v>1602</v>
      </c>
      <c r="E1739" s="345">
        <v>32.19</v>
      </c>
      <c r="F1739" s="346">
        <v>46280.0</v>
      </c>
      <c r="G1739" s="344" t="s">
        <v>9</v>
      </c>
      <c r="H1739" s="344" t="s">
        <v>12</v>
      </c>
      <c r="I1739" s="427" t="s">
        <v>4526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</row>
    <row r="1740" ht="22.5" customHeight="1">
      <c r="A1740" s="176" t="s">
        <v>4863</v>
      </c>
      <c r="B1740" s="342" t="s">
        <v>2042</v>
      </c>
      <c r="C1740" s="343">
        <v>1.0</v>
      </c>
      <c r="D1740" s="344" t="s">
        <v>1532</v>
      </c>
      <c r="E1740" s="345"/>
      <c r="F1740" s="346">
        <v>46280.0</v>
      </c>
      <c r="G1740" s="344" t="s">
        <v>9</v>
      </c>
      <c r="H1740" s="344" t="s">
        <v>1601</v>
      </c>
      <c r="I1740" s="427" t="s">
        <v>4864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</row>
    <row r="1741" ht="22.5" customHeight="1">
      <c r="A1741" s="176" t="s">
        <v>4865</v>
      </c>
      <c r="B1741" s="561" t="s">
        <v>3207</v>
      </c>
      <c r="C1741" s="562">
        <v>1.0</v>
      </c>
      <c r="D1741" s="556" t="s">
        <v>1532</v>
      </c>
      <c r="E1741" s="489"/>
      <c r="F1741" s="563">
        <v>46281.0</v>
      </c>
      <c r="G1741" s="564" t="s">
        <v>9</v>
      </c>
      <c r="H1741" s="565" t="s">
        <v>53</v>
      </c>
      <c r="I1741" s="499" t="s">
        <v>4866</v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</row>
    <row r="1742" ht="22.5" customHeight="1">
      <c r="A1742" s="354"/>
      <c r="B1742" s="358"/>
      <c r="C1742" s="356"/>
      <c r="D1742" s="358"/>
      <c r="E1742" s="464">
        <f>SUM(Table137[Order Earnings])</f>
        <v>157.46</v>
      </c>
      <c r="F1742" s="358"/>
      <c r="G1742" s="358"/>
      <c r="H1742" s="358"/>
      <c r="I1742" s="35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</row>
    <row r="1743">
      <c r="A1743" s="199"/>
      <c r="B1743" s="200"/>
      <c r="C1743" s="201"/>
      <c r="D1743" s="200"/>
      <c r="E1743" s="202"/>
      <c r="F1743" s="199"/>
      <c r="G1743" s="199"/>
      <c r="H1743" s="199"/>
      <c r="I1743" s="199"/>
    </row>
    <row r="1744">
      <c r="A1744" s="9"/>
      <c r="B1744" s="9"/>
      <c r="C1744" s="31"/>
      <c r="D1744" s="455">
        <v>46282.0</v>
      </c>
      <c r="E1744" s="353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</row>
    <row r="1745" ht="22.5" customHeight="1">
      <c r="A1745" s="547" t="s">
        <v>1467</v>
      </c>
      <c r="B1745" s="457" t="s">
        <v>1477</v>
      </c>
      <c r="C1745" s="457" t="s">
        <v>1478</v>
      </c>
      <c r="D1745" s="457" t="s">
        <v>1479</v>
      </c>
      <c r="E1745" s="458" t="s">
        <v>1481</v>
      </c>
      <c r="F1745" s="457" t="s">
        <v>1483</v>
      </c>
      <c r="G1745" s="457" t="s">
        <v>1484</v>
      </c>
      <c r="H1745" s="457" t="s">
        <v>1486</v>
      </c>
      <c r="I1745" s="457" t="s">
        <v>1489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</row>
    <row r="1746" ht="22.5" customHeight="1">
      <c r="A1746" s="176" t="s">
        <v>4867</v>
      </c>
      <c r="B1746" s="342">
        <v>5.304532199E9</v>
      </c>
      <c r="C1746" s="343">
        <v>1.0</v>
      </c>
      <c r="D1746" s="344" t="s">
        <v>1602</v>
      </c>
      <c r="E1746" s="345">
        <v>30.12</v>
      </c>
      <c r="F1746" s="346">
        <v>46281.0</v>
      </c>
      <c r="G1746" s="344" t="s">
        <v>9</v>
      </c>
      <c r="H1746" s="344" t="s">
        <v>12</v>
      </c>
      <c r="I1746" s="427" t="s">
        <v>4868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</row>
    <row r="1747" ht="22.5" customHeight="1">
      <c r="A1747" s="176" t="s">
        <v>4869</v>
      </c>
      <c r="B1747" s="527">
        <v>5.304526068E9</v>
      </c>
      <c r="C1747" s="343">
        <v>1.0</v>
      </c>
      <c r="D1747" s="344" t="s">
        <v>1602</v>
      </c>
      <c r="E1747" s="345">
        <v>66.42</v>
      </c>
      <c r="F1747" s="346">
        <v>46281.0</v>
      </c>
      <c r="G1747" s="344" t="s">
        <v>9</v>
      </c>
      <c r="H1747" s="344" t="s">
        <v>12</v>
      </c>
      <c r="I1747" s="427" t="s">
        <v>4868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</row>
    <row r="1748" ht="22.5" customHeight="1">
      <c r="A1748" s="176" t="s">
        <v>4870</v>
      </c>
      <c r="B1748" s="546" t="s">
        <v>250</v>
      </c>
      <c r="C1748" s="343">
        <v>1.0</v>
      </c>
      <c r="D1748" s="344" t="s">
        <v>1602</v>
      </c>
      <c r="E1748" s="338">
        <v>21.03</v>
      </c>
      <c r="F1748" s="346">
        <v>46281.0</v>
      </c>
      <c r="G1748" s="344" t="s">
        <v>9</v>
      </c>
      <c r="H1748" s="344" t="s">
        <v>12</v>
      </c>
      <c r="I1748" s="351" t="s">
        <v>4871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</row>
    <row r="1749" ht="22.5" customHeight="1">
      <c r="A1749" s="176" t="s">
        <v>4872</v>
      </c>
      <c r="B1749" s="548" t="s">
        <v>2484</v>
      </c>
      <c r="C1749" s="525">
        <v>1.0</v>
      </c>
      <c r="D1749" s="526" t="s">
        <v>1602</v>
      </c>
      <c r="E1749" s="345">
        <v>26.85</v>
      </c>
      <c r="F1749" s="346">
        <v>46282.0</v>
      </c>
      <c r="G1749" s="344" t="s">
        <v>8</v>
      </c>
      <c r="H1749" s="344" t="s">
        <v>12</v>
      </c>
      <c r="I1749" s="427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</row>
    <row r="1750" ht="22.5" customHeight="1">
      <c r="A1750" s="176" t="s">
        <v>4873</v>
      </c>
      <c r="B1750" s="527" t="s">
        <v>651</v>
      </c>
      <c r="C1750" s="343">
        <v>1.0</v>
      </c>
      <c r="D1750" s="344" t="s">
        <v>1602</v>
      </c>
      <c r="E1750" s="345">
        <v>49.38</v>
      </c>
      <c r="F1750" s="346">
        <v>46281.0</v>
      </c>
      <c r="G1750" s="344" t="s">
        <v>9</v>
      </c>
      <c r="H1750" s="344" t="s">
        <v>11</v>
      </c>
      <c r="I1750" s="351" t="s">
        <v>4874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</row>
    <row r="1751" ht="22.5" customHeight="1">
      <c r="A1751" s="176" t="s">
        <v>4875</v>
      </c>
      <c r="B1751" s="527" t="s">
        <v>1560</v>
      </c>
      <c r="C1751" s="343">
        <v>1.0</v>
      </c>
      <c r="D1751" s="344" t="s">
        <v>1602</v>
      </c>
      <c r="E1751" s="345">
        <v>86.09</v>
      </c>
      <c r="F1751" s="346">
        <v>46282.0</v>
      </c>
      <c r="G1751" s="344" t="s">
        <v>9</v>
      </c>
      <c r="H1751" s="344" t="s">
        <v>11</v>
      </c>
      <c r="I1751" s="351" t="s">
        <v>4874</v>
      </c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</row>
    <row r="1752" ht="22.5" customHeight="1">
      <c r="A1752" s="176" t="s">
        <v>4876</v>
      </c>
      <c r="B1752" s="540" t="s">
        <v>461</v>
      </c>
      <c r="C1752" s="530">
        <v>1.0</v>
      </c>
      <c r="D1752" s="531" t="s">
        <v>1532</v>
      </c>
      <c r="E1752" s="338"/>
      <c r="F1752" s="346">
        <v>46282.0</v>
      </c>
      <c r="G1752" s="344" t="s">
        <v>9</v>
      </c>
      <c r="H1752" s="344" t="s">
        <v>1601</v>
      </c>
      <c r="I1752" s="427" t="s">
        <v>4864</v>
      </c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</row>
    <row r="1753" ht="22.5" customHeight="1">
      <c r="A1753" s="354"/>
      <c r="B1753" s="358"/>
      <c r="C1753" s="356"/>
      <c r="D1753" s="358"/>
      <c r="E1753" s="464">
        <f>SUM(Table138[Order Earnings])</f>
        <v>279.89</v>
      </c>
      <c r="F1753" s="358"/>
      <c r="G1753" s="358"/>
      <c r="H1753" s="358"/>
      <c r="I1753" s="35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</row>
    <row r="1754">
      <c r="A1754" s="199"/>
      <c r="B1754" s="200"/>
      <c r="C1754" s="201"/>
      <c r="D1754" s="200"/>
      <c r="E1754" s="202"/>
      <c r="F1754" s="199"/>
      <c r="G1754" s="199"/>
      <c r="H1754" s="199"/>
      <c r="I1754" s="199"/>
    </row>
    <row r="1755">
      <c r="A1755" s="9"/>
      <c r="B1755" s="9"/>
      <c r="C1755" s="31"/>
      <c r="D1755" s="455">
        <v>46283.0</v>
      </c>
      <c r="E1755" s="353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</row>
    <row r="1756" ht="22.5" customHeight="1">
      <c r="A1756" s="547" t="s">
        <v>1467</v>
      </c>
      <c r="B1756" s="457" t="s">
        <v>1477</v>
      </c>
      <c r="C1756" s="457" t="s">
        <v>1478</v>
      </c>
      <c r="D1756" s="457" t="s">
        <v>1479</v>
      </c>
      <c r="E1756" s="458" t="s">
        <v>1481</v>
      </c>
      <c r="F1756" s="457" t="s">
        <v>1483</v>
      </c>
      <c r="G1756" s="457" t="s">
        <v>1484</v>
      </c>
      <c r="H1756" s="457" t="s">
        <v>1486</v>
      </c>
      <c r="I1756" s="457" t="s">
        <v>1489</v>
      </c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</row>
    <row r="1757" ht="22.5" customHeight="1">
      <c r="A1757" s="176" t="s">
        <v>4877</v>
      </c>
      <c r="B1757" s="342" t="s">
        <v>4878</v>
      </c>
      <c r="C1757" s="343">
        <v>1.0</v>
      </c>
      <c r="D1757" s="344" t="s">
        <v>4820</v>
      </c>
      <c r="E1757" s="345"/>
      <c r="F1757" s="346">
        <v>46282.0</v>
      </c>
      <c r="G1757" s="344" t="s">
        <v>9</v>
      </c>
      <c r="H1757" s="344" t="s">
        <v>12</v>
      </c>
      <c r="I1757" s="427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</row>
    <row r="1758" ht="22.5" customHeight="1">
      <c r="A1758" s="176" t="s">
        <v>4879</v>
      </c>
      <c r="B1758" s="527">
        <v>5.30452476E8</v>
      </c>
      <c r="C1758" s="343">
        <v>1.0</v>
      </c>
      <c r="D1758" s="344" t="s">
        <v>4820</v>
      </c>
      <c r="E1758" s="345"/>
      <c r="F1758" s="346">
        <v>46282.0</v>
      </c>
      <c r="G1758" s="344" t="s">
        <v>9</v>
      </c>
      <c r="H1758" s="344" t="s">
        <v>12</v>
      </c>
      <c r="I1758" s="427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</row>
    <row r="1759" ht="22.5" customHeight="1">
      <c r="A1759" s="189"/>
      <c r="B1759" s="546"/>
      <c r="C1759" s="343"/>
      <c r="D1759" s="567"/>
      <c r="E1759" s="338"/>
      <c r="F1759" s="346"/>
      <c r="G1759" s="567"/>
      <c r="H1759" s="567"/>
      <c r="I1759" s="351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</row>
    <row r="1760" ht="22.5" customHeight="1">
      <c r="A1760" s="189"/>
      <c r="B1760" s="527"/>
      <c r="C1760" s="343"/>
      <c r="D1760" s="567"/>
      <c r="E1760" s="345"/>
      <c r="F1760" s="346"/>
      <c r="G1760" s="567"/>
      <c r="H1760" s="567"/>
      <c r="I1760" s="351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</row>
    <row r="1761" ht="22.5" customHeight="1">
      <c r="A1761" s="189"/>
      <c r="B1761" s="527"/>
      <c r="C1761" s="343"/>
      <c r="D1761" s="567"/>
      <c r="E1761" s="345"/>
      <c r="F1761" s="346"/>
      <c r="G1761" s="567"/>
      <c r="H1761" s="567"/>
      <c r="I1761" s="351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</row>
    <row r="1762" ht="22.5" customHeight="1">
      <c r="A1762" s="189"/>
      <c r="B1762" s="548"/>
      <c r="C1762" s="525"/>
      <c r="D1762" s="568"/>
      <c r="E1762" s="345"/>
      <c r="F1762" s="346"/>
      <c r="G1762" s="567"/>
      <c r="H1762" s="567"/>
      <c r="I1762" s="427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</row>
    <row r="1763" ht="22.5" customHeight="1">
      <c r="A1763" s="189"/>
      <c r="B1763" s="540"/>
      <c r="C1763" s="530"/>
      <c r="D1763" s="569"/>
      <c r="E1763" s="338"/>
      <c r="F1763" s="346"/>
      <c r="G1763" s="567"/>
      <c r="H1763" s="567"/>
      <c r="I1763" s="427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</row>
    <row r="1764" ht="22.5" customHeight="1">
      <c r="A1764" s="189"/>
      <c r="B1764" s="527"/>
      <c r="C1764" s="525"/>
      <c r="D1764" s="568"/>
      <c r="E1764" s="345"/>
      <c r="F1764" s="346"/>
      <c r="G1764" s="567"/>
      <c r="H1764" s="567"/>
      <c r="I1764" s="427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</row>
    <row r="1765" ht="22.5" customHeight="1">
      <c r="A1765" s="189"/>
      <c r="B1765" s="342"/>
      <c r="C1765" s="343"/>
      <c r="D1765" s="567"/>
      <c r="E1765" s="345"/>
      <c r="F1765" s="346"/>
      <c r="G1765" s="567"/>
      <c r="H1765" s="567"/>
      <c r="I1765" s="427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</row>
    <row r="1766" ht="22.5" customHeight="1">
      <c r="A1766" s="189"/>
      <c r="B1766" s="561"/>
      <c r="C1766" s="562"/>
      <c r="D1766" s="570"/>
      <c r="E1766" s="489"/>
      <c r="F1766" s="563"/>
      <c r="G1766" s="571"/>
      <c r="H1766" s="572"/>
      <c r="I1766" s="566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</row>
    <row r="1767" ht="22.5" customHeight="1">
      <c r="A1767" s="186"/>
      <c r="B1767" s="369"/>
      <c r="C1767" s="343"/>
      <c r="D1767" s="567"/>
      <c r="E1767" s="475"/>
      <c r="F1767" s="346"/>
      <c r="G1767" s="567"/>
      <c r="H1767" s="567"/>
      <c r="I1767" s="335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</row>
    <row r="1768" ht="22.5" customHeight="1">
      <c r="A1768" s="186"/>
      <c r="B1768" s="474"/>
      <c r="C1768" s="337"/>
      <c r="D1768" s="573"/>
      <c r="E1768" s="489"/>
      <c r="F1768" s="346"/>
      <c r="G1768" s="567"/>
      <c r="H1768" s="567"/>
      <c r="I1768" s="335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</row>
    <row r="1769" ht="22.5" customHeight="1">
      <c r="A1769" s="189"/>
      <c r="B1769" s="369"/>
      <c r="C1769" s="343"/>
      <c r="D1769" s="567"/>
      <c r="E1769" s="475"/>
      <c r="F1769" s="346"/>
      <c r="G1769" s="567"/>
      <c r="H1769" s="567"/>
      <c r="I1769" s="335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</row>
    <row r="1770" ht="22.5" customHeight="1">
      <c r="A1770" s="574"/>
      <c r="B1770" s="575"/>
      <c r="C1770" s="541"/>
      <c r="D1770" s="576"/>
      <c r="E1770" s="489"/>
      <c r="F1770" s="577"/>
      <c r="G1770" s="576"/>
      <c r="H1770" s="576"/>
      <c r="I1770" s="335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</row>
    <row r="1771" ht="22.5" customHeight="1">
      <c r="A1771" s="578"/>
      <c r="B1771" s="579"/>
      <c r="C1771" s="580"/>
      <c r="D1771" s="581"/>
      <c r="E1771" s="475"/>
      <c r="F1771" s="582"/>
      <c r="G1771" s="581"/>
      <c r="H1771" s="581"/>
      <c r="I1771" s="335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</row>
    <row r="1772" ht="22.5" customHeight="1">
      <c r="A1772" s="574"/>
      <c r="B1772" s="579"/>
      <c r="C1772" s="541"/>
      <c r="D1772" s="576"/>
      <c r="E1772" s="489"/>
      <c r="F1772" s="577"/>
      <c r="G1772" s="576"/>
      <c r="H1772" s="576"/>
      <c r="I1772" s="335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</row>
    <row r="1773" ht="22.5" customHeight="1">
      <c r="A1773" s="578"/>
      <c r="B1773" s="579"/>
      <c r="C1773" s="580"/>
      <c r="D1773" s="581"/>
      <c r="E1773" s="475"/>
      <c r="F1773" s="582"/>
      <c r="G1773" s="581"/>
      <c r="H1773" s="581"/>
      <c r="I1773" s="335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</row>
    <row r="1774" ht="22.5" customHeight="1">
      <c r="A1774" s="574"/>
      <c r="B1774" s="575"/>
      <c r="C1774" s="541"/>
      <c r="D1774" s="576"/>
      <c r="E1774" s="489"/>
      <c r="F1774" s="577"/>
      <c r="G1774" s="576"/>
      <c r="H1774" s="576"/>
      <c r="I1774" s="335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</row>
    <row r="1775" ht="22.5" customHeight="1">
      <c r="A1775" s="354"/>
      <c r="B1775" s="358"/>
      <c r="C1775" s="356"/>
      <c r="D1775" s="358"/>
      <c r="E1775" s="464">
        <f>SUM(Table139[Order Earnings])</f>
        <v>0</v>
      </c>
      <c r="F1775" s="358"/>
      <c r="G1775" s="358"/>
      <c r="H1775" s="358"/>
      <c r="I1775" s="35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</row>
    <row r="1776">
      <c r="A1776" s="199"/>
      <c r="B1776" s="200"/>
      <c r="C1776" s="201"/>
      <c r="D1776" s="200"/>
      <c r="E1776" s="202"/>
      <c r="F1776" s="199"/>
      <c r="G1776" s="199"/>
      <c r="H1776" s="199"/>
      <c r="I1776" s="199"/>
    </row>
    <row r="1777">
      <c r="A1777" s="9"/>
      <c r="B1777" s="9"/>
      <c r="C1777" s="31"/>
      <c r="D1777" s="455">
        <v>46286.0</v>
      </c>
      <c r="E1777" s="353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</row>
    <row r="1778" ht="22.5" customHeight="1">
      <c r="A1778" s="547" t="s">
        <v>1467</v>
      </c>
      <c r="B1778" s="457" t="s">
        <v>1477</v>
      </c>
      <c r="C1778" s="457" t="s">
        <v>1478</v>
      </c>
      <c r="D1778" s="457" t="s">
        <v>1479</v>
      </c>
      <c r="E1778" s="458" t="s">
        <v>1481</v>
      </c>
      <c r="F1778" s="457" t="s">
        <v>1483</v>
      </c>
      <c r="G1778" s="457" t="s">
        <v>1484</v>
      </c>
      <c r="H1778" s="457" t="s">
        <v>1486</v>
      </c>
      <c r="I1778" s="457" t="s">
        <v>1489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</row>
    <row r="1779" ht="22.5" customHeight="1">
      <c r="A1779" s="189"/>
      <c r="B1779" s="342"/>
      <c r="C1779" s="343"/>
      <c r="D1779" s="567"/>
      <c r="E1779" s="345"/>
      <c r="F1779" s="346"/>
      <c r="G1779" s="567"/>
      <c r="H1779" s="567"/>
      <c r="I1779" s="427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</row>
    <row r="1780" ht="22.5" customHeight="1">
      <c r="A1780" s="189"/>
      <c r="B1780" s="527"/>
      <c r="C1780" s="343"/>
      <c r="D1780" s="567"/>
      <c r="E1780" s="345"/>
      <c r="F1780" s="346"/>
      <c r="G1780" s="567"/>
      <c r="H1780" s="567"/>
      <c r="I1780" s="427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</row>
    <row r="1781" ht="22.5" customHeight="1">
      <c r="A1781" s="189"/>
      <c r="B1781" s="546"/>
      <c r="C1781" s="343"/>
      <c r="D1781" s="567"/>
      <c r="E1781" s="338"/>
      <c r="F1781" s="346"/>
      <c r="G1781" s="567"/>
      <c r="H1781" s="567"/>
      <c r="I1781" s="351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</row>
    <row r="1782" ht="22.5" customHeight="1">
      <c r="A1782" s="189"/>
      <c r="B1782" s="527"/>
      <c r="C1782" s="343"/>
      <c r="D1782" s="567"/>
      <c r="E1782" s="345"/>
      <c r="F1782" s="346"/>
      <c r="G1782" s="567"/>
      <c r="H1782" s="567"/>
      <c r="I1782" s="351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</row>
    <row r="1783" ht="22.5" customHeight="1">
      <c r="A1783" s="189"/>
      <c r="B1783" s="527"/>
      <c r="C1783" s="343"/>
      <c r="D1783" s="567"/>
      <c r="E1783" s="345"/>
      <c r="F1783" s="346"/>
      <c r="G1783" s="567"/>
      <c r="H1783" s="567"/>
      <c r="I1783" s="351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</row>
    <row r="1784" ht="22.5" customHeight="1">
      <c r="A1784" s="189"/>
      <c r="B1784" s="548"/>
      <c r="C1784" s="525"/>
      <c r="D1784" s="568"/>
      <c r="E1784" s="345"/>
      <c r="F1784" s="346"/>
      <c r="G1784" s="567"/>
      <c r="H1784" s="567"/>
      <c r="I1784" s="427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</row>
    <row r="1785" ht="22.5" customHeight="1">
      <c r="A1785" s="189"/>
      <c r="B1785" s="540"/>
      <c r="C1785" s="530"/>
      <c r="D1785" s="569"/>
      <c r="E1785" s="338"/>
      <c r="F1785" s="346"/>
      <c r="G1785" s="567"/>
      <c r="H1785" s="567"/>
      <c r="I1785" s="427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</row>
    <row r="1786" ht="22.5" customHeight="1">
      <c r="A1786" s="189"/>
      <c r="B1786" s="527"/>
      <c r="C1786" s="525"/>
      <c r="D1786" s="568"/>
      <c r="E1786" s="345"/>
      <c r="F1786" s="346"/>
      <c r="G1786" s="567"/>
      <c r="H1786" s="567"/>
      <c r="I1786" s="427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</row>
    <row r="1787" ht="22.5" customHeight="1">
      <c r="A1787" s="189"/>
      <c r="B1787" s="342"/>
      <c r="C1787" s="343"/>
      <c r="D1787" s="567"/>
      <c r="E1787" s="345"/>
      <c r="F1787" s="346"/>
      <c r="G1787" s="567"/>
      <c r="H1787" s="567"/>
      <c r="I1787" s="427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</row>
    <row r="1788" ht="22.5" customHeight="1">
      <c r="A1788" s="189"/>
      <c r="B1788" s="561"/>
      <c r="C1788" s="562"/>
      <c r="D1788" s="570"/>
      <c r="E1788" s="489"/>
      <c r="F1788" s="563"/>
      <c r="G1788" s="571"/>
      <c r="H1788" s="572"/>
      <c r="I1788" s="566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</row>
    <row r="1789" ht="22.5" customHeight="1">
      <c r="A1789" s="186"/>
      <c r="B1789" s="369"/>
      <c r="C1789" s="343"/>
      <c r="D1789" s="567"/>
      <c r="E1789" s="475"/>
      <c r="F1789" s="346"/>
      <c r="G1789" s="567"/>
      <c r="H1789" s="567"/>
      <c r="I1789" s="335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</row>
    <row r="1790" ht="22.5" customHeight="1">
      <c r="A1790" s="186"/>
      <c r="B1790" s="474"/>
      <c r="C1790" s="337"/>
      <c r="D1790" s="573"/>
      <c r="E1790" s="489"/>
      <c r="F1790" s="346"/>
      <c r="G1790" s="567"/>
      <c r="H1790" s="567"/>
      <c r="I1790" s="335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</row>
    <row r="1791" ht="22.5" customHeight="1">
      <c r="A1791" s="189"/>
      <c r="B1791" s="369"/>
      <c r="C1791" s="343"/>
      <c r="D1791" s="567"/>
      <c r="E1791" s="475"/>
      <c r="F1791" s="346"/>
      <c r="G1791" s="567"/>
      <c r="H1791" s="567"/>
      <c r="I1791" s="335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</row>
    <row r="1792" ht="22.5" customHeight="1">
      <c r="A1792" s="574"/>
      <c r="B1792" s="575"/>
      <c r="C1792" s="541"/>
      <c r="D1792" s="576"/>
      <c r="E1792" s="489"/>
      <c r="F1792" s="577"/>
      <c r="G1792" s="576"/>
      <c r="H1792" s="576"/>
      <c r="I1792" s="335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</row>
    <row r="1793" ht="22.5" customHeight="1">
      <c r="A1793" s="578"/>
      <c r="B1793" s="579"/>
      <c r="C1793" s="580"/>
      <c r="D1793" s="581"/>
      <c r="E1793" s="475"/>
      <c r="F1793" s="582"/>
      <c r="G1793" s="581"/>
      <c r="H1793" s="581"/>
      <c r="I1793" s="335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</row>
    <row r="1794" ht="22.5" customHeight="1">
      <c r="A1794" s="574"/>
      <c r="B1794" s="579"/>
      <c r="C1794" s="541"/>
      <c r="D1794" s="576"/>
      <c r="E1794" s="489"/>
      <c r="F1794" s="577"/>
      <c r="G1794" s="576"/>
      <c r="H1794" s="576"/>
      <c r="I1794" s="335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</row>
    <row r="1795" ht="22.5" customHeight="1">
      <c r="A1795" s="578"/>
      <c r="B1795" s="579"/>
      <c r="C1795" s="580"/>
      <c r="D1795" s="581"/>
      <c r="E1795" s="475"/>
      <c r="F1795" s="582"/>
      <c r="G1795" s="581"/>
      <c r="H1795" s="581"/>
      <c r="I1795" s="335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</row>
    <row r="1796" ht="22.5" customHeight="1">
      <c r="A1796" s="574"/>
      <c r="B1796" s="575"/>
      <c r="C1796" s="541"/>
      <c r="D1796" s="576"/>
      <c r="E1796" s="489"/>
      <c r="F1796" s="577"/>
      <c r="G1796" s="576"/>
      <c r="H1796" s="576"/>
      <c r="I1796" s="335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</row>
    <row r="1797" ht="22.5" customHeight="1">
      <c r="A1797" s="354"/>
      <c r="B1797" s="358"/>
      <c r="C1797" s="356"/>
      <c r="D1797" s="358"/>
      <c r="E1797" s="464">
        <f>SUM(Table140[Order Earnings])</f>
        <v>0</v>
      </c>
      <c r="F1797" s="358"/>
      <c r="G1797" s="358"/>
      <c r="H1797" s="358"/>
      <c r="I1797" s="35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</row>
    <row r="1798">
      <c r="A1798" s="199"/>
      <c r="B1798" s="200"/>
      <c r="C1798" s="201"/>
      <c r="D1798" s="200"/>
      <c r="E1798" s="202"/>
      <c r="F1798" s="199"/>
      <c r="G1798" s="199"/>
      <c r="H1798" s="199"/>
      <c r="I1798" s="199"/>
    </row>
    <row r="1799">
      <c r="A1799" s="9"/>
      <c r="B1799" s="9"/>
      <c r="C1799" s="31"/>
      <c r="D1799" s="455">
        <v>46287.0</v>
      </c>
      <c r="E1799" s="353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</row>
    <row r="1800" ht="22.5" customHeight="1">
      <c r="A1800" s="547" t="s">
        <v>1467</v>
      </c>
      <c r="B1800" s="457" t="s">
        <v>1477</v>
      </c>
      <c r="C1800" s="457" t="s">
        <v>1478</v>
      </c>
      <c r="D1800" s="457" t="s">
        <v>1479</v>
      </c>
      <c r="E1800" s="458" t="s">
        <v>1481</v>
      </c>
      <c r="F1800" s="457" t="s">
        <v>1483</v>
      </c>
      <c r="G1800" s="457" t="s">
        <v>1484</v>
      </c>
      <c r="H1800" s="457" t="s">
        <v>1486</v>
      </c>
      <c r="I1800" s="457" t="s">
        <v>1489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</row>
    <row r="1801" ht="22.5" customHeight="1">
      <c r="A1801" s="189"/>
      <c r="B1801" s="342"/>
      <c r="C1801" s="343"/>
      <c r="D1801" s="567"/>
      <c r="E1801" s="345"/>
      <c r="F1801" s="346"/>
      <c r="G1801" s="567"/>
      <c r="H1801" s="567"/>
      <c r="I1801" s="427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</row>
    <row r="1802" ht="22.5" customHeight="1">
      <c r="A1802" s="189"/>
      <c r="B1802" s="527"/>
      <c r="C1802" s="343"/>
      <c r="D1802" s="567"/>
      <c r="E1802" s="345"/>
      <c r="F1802" s="346"/>
      <c r="G1802" s="567"/>
      <c r="H1802" s="567"/>
      <c r="I1802" s="427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</row>
    <row r="1803" ht="22.5" customHeight="1">
      <c r="A1803" s="189"/>
      <c r="B1803" s="546"/>
      <c r="C1803" s="343"/>
      <c r="D1803" s="567"/>
      <c r="E1803" s="338"/>
      <c r="F1803" s="346"/>
      <c r="G1803" s="567"/>
      <c r="H1803" s="567"/>
      <c r="I1803" s="351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</row>
    <row r="1804" ht="22.5" customHeight="1">
      <c r="A1804" s="189"/>
      <c r="B1804" s="527"/>
      <c r="C1804" s="343"/>
      <c r="D1804" s="567"/>
      <c r="E1804" s="345"/>
      <c r="F1804" s="346"/>
      <c r="G1804" s="567"/>
      <c r="H1804" s="567"/>
      <c r="I1804" s="351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</row>
    <row r="1805" ht="22.5" customHeight="1">
      <c r="A1805" s="189"/>
      <c r="B1805" s="527"/>
      <c r="C1805" s="343"/>
      <c r="D1805" s="567"/>
      <c r="E1805" s="345"/>
      <c r="F1805" s="346"/>
      <c r="G1805" s="567"/>
      <c r="H1805" s="567"/>
      <c r="I1805" s="351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</row>
    <row r="1806" ht="22.5" customHeight="1">
      <c r="A1806" s="189"/>
      <c r="B1806" s="548"/>
      <c r="C1806" s="525"/>
      <c r="D1806" s="568"/>
      <c r="E1806" s="345"/>
      <c r="F1806" s="346"/>
      <c r="G1806" s="567"/>
      <c r="H1806" s="567"/>
      <c r="I1806" s="427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</row>
    <row r="1807" ht="22.5" customHeight="1">
      <c r="A1807" s="189"/>
      <c r="B1807" s="540"/>
      <c r="C1807" s="530"/>
      <c r="D1807" s="569"/>
      <c r="E1807" s="338"/>
      <c r="F1807" s="346"/>
      <c r="G1807" s="567"/>
      <c r="H1807" s="567"/>
      <c r="I1807" s="427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</row>
    <row r="1808" ht="22.5" customHeight="1">
      <c r="A1808" s="189"/>
      <c r="B1808" s="527"/>
      <c r="C1808" s="525"/>
      <c r="D1808" s="568"/>
      <c r="E1808" s="345"/>
      <c r="F1808" s="346"/>
      <c r="G1808" s="567"/>
      <c r="H1808" s="567"/>
      <c r="I1808" s="427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</row>
    <row r="1809" ht="22.5" customHeight="1">
      <c r="A1809" s="189"/>
      <c r="B1809" s="342"/>
      <c r="C1809" s="343"/>
      <c r="D1809" s="567"/>
      <c r="E1809" s="345"/>
      <c r="F1809" s="346"/>
      <c r="G1809" s="567"/>
      <c r="H1809" s="567"/>
      <c r="I1809" s="427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</row>
    <row r="1810" ht="22.5" customHeight="1">
      <c r="A1810" s="189"/>
      <c r="B1810" s="561"/>
      <c r="C1810" s="562"/>
      <c r="D1810" s="570"/>
      <c r="E1810" s="489"/>
      <c r="F1810" s="563"/>
      <c r="G1810" s="571"/>
      <c r="H1810" s="572"/>
      <c r="I1810" s="566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</row>
    <row r="1811" ht="22.5" customHeight="1">
      <c r="A1811" s="186"/>
      <c r="B1811" s="369"/>
      <c r="C1811" s="343"/>
      <c r="D1811" s="567"/>
      <c r="E1811" s="475"/>
      <c r="F1811" s="346"/>
      <c r="G1811" s="567"/>
      <c r="H1811" s="567"/>
      <c r="I1811" s="335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</row>
    <row r="1812" ht="22.5" customHeight="1">
      <c r="A1812" s="186"/>
      <c r="B1812" s="474"/>
      <c r="C1812" s="337"/>
      <c r="D1812" s="573"/>
      <c r="E1812" s="489"/>
      <c r="F1812" s="346"/>
      <c r="G1812" s="567"/>
      <c r="H1812" s="567"/>
      <c r="I1812" s="335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</row>
    <row r="1813" ht="22.5" customHeight="1">
      <c r="A1813" s="189"/>
      <c r="B1813" s="369"/>
      <c r="C1813" s="343"/>
      <c r="D1813" s="567"/>
      <c r="E1813" s="475"/>
      <c r="F1813" s="346"/>
      <c r="G1813" s="567"/>
      <c r="H1813" s="567"/>
      <c r="I1813" s="335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</row>
    <row r="1814" ht="22.5" customHeight="1">
      <c r="A1814" s="574"/>
      <c r="B1814" s="575"/>
      <c r="C1814" s="541"/>
      <c r="D1814" s="576"/>
      <c r="E1814" s="489"/>
      <c r="F1814" s="577"/>
      <c r="G1814" s="576"/>
      <c r="H1814" s="576"/>
      <c r="I1814" s="335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</row>
    <row r="1815" ht="22.5" customHeight="1">
      <c r="A1815" s="578"/>
      <c r="B1815" s="579"/>
      <c r="C1815" s="580"/>
      <c r="D1815" s="581"/>
      <c r="E1815" s="475"/>
      <c r="F1815" s="582"/>
      <c r="G1815" s="581"/>
      <c r="H1815" s="581"/>
      <c r="I1815" s="335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</row>
    <row r="1816" ht="22.5" customHeight="1">
      <c r="A1816" s="574"/>
      <c r="B1816" s="579"/>
      <c r="C1816" s="541"/>
      <c r="D1816" s="576"/>
      <c r="E1816" s="489"/>
      <c r="F1816" s="577"/>
      <c r="G1816" s="576"/>
      <c r="H1816" s="576"/>
      <c r="I1816" s="335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</row>
    <row r="1817" ht="22.5" customHeight="1">
      <c r="A1817" s="578"/>
      <c r="B1817" s="579"/>
      <c r="C1817" s="580"/>
      <c r="D1817" s="581"/>
      <c r="E1817" s="475"/>
      <c r="F1817" s="582"/>
      <c r="G1817" s="581"/>
      <c r="H1817" s="581"/>
      <c r="I1817" s="335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</row>
    <row r="1818" ht="22.5" customHeight="1">
      <c r="A1818" s="574"/>
      <c r="B1818" s="575"/>
      <c r="C1818" s="541"/>
      <c r="D1818" s="576"/>
      <c r="E1818" s="489"/>
      <c r="F1818" s="577"/>
      <c r="G1818" s="576"/>
      <c r="H1818" s="576"/>
      <c r="I1818" s="335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</row>
    <row r="1819" ht="22.5" customHeight="1">
      <c r="A1819" s="354"/>
      <c r="B1819" s="358"/>
      <c r="C1819" s="356"/>
      <c r="D1819" s="358"/>
      <c r="E1819" s="464">
        <f>SUM(Table141[Order Earnings])</f>
        <v>0</v>
      </c>
      <c r="F1819" s="358"/>
      <c r="G1819" s="358"/>
      <c r="H1819" s="358"/>
      <c r="I1819" s="35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</row>
    <row r="1820">
      <c r="A1820" s="199"/>
      <c r="B1820" s="200"/>
      <c r="C1820" s="201"/>
      <c r="D1820" s="200"/>
      <c r="E1820" s="202"/>
      <c r="F1820" s="199"/>
      <c r="G1820" s="199"/>
      <c r="H1820" s="199"/>
      <c r="I1820" s="199"/>
    </row>
    <row r="1821">
      <c r="A1821" s="199"/>
      <c r="B1821" s="200"/>
      <c r="C1821" s="201"/>
      <c r="D1821" s="200"/>
      <c r="E1821" s="202"/>
      <c r="F1821" s="199"/>
      <c r="G1821" s="199"/>
      <c r="H1821" s="199"/>
      <c r="I1821" s="199"/>
    </row>
    <row r="1822">
      <c r="A1822" s="199"/>
      <c r="B1822" s="200"/>
      <c r="C1822" s="201"/>
      <c r="D1822" s="200"/>
      <c r="E1822" s="202"/>
      <c r="F1822" s="199"/>
      <c r="G1822" s="199"/>
      <c r="H1822" s="199"/>
      <c r="I1822" s="199"/>
    </row>
    <row r="1823">
      <c r="A1823" s="199"/>
      <c r="B1823" s="200"/>
      <c r="C1823" s="201"/>
      <c r="D1823" s="200"/>
      <c r="E1823" s="202"/>
      <c r="F1823" s="199"/>
      <c r="G1823" s="199"/>
      <c r="H1823" s="199"/>
      <c r="I1823" s="199"/>
    </row>
    <row r="1824">
      <c r="A1824" s="199"/>
      <c r="B1824" s="200"/>
      <c r="C1824" s="201"/>
      <c r="D1824" s="200"/>
      <c r="E1824" s="202"/>
      <c r="F1824" s="199"/>
      <c r="G1824" s="199"/>
      <c r="H1824" s="199"/>
      <c r="I1824" s="199"/>
    </row>
    <row r="1825">
      <c r="A1825" s="199"/>
      <c r="B1825" s="200"/>
      <c r="C1825" s="201"/>
      <c r="D1825" s="200"/>
      <c r="E1825" s="202"/>
      <c r="F1825" s="199"/>
      <c r="G1825" s="199"/>
      <c r="H1825" s="199"/>
      <c r="I1825" s="199"/>
    </row>
    <row r="1826">
      <c r="A1826" s="199"/>
      <c r="B1826" s="200"/>
      <c r="C1826" s="201"/>
      <c r="D1826" s="200"/>
      <c r="E1826" s="202"/>
      <c r="F1826" s="199"/>
      <c r="G1826" s="199"/>
      <c r="H1826" s="199"/>
      <c r="I1826" s="199"/>
    </row>
    <row r="1827">
      <c r="A1827" s="199"/>
      <c r="B1827" s="200"/>
      <c r="C1827" s="201"/>
      <c r="D1827" s="200"/>
      <c r="E1827" s="202"/>
      <c r="F1827" s="199"/>
      <c r="G1827" s="199"/>
      <c r="H1827" s="199"/>
      <c r="I1827" s="199"/>
    </row>
    <row r="1828">
      <c r="A1828" s="199"/>
      <c r="B1828" s="200"/>
      <c r="C1828" s="201"/>
      <c r="D1828" s="200"/>
      <c r="E1828" s="202"/>
      <c r="F1828" s="199"/>
      <c r="G1828" s="199"/>
      <c r="H1828" s="199"/>
      <c r="I1828" s="199"/>
    </row>
    <row r="1829">
      <c r="A1829" s="199"/>
      <c r="B1829" s="200"/>
      <c r="C1829" s="201"/>
      <c r="D1829" s="200"/>
      <c r="E1829" s="202"/>
      <c r="F1829" s="199"/>
      <c r="G1829" s="199"/>
      <c r="H1829" s="199"/>
      <c r="I1829" s="199"/>
    </row>
    <row r="1830">
      <c r="A1830" s="199"/>
      <c r="B1830" s="200"/>
      <c r="C1830" s="201"/>
      <c r="D1830" s="200"/>
      <c r="E1830" s="202"/>
      <c r="F1830" s="199"/>
      <c r="G1830" s="199"/>
      <c r="H1830" s="199"/>
      <c r="I1830" s="199"/>
    </row>
    <row r="1831">
      <c r="A1831" s="199"/>
      <c r="B1831" s="200"/>
      <c r="C1831" s="201"/>
      <c r="D1831" s="200"/>
      <c r="E1831" s="202"/>
      <c r="F1831" s="199"/>
      <c r="G1831" s="199"/>
      <c r="H1831" s="199"/>
      <c r="I1831" s="199"/>
    </row>
    <row r="1832">
      <c r="A1832" s="199"/>
      <c r="B1832" s="200"/>
      <c r="C1832" s="201"/>
      <c r="D1832" s="200"/>
      <c r="E1832" s="202"/>
      <c r="F1832" s="199"/>
      <c r="G1832" s="199"/>
      <c r="H1832" s="199"/>
      <c r="I1832" s="199"/>
    </row>
    <row r="1833">
      <c r="A1833" s="199"/>
      <c r="B1833" s="200"/>
      <c r="C1833" s="201"/>
      <c r="D1833" s="200"/>
      <c r="E1833" s="202"/>
      <c r="F1833" s="199"/>
      <c r="G1833" s="199"/>
      <c r="H1833" s="199"/>
      <c r="I1833" s="199"/>
    </row>
    <row r="1834">
      <c r="A1834" s="199"/>
      <c r="B1834" s="200"/>
      <c r="C1834" s="201"/>
      <c r="D1834" s="200"/>
      <c r="E1834" s="202"/>
      <c r="F1834" s="199"/>
      <c r="G1834" s="199"/>
      <c r="H1834" s="199"/>
      <c r="I1834" s="199"/>
    </row>
    <row r="1835">
      <c r="A1835" s="199"/>
      <c r="B1835" s="200"/>
      <c r="C1835" s="201"/>
      <c r="D1835" s="200"/>
      <c r="E1835" s="202"/>
      <c r="F1835" s="199"/>
      <c r="G1835" s="199"/>
      <c r="H1835" s="199"/>
      <c r="I1835" s="199"/>
    </row>
    <row r="1836">
      <c r="A1836" s="199"/>
      <c r="B1836" s="200"/>
      <c r="C1836" s="201"/>
      <c r="D1836" s="200"/>
      <c r="E1836" s="202"/>
      <c r="F1836" s="199"/>
      <c r="G1836" s="199"/>
      <c r="H1836" s="199"/>
      <c r="I1836" s="199"/>
    </row>
    <row r="1837">
      <c r="A1837" s="199"/>
      <c r="B1837" s="200"/>
      <c r="C1837" s="201"/>
      <c r="D1837" s="200"/>
      <c r="E1837" s="202"/>
      <c r="F1837" s="199"/>
      <c r="G1837" s="199"/>
      <c r="H1837" s="199"/>
      <c r="I1837" s="199"/>
    </row>
    <row r="1838">
      <c r="A1838" s="199"/>
      <c r="B1838" s="200"/>
      <c r="C1838" s="201"/>
      <c r="D1838" s="200"/>
      <c r="E1838" s="202"/>
      <c r="F1838" s="199"/>
      <c r="G1838" s="199"/>
      <c r="H1838" s="199"/>
      <c r="I1838" s="199"/>
    </row>
    <row r="1839">
      <c r="A1839" s="199"/>
      <c r="B1839" s="200"/>
      <c r="C1839" s="201"/>
      <c r="D1839" s="200"/>
      <c r="E1839" s="202"/>
      <c r="F1839" s="199"/>
      <c r="G1839" s="199"/>
      <c r="H1839" s="199"/>
      <c r="I1839" s="199"/>
    </row>
    <row r="1840">
      <c r="A1840" s="199"/>
      <c r="B1840" s="200"/>
      <c r="C1840" s="201"/>
      <c r="D1840" s="200"/>
      <c r="E1840" s="202"/>
      <c r="F1840" s="199"/>
      <c r="G1840" s="199"/>
      <c r="H1840" s="199"/>
      <c r="I1840" s="199"/>
    </row>
    <row r="1841">
      <c r="A1841" s="199"/>
      <c r="B1841" s="200"/>
      <c r="C1841" s="201"/>
      <c r="D1841" s="200"/>
      <c r="E1841" s="202"/>
      <c r="F1841" s="199"/>
      <c r="G1841" s="199"/>
      <c r="H1841" s="199"/>
      <c r="I1841" s="199"/>
    </row>
    <row r="1842">
      <c r="A1842" s="199"/>
      <c r="B1842" s="200"/>
      <c r="C1842" s="201"/>
      <c r="D1842" s="200"/>
      <c r="E1842" s="202"/>
      <c r="F1842" s="199"/>
      <c r="G1842" s="199"/>
      <c r="H1842" s="199"/>
      <c r="I1842" s="199"/>
    </row>
    <row r="1843">
      <c r="A1843" s="199"/>
      <c r="B1843" s="200"/>
      <c r="C1843" s="201"/>
      <c r="D1843" s="200"/>
      <c r="E1843" s="202"/>
      <c r="F1843" s="199"/>
      <c r="G1843" s="199"/>
      <c r="H1843" s="199"/>
      <c r="I1843" s="199"/>
    </row>
    <row r="1844">
      <c r="A1844" s="199"/>
      <c r="B1844" s="200"/>
      <c r="C1844" s="201"/>
      <c r="D1844" s="200"/>
      <c r="E1844" s="202"/>
      <c r="F1844" s="199"/>
      <c r="G1844" s="199"/>
      <c r="H1844" s="199"/>
      <c r="I1844" s="199"/>
    </row>
    <row r="1845">
      <c r="A1845" s="199"/>
      <c r="B1845" s="200"/>
      <c r="C1845" s="201"/>
      <c r="D1845" s="200"/>
      <c r="E1845" s="202"/>
      <c r="F1845" s="199"/>
      <c r="G1845" s="199"/>
      <c r="H1845" s="199"/>
      <c r="I1845" s="199"/>
    </row>
    <row r="1846">
      <c r="A1846" s="199"/>
      <c r="B1846" s="200"/>
      <c r="C1846" s="201"/>
      <c r="D1846" s="200"/>
      <c r="E1846" s="202"/>
      <c r="F1846" s="199"/>
      <c r="G1846" s="199"/>
      <c r="H1846" s="199"/>
      <c r="I1846" s="199"/>
    </row>
    <row r="1847">
      <c r="A1847" s="199"/>
      <c r="B1847" s="200"/>
      <c r="C1847" s="201"/>
      <c r="D1847" s="200"/>
      <c r="E1847" s="202"/>
      <c r="F1847" s="199"/>
      <c r="G1847" s="199"/>
      <c r="H1847" s="199"/>
      <c r="I1847" s="199"/>
    </row>
    <row r="1848">
      <c r="A1848" s="199"/>
      <c r="B1848" s="200"/>
      <c r="C1848" s="201"/>
      <c r="D1848" s="200"/>
      <c r="E1848" s="202"/>
      <c r="F1848" s="199"/>
      <c r="G1848" s="199"/>
      <c r="H1848" s="199"/>
      <c r="I1848" s="199"/>
    </row>
    <row r="1849">
      <c r="A1849" s="199"/>
      <c r="B1849" s="200"/>
      <c r="C1849" s="201"/>
      <c r="D1849" s="200"/>
      <c r="E1849" s="202"/>
      <c r="F1849" s="199"/>
      <c r="G1849" s="199"/>
      <c r="H1849" s="199"/>
      <c r="I1849" s="199"/>
    </row>
    <row r="1850">
      <c r="A1850" s="199"/>
      <c r="B1850" s="200"/>
      <c r="C1850" s="201"/>
      <c r="D1850" s="200"/>
      <c r="E1850" s="202"/>
      <c r="F1850" s="199"/>
      <c r="G1850" s="199"/>
      <c r="H1850" s="199"/>
      <c r="I1850" s="199"/>
    </row>
    <row r="1851">
      <c r="A1851" s="199"/>
      <c r="B1851" s="200"/>
      <c r="C1851" s="201"/>
      <c r="D1851" s="200"/>
      <c r="E1851" s="202"/>
      <c r="F1851" s="199"/>
      <c r="G1851" s="199"/>
      <c r="H1851" s="199"/>
      <c r="I1851" s="199"/>
    </row>
    <row r="1852">
      <c r="A1852" s="199"/>
      <c r="B1852" s="200"/>
      <c r="C1852" s="201"/>
      <c r="D1852" s="200"/>
      <c r="E1852" s="202"/>
      <c r="F1852" s="199"/>
      <c r="G1852" s="199"/>
      <c r="H1852" s="199"/>
      <c r="I1852" s="199"/>
    </row>
    <row r="1853">
      <c r="A1853" s="199"/>
      <c r="B1853" s="200"/>
      <c r="C1853" s="201"/>
      <c r="D1853" s="200"/>
      <c r="E1853" s="202"/>
      <c r="F1853" s="199"/>
      <c r="G1853" s="199"/>
      <c r="H1853" s="199"/>
      <c r="I1853" s="199"/>
    </row>
    <row r="1854">
      <c r="A1854" s="199"/>
      <c r="B1854" s="200"/>
      <c r="C1854" s="201"/>
      <c r="D1854" s="200"/>
      <c r="E1854" s="202"/>
      <c r="F1854" s="199"/>
      <c r="G1854" s="199"/>
      <c r="H1854" s="199"/>
      <c r="I1854" s="199"/>
    </row>
    <row r="1855">
      <c r="A1855" s="199"/>
      <c r="B1855" s="200"/>
      <c r="C1855" s="201"/>
      <c r="D1855" s="200"/>
      <c r="E1855" s="202"/>
      <c r="F1855" s="199"/>
      <c r="G1855" s="199"/>
      <c r="H1855" s="199"/>
      <c r="I1855" s="199"/>
    </row>
    <row r="1856">
      <c r="A1856" s="199"/>
      <c r="B1856" s="200"/>
      <c r="C1856" s="201"/>
      <c r="D1856" s="200"/>
      <c r="E1856" s="202"/>
      <c r="F1856" s="199"/>
      <c r="G1856" s="199"/>
      <c r="H1856" s="199"/>
      <c r="I1856" s="199"/>
    </row>
    <row r="1857">
      <c r="A1857" s="199"/>
      <c r="B1857" s="200"/>
      <c r="C1857" s="201"/>
      <c r="D1857" s="200"/>
      <c r="E1857" s="202"/>
      <c r="F1857" s="199"/>
      <c r="G1857" s="199"/>
      <c r="H1857" s="199"/>
      <c r="I1857" s="199"/>
    </row>
    <row r="1858">
      <c r="A1858" s="199"/>
      <c r="B1858" s="200"/>
      <c r="C1858" s="201"/>
      <c r="D1858" s="200"/>
      <c r="E1858" s="202"/>
      <c r="F1858" s="199"/>
      <c r="G1858" s="199"/>
      <c r="H1858" s="199"/>
      <c r="I1858" s="199"/>
    </row>
    <row r="1859">
      <c r="A1859" s="199"/>
      <c r="B1859" s="200"/>
      <c r="C1859" s="201"/>
      <c r="D1859" s="200"/>
      <c r="E1859" s="202"/>
      <c r="F1859" s="199"/>
      <c r="G1859" s="199"/>
      <c r="H1859" s="199"/>
      <c r="I1859" s="199"/>
    </row>
    <row r="1860">
      <c r="A1860" s="199"/>
      <c r="B1860" s="200"/>
      <c r="C1860" s="201"/>
      <c r="D1860" s="200"/>
      <c r="E1860" s="202"/>
      <c r="F1860" s="199"/>
      <c r="G1860" s="199"/>
      <c r="H1860" s="199"/>
      <c r="I1860" s="199"/>
    </row>
    <row r="1861">
      <c r="A1861" s="199"/>
      <c r="B1861" s="200"/>
      <c r="C1861" s="201"/>
      <c r="D1861" s="200"/>
      <c r="E1861" s="202"/>
      <c r="F1861" s="199"/>
      <c r="G1861" s="199"/>
      <c r="H1861" s="199"/>
      <c r="I1861" s="199"/>
    </row>
    <row r="1862">
      <c r="A1862" s="199"/>
      <c r="B1862" s="200"/>
      <c r="C1862" s="201"/>
      <c r="D1862" s="200"/>
      <c r="E1862" s="202"/>
      <c r="F1862" s="199"/>
      <c r="G1862" s="199"/>
      <c r="H1862" s="199"/>
      <c r="I1862" s="199"/>
    </row>
    <row r="1863">
      <c r="A1863" s="199"/>
      <c r="B1863" s="200"/>
      <c r="C1863" s="201"/>
      <c r="D1863" s="200"/>
      <c r="E1863" s="202"/>
      <c r="F1863" s="199"/>
      <c r="G1863" s="199"/>
      <c r="H1863" s="199"/>
      <c r="I1863" s="199"/>
    </row>
    <row r="1864">
      <c r="A1864" s="199"/>
      <c r="B1864" s="200"/>
      <c r="C1864" s="201"/>
      <c r="D1864" s="200"/>
      <c r="E1864" s="202"/>
      <c r="F1864" s="199"/>
      <c r="G1864" s="199"/>
      <c r="H1864" s="199"/>
      <c r="I1864" s="199"/>
    </row>
    <row r="1865">
      <c r="A1865" s="199"/>
      <c r="B1865" s="200"/>
      <c r="C1865" s="201"/>
      <c r="D1865" s="200"/>
      <c r="E1865" s="202"/>
      <c r="F1865" s="199"/>
      <c r="G1865" s="199"/>
      <c r="H1865" s="199"/>
      <c r="I1865" s="199"/>
    </row>
    <row r="1866">
      <c r="A1866" s="199"/>
      <c r="B1866" s="200"/>
      <c r="C1866" s="201"/>
      <c r="D1866" s="200"/>
      <c r="E1866" s="202"/>
      <c r="F1866" s="199"/>
      <c r="G1866" s="199"/>
      <c r="H1866" s="199"/>
      <c r="I1866" s="199"/>
    </row>
    <row r="1867">
      <c r="A1867" s="199"/>
      <c r="B1867" s="200"/>
      <c r="C1867" s="201"/>
      <c r="D1867" s="200"/>
      <c r="E1867" s="202"/>
      <c r="F1867" s="199"/>
      <c r="G1867" s="199"/>
      <c r="H1867" s="199"/>
      <c r="I1867" s="199"/>
    </row>
    <row r="1868">
      <c r="A1868" s="199"/>
      <c r="B1868" s="200"/>
      <c r="C1868" s="201"/>
      <c r="D1868" s="200"/>
      <c r="E1868" s="202"/>
      <c r="F1868" s="199"/>
      <c r="G1868" s="199"/>
      <c r="H1868" s="199"/>
      <c r="I1868" s="199"/>
    </row>
    <row r="1869">
      <c r="A1869" s="199"/>
      <c r="B1869" s="200"/>
      <c r="C1869" s="201"/>
      <c r="D1869" s="200"/>
      <c r="E1869" s="202"/>
      <c r="F1869" s="199"/>
      <c r="G1869" s="199"/>
      <c r="H1869" s="199"/>
      <c r="I1869" s="199"/>
    </row>
    <row r="1870">
      <c r="A1870" s="199"/>
      <c r="B1870" s="200"/>
      <c r="C1870" s="201"/>
      <c r="D1870" s="200"/>
      <c r="E1870" s="202"/>
      <c r="F1870" s="199"/>
      <c r="G1870" s="199"/>
      <c r="H1870" s="199"/>
      <c r="I1870" s="199"/>
    </row>
    <row r="1871">
      <c r="A1871" s="199"/>
      <c r="B1871" s="200"/>
      <c r="C1871" s="201"/>
      <c r="D1871" s="200"/>
      <c r="E1871" s="202"/>
      <c r="F1871" s="199"/>
      <c r="G1871" s="199"/>
      <c r="H1871" s="199"/>
      <c r="I1871" s="199"/>
    </row>
    <row r="1872">
      <c r="A1872" s="199"/>
      <c r="B1872" s="200"/>
      <c r="C1872" s="201"/>
      <c r="D1872" s="200"/>
      <c r="E1872" s="202"/>
      <c r="F1872" s="199"/>
      <c r="G1872" s="199"/>
      <c r="H1872" s="199"/>
      <c r="I1872" s="199"/>
    </row>
    <row r="1873">
      <c r="A1873" s="199"/>
      <c r="B1873" s="200"/>
      <c r="C1873" s="201"/>
      <c r="D1873" s="200"/>
      <c r="E1873" s="202"/>
      <c r="F1873" s="199"/>
      <c r="G1873" s="199"/>
      <c r="H1873" s="199"/>
      <c r="I1873" s="199"/>
    </row>
    <row r="1874">
      <c r="A1874" s="199"/>
      <c r="B1874" s="200"/>
      <c r="C1874" s="201"/>
      <c r="D1874" s="200"/>
      <c r="E1874" s="202"/>
      <c r="F1874" s="199"/>
      <c r="G1874" s="199"/>
      <c r="H1874" s="199"/>
      <c r="I1874" s="199"/>
    </row>
    <row r="1875">
      <c r="A1875" s="199"/>
      <c r="B1875" s="200"/>
      <c r="C1875" s="201"/>
      <c r="D1875" s="200"/>
      <c r="E1875" s="202"/>
      <c r="F1875" s="199"/>
      <c r="G1875" s="199"/>
      <c r="H1875" s="199"/>
      <c r="I1875" s="199"/>
    </row>
    <row r="1876">
      <c r="A1876" s="199"/>
      <c r="B1876" s="200"/>
      <c r="C1876" s="201"/>
      <c r="D1876" s="200"/>
      <c r="E1876" s="202"/>
      <c r="F1876" s="199"/>
      <c r="G1876" s="199"/>
      <c r="H1876" s="199"/>
      <c r="I1876" s="199"/>
    </row>
    <row r="1877">
      <c r="A1877" s="199"/>
      <c r="B1877" s="200"/>
      <c r="C1877" s="201"/>
      <c r="D1877" s="200"/>
      <c r="E1877" s="202"/>
      <c r="F1877" s="199"/>
      <c r="G1877" s="199"/>
      <c r="H1877" s="199"/>
      <c r="I1877" s="199"/>
    </row>
    <row r="1878">
      <c r="A1878" s="199"/>
      <c r="B1878" s="200"/>
      <c r="C1878" s="201"/>
      <c r="D1878" s="200"/>
      <c r="E1878" s="202"/>
      <c r="F1878" s="199"/>
      <c r="G1878" s="199"/>
      <c r="H1878" s="199"/>
      <c r="I1878" s="199"/>
    </row>
    <row r="1879">
      <c r="A1879" s="199"/>
      <c r="B1879" s="200"/>
      <c r="C1879" s="201"/>
      <c r="D1879" s="200"/>
      <c r="E1879" s="202"/>
      <c r="F1879" s="199"/>
      <c r="G1879" s="199"/>
      <c r="H1879" s="199"/>
      <c r="I1879" s="199"/>
    </row>
    <row r="1880">
      <c r="A1880" s="199"/>
      <c r="B1880" s="200"/>
      <c r="C1880" s="201"/>
      <c r="D1880" s="200"/>
      <c r="E1880" s="202"/>
      <c r="F1880" s="199"/>
      <c r="G1880" s="199"/>
      <c r="H1880" s="199"/>
      <c r="I1880" s="199"/>
    </row>
    <row r="1881">
      <c r="A1881" s="199"/>
      <c r="B1881" s="200"/>
      <c r="C1881" s="201"/>
      <c r="D1881" s="200"/>
      <c r="E1881" s="202"/>
      <c r="F1881" s="199"/>
      <c r="G1881" s="199"/>
      <c r="H1881" s="199"/>
      <c r="I1881" s="199"/>
    </row>
    <row r="1882">
      <c r="A1882" s="199"/>
      <c r="B1882" s="200"/>
      <c r="C1882" s="201"/>
      <c r="D1882" s="200"/>
      <c r="E1882" s="202"/>
      <c r="F1882" s="199"/>
      <c r="G1882" s="199"/>
      <c r="H1882" s="199"/>
      <c r="I1882" s="199"/>
    </row>
    <row r="1883">
      <c r="A1883" s="199"/>
      <c r="B1883" s="200"/>
      <c r="C1883" s="201"/>
      <c r="D1883" s="200"/>
      <c r="E1883" s="202"/>
      <c r="F1883" s="199"/>
      <c r="G1883" s="199"/>
      <c r="H1883" s="199"/>
      <c r="I1883" s="199"/>
    </row>
    <row r="1884">
      <c r="A1884" s="199"/>
      <c r="B1884" s="200"/>
      <c r="C1884" s="201"/>
      <c r="D1884" s="200"/>
      <c r="E1884" s="202"/>
      <c r="F1884" s="199"/>
      <c r="G1884" s="199"/>
      <c r="H1884" s="199"/>
      <c r="I1884" s="199"/>
    </row>
    <row r="1885">
      <c r="A1885" s="199"/>
      <c r="B1885" s="200"/>
      <c r="C1885" s="201"/>
      <c r="D1885" s="200"/>
      <c r="E1885" s="202"/>
      <c r="F1885" s="199"/>
      <c r="G1885" s="199"/>
      <c r="H1885" s="199"/>
      <c r="I1885" s="199"/>
    </row>
    <row r="1886">
      <c r="A1886" s="199"/>
      <c r="B1886" s="200"/>
      <c r="C1886" s="201"/>
      <c r="D1886" s="200"/>
      <c r="E1886" s="202"/>
      <c r="F1886" s="199"/>
      <c r="G1886" s="199"/>
      <c r="H1886" s="199"/>
      <c r="I1886" s="199"/>
    </row>
    <row r="1887">
      <c r="A1887" s="199"/>
      <c r="B1887" s="200"/>
      <c r="C1887" s="201"/>
      <c r="D1887" s="200"/>
      <c r="E1887" s="202"/>
      <c r="F1887" s="199"/>
      <c r="G1887" s="199"/>
      <c r="H1887" s="199"/>
      <c r="I1887" s="199"/>
    </row>
    <row r="1888">
      <c r="A1888" s="199"/>
      <c r="B1888" s="200"/>
      <c r="C1888" s="201"/>
      <c r="D1888" s="200"/>
      <c r="E1888" s="202"/>
      <c r="F1888" s="199"/>
      <c r="G1888" s="199"/>
      <c r="H1888" s="199"/>
      <c r="I1888" s="199"/>
    </row>
    <row r="1889">
      <c r="A1889" s="199"/>
      <c r="B1889" s="200"/>
      <c r="C1889" s="201"/>
      <c r="D1889" s="200"/>
      <c r="E1889" s="202"/>
      <c r="F1889" s="199"/>
      <c r="G1889" s="199"/>
      <c r="H1889" s="199"/>
      <c r="I1889" s="199"/>
    </row>
    <row r="1890">
      <c r="A1890" s="199"/>
      <c r="B1890" s="200"/>
      <c r="C1890" s="201"/>
      <c r="D1890" s="200"/>
      <c r="E1890" s="202"/>
      <c r="F1890" s="199"/>
      <c r="G1890" s="199"/>
      <c r="H1890" s="199"/>
      <c r="I1890" s="199"/>
    </row>
    <row r="1891">
      <c r="A1891" s="199"/>
      <c r="B1891" s="200"/>
      <c r="C1891" s="201"/>
      <c r="D1891" s="200"/>
      <c r="E1891" s="202"/>
      <c r="F1891" s="199"/>
      <c r="G1891" s="199"/>
      <c r="H1891" s="199"/>
      <c r="I1891" s="199"/>
    </row>
    <row r="1892">
      <c r="A1892" s="199"/>
      <c r="B1892" s="200"/>
      <c r="C1892" s="201"/>
      <c r="D1892" s="200"/>
      <c r="E1892" s="202"/>
      <c r="F1892" s="199"/>
      <c r="G1892" s="199"/>
      <c r="H1892" s="199"/>
      <c r="I1892" s="199"/>
    </row>
    <row r="1893">
      <c r="A1893" s="199"/>
      <c r="B1893" s="200"/>
      <c r="C1893" s="201"/>
      <c r="D1893" s="200"/>
      <c r="E1893" s="202"/>
      <c r="F1893" s="199"/>
      <c r="G1893" s="199"/>
      <c r="H1893" s="199"/>
      <c r="I1893" s="199"/>
    </row>
    <row r="1894">
      <c r="A1894" s="199"/>
      <c r="B1894" s="200"/>
      <c r="C1894" s="201"/>
      <c r="D1894" s="200"/>
      <c r="E1894" s="202"/>
      <c r="F1894" s="199"/>
      <c r="G1894" s="199"/>
      <c r="H1894" s="199"/>
      <c r="I1894" s="199"/>
    </row>
    <row r="1895">
      <c r="A1895" s="199"/>
      <c r="B1895" s="200"/>
      <c r="C1895" s="201"/>
      <c r="D1895" s="200"/>
      <c r="E1895" s="202"/>
      <c r="F1895" s="199"/>
      <c r="G1895" s="199"/>
      <c r="H1895" s="199"/>
      <c r="I1895" s="199"/>
    </row>
    <row r="1896">
      <c r="A1896" s="199"/>
      <c r="B1896" s="200"/>
      <c r="C1896" s="201"/>
      <c r="D1896" s="200"/>
      <c r="E1896" s="202"/>
      <c r="F1896" s="199"/>
      <c r="G1896" s="199"/>
      <c r="H1896" s="199"/>
      <c r="I1896" s="199"/>
    </row>
    <row r="1897">
      <c r="A1897" s="199"/>
      <c r="B1897" s="200"/>
      <c r="C1897" s="201"/>
      <c r="D1897" s="200"/>
      <c r="E1897" s="202"/>
      <c r="F1897" s="199"/>
      <c r="G1897" s="199"/>
      <c r="H1897" s="199"/>
      <c r="I1897" s="199"/>
    </row>
    <row r="1898">
      <c r="A1898" s="199"/>
      <c r="B1898" s="200"/>
      <c r="C1898" s="201"/>
      <c r="D1898" s="200"/>
      <c r="E1898" s="202"/>
      <c r="F1898" s="199"/>
      <c r="G1898" s="199"/>
      <c r="H1898" s="199"/>
      <c r="I1898" s="199"/>
    </row>
    <row r="1899">
      <c r="A1899" s="199"/>
      <c r="B1899" s="200"/>
      <c r="C1899" s="201"/>
      <c r="D1899" s="200"/>
      <c r="E1899" s="202"/>
      <c r="F1899" s="199"/>
      <c r="G1899" s="199"/>
      <c r="H1899" s="199"/>
      <c r="I1899" s="199"/>
    </row>
    <row r="1900">
      <c r="A1900" s="199"/>
      <c r="B1900" s="200"/>
      <c r="C1900" s="201"/>
      <c r="D1900" s="200"/>
      <c r="E1900" s="202"/>
      <c r="F1900" s="199"/>
      <c r="G1900" s="199"/>
      <c r="H1900" s="199"/>
      <c r="I1900" s="199"/>
    </row>
    <row r="1901">
      <c r="A1901" s="199"/>
      <c r="B1901" s="200"/>
      <c r="C1901" s="201"/>
      <c r="D1901" s="200"/>
      <c r="E1901" s="202"/>
      <c r="F1901" s="199"/>
      <c r="G1901" s="199"/>
      <c r="H1901" s="199"/>
      <c r="I1901" s="199"/>
    </row>
    <row r="1902">
      <c r="A1902" s="199"/>
      <c r="B1902" s="200"/>
      <c r="C1902" s="201"/>
      <c r="D1902" s="200"/>
      <c r="E1902" s="202"/>
      <c r="F1902" s="199"/>
      <c r="G1902" s="199"/>
      <c r="H1902" s="199"/>
      <c r="I1902" s="199"/>
    </row>
    <row r="1903">
      <c r="A1903" s="199"/>
      <c r="B1903" s="200"/>
      <c r="C1903" s="201"/>
      <c r="D1903" s="200"/>
      <c r="E1903" s="202"/>
      <c r="F1903" s="199"/>
      <c r="G1903" s="199"/>
      <c r="H1903" s="199"/>
      <c r="I1903" s="199"/>
    </row>
    <row r="1904">
      <c r="A1904" s="199"/>
      <c r="B1904" s="200"/>
      <c r="C1904" s="201"/>
      <c r="D1904" s="200"/>
      <c r="E1904" s="202"/>
      <c r="F1904" s="199"/>
      <c r="G1904" s="199"/>
      <c r="H1904" s="199"/>
      <c r="I1904" s="199"/>
    </row>
    <row r="1905">
      <c r="A1905" s="199"/>
      <c r="B1905" s="200"/>
      <c r="C1905" s="201"/>
      <c r="D1905" s="200"/>
      <c r="E1905" s="202"/>
      <c r="F1905" s="199"/>
      <c r="G1905" s="199"/>
      <c r="H1905" s="199"/>
      <c r="I1905" s="199"/>
    </row>
    <row r="1906">
      <c r="A1906" s="199"/>
      <c r="B1906" s="200"/>
      <c r="C1906" s="201"/>
      <c r="D1906" s="200"/>
      <c r="E1906" s="202"/>
      <c r="F1906" s="199"/>
      <c r="G1906" s="199"/>
      <c r="H1906" s="199"/>
      <c r="I1906" s="199"/>
    </row>
    <row r="1907">
      <c r="A1907" s="199"/>
      <c r="B1907" s="200"/>
      <c r="C1907" s="201"/>
      <c r="D1907" s="200"/>
      <c r="E1907" s="202"/>
      <c r="F1907" s="199"/>
      <c r="G1907" s="199"/>
      <c r="H1907" s="199"/>
      <c r="I1907" s="199"/>
    </row>
    <row r="1908">
      <c r="A1908" s="199"/>
      <c r="B1908" s="200"/>
      <c r="C1908" s="201"/>
      <c r="D1908" s="200"/>
      <c r="E1908" s="202"/>
      <c r="F1908" s="199"/>
      <c r="G1908" s="199"/>
      <c r="H1908" s="199"/>
      <c r="I1908" s="199"/>
    </row>
    <row r="1909">
      <c r="A1909" s="199"/>
      <c r="B1909" s="200"/>
      <c r="C1909" s="201"/>
      <c r="D1909" s="200"/>
      <c r="E1909" s="202"/>
      <c r="F1909" s="199"/>
      <c r="G1909" s="199"/>
      <c r="H1909" s="199"/>
      <c r="I1909" s="199"/>
    </row>
    <row r="1910">
      <c r="A1910" s="199"/>
      <c r="B1910" s="200"/>
      <c r="C1910" s="201"/>
      <c r="D1910" s="200"/>
      <c r="E1910" s="202"/>
      <c r="F1910" s="199"/>
      <c r="G1910" s="199"/>
      <c r="H1910" s="199"/>
      <c r="I1910" s="199"/>
    </row>
    <row r="1911">
      <c r="A1911" s="199"/>
      <c r="B1911" s="200"/>
      <c r="C1911" s="201"/>
      <c r="D1911" s="200"/>
      <c r="E1911" s="202"/>
      <c r="F1911" s="199"/>
      <c r="G1911" s="199"/>
      <c r="H1911" s="199"/>
      <c r="I1911" s="199"/>
    </row>
    <row r="1912">
      <c r="A1912" s="199"/>
      <c r="B1912" s="200"/>
      <c r="C1912" s="201"/>
      <c r="D1912" s="200"/>
      <c r="E1912" s="202"/>
      <c r="F1912" s="199"/>
      <c r="G1912" s="199"/>
      <c r="H1912" s="199"/>
      <c r="I1912" s="199"/>
    </row>
    <row r="1913">
      <c r="A1913" s="199"/>
      <c r="B1913" s="200"/>
      <c r="C1913" s="201"/>
      <c r="D1913" s="200"/>
      <c r="E1913" s="202"/>
      <c r="F1913" s="199"/>
      <c r="G1913" s="199"/>
      <c r="H1913" s="199"/>
      <c r="I1913" s="199"/>
    </row>
    <row r="1914">
      <c r="A1914" s="199"/>
      <c r="B1914" s="200"/>
      <c r="C1914" s="201"/>
      <c r="D1914" s="200"/>
      <c r="E1914" s="202"/>
      <c r="F1914" s="199"/>
      <c r="G1914" s="199"/>
      <c r="H1914" s="199"/>
      <c r="I1914" s="199"/>
    </row>
    <row r="1915">
      <c r="A1915" s="199"/>
      <c r="B1915" s="200"/>
      <c r="C1915" s="201"/>
      <c r="D1915" s="200"/>
      <c r="E1915" s="202"/>
      <c r="F1915" s="199"/>
      <c r="G1915" s="199"/>
      <c r="H1915" s="199"/>
      <c r="I1915" s="199"/>
    </row>
    <row r="1916">
      <c r="A1916" s="199"/>
      <c r="B1916" s="200"/>
      <c r="C1916" s="201"/>
      <c r="D1916" s="200"/>
      <c r="E1916" s="202"/>
      <c r="F1916" s="199"/>
      <c r="G1916" s="199"/>
      <c r="H1916" s="199"/>
      <c r="I1916" s="199"/>
    </row>
    <row r="1917">
      <c r="A1917" s="199"/>
      <c r="B1917" s="200"/>
      <c r="C1917" s="201"/>
      <c r="D1917" s="200"/>
      <c r="E1917" s="202"/>
      <c r="F1917" s="199"/>
      <c r="G1917" s="199"/>
      <c r="H1917" s="199"/>
      <c r="I1917" s="199"/>
    </row>
    <row r="1918">
      <c r="A1918" s="199"/>
      <c r="B1918" s="200"/>
      <c r="C1918" s="201"/>
      <c r="D1918" s="200"/>
      <c r="E1918" s="202"/>
      <c r="F1918" s="199"/>
      <c r="G1918" s="199"/>
      <c r="H1918" s="199"/>
      <c r="I1918" s="199"/>
    </row>
    <row r="1919">
      <c r="A1919" s="199"/>
      <c r="B1919" s="200"/>
      <c r="C1919" s="201"/>
      <c r="D1919" s="200"/>
      <c r="E1919" s="202"/>
      <c r="F1919" s="199"/>
      <c r="G1919" s="199"/>
      <c r="H1919" s="199"/>
      <c r="I1919" s="199"/>
    </row>
    <row r="1920">
      <c r="A1920" s="199"/>
      <c r="B1920" s="200"/>
      <c r="C1920" s="201"/>
      <c r="D1920" s="200"/>
      <c r="E1920" s="202"/>
      <c r="F1920" s="199"/>
      <c r="G1920" s="199"/>
      <c r="H1920" s="199"/>
      <c r="I1920" s="199"/>
    </row>
    <row r="1921">
      <c r="A1921" s="199"/>
      <c r="B1921" s="200"/>
      <c r="C1921" s="201"/>
      <c r="D1921" s="200"/>
      <c r="E1921" s="202"/>
      <c r="F1921" s="199"/>
      <c r="G1921" s="199"/>
      <c r="H1921" s="199"/>
      <c r="I1921" s="199"/>
    </row>
    <row r="1922">
      <c r="A1922" s="199"/>
      <c r="B1922" s="200"/>
      <c r="C1922" s="201"/>
      <c r="D1922" s="200"/>
      <c r="E1922" s="202"/>
      <c r="F1922" s="199"/>
      <c r="G1922" s="199"/>
      <c r="H1922" s="199"/>
      <c r="I1922" s="199"/>
    </row>
    <row r="1923">
      <c r="A1923" s="199"/>
      <c r="B1923" s="200"/>
      <c r="C1923" s="201"/>
      <c r="D1923" s="200"/>
      <c r="E1923" s="202"/>
      <c r="F1923" s="199"/>
      <c r="G1923" s="199"/>
      <c r="H1923" s="199"/>
      <c r="I1923" s="199"/>
    </row>
    <row r="1924">
      <c r="A1924" s="199"/>
      <c r="B1924" s="200"/>
      <c r="C1924" s="201"/>
      <c r="D1924" s="200"/>
      <c r="E1924" s="202"/>
      <c r="F1924" s="199"/>
      <c r="G1924" s="199"/>
      <c r="H1924" s="199"/>
      <c r="I1924" s="199"/>
    </row>
    <row r="1925">
      <c r="A1925" s="199"/>
      <c r="B1925" s="200"/>
      <c r="C1925" s="201"/>
      <c r="D1925" s="200"/>
      <c r="E1925" s="202"/>
      <c r="F1925" s="199"/>
      <c r="G1925" s="199"/>
      <c r="H1925" s="199"/>
      <c r="I1925" s="199"/>
    </row>
    <row r="1926">
      <c r="A1926" s="199"/>
      <c r="B1926" s="200"/>
      <c r="C1926" s="201"/>
      <c r="D1926" s="200"/>
      <c r="E1926" s="202"/>
      <c r="F1926" s="199"/>
      <c r="G1926" s="199"/>
      <c r="H1926" s="199"/>
      <c r="I1926" s="199"/>
    </row>
    <row r="1927">
      <c r="A1927" s="199"/>
      <c r="B1927" s="200"/>
      <c r="C1927" s="201"/>
      <c r="D1927" s="200"/>
      <c r="E1927" s="202"/>
      <c r="F1927" s="199"/>
      <c r="G1927" s="199"/>
      <c r="H1927" s="199"/>
      <c r="I1927" s="199"/>
    </row>
    <row r="1928">
      <c r="A1928" s="199"/>
      <c r="B1928" s="200"/>
      <c r="C1928" s="201"/>
      <c r="D1928" s="200"/>
      <c r="E1928" s="202"/>
      <c r="F1928" s="199"/>
      <c r="G1928" s="199"/>
      <c r="H1928" s="199"/>
      <c r="I1928" s="199"/>
    </row>
    <row r="1929">
      <c r="A1929" s="199"/>
      <c r="B1929" s="200"/>
      <c r="C1929" s="201"/>
      <c r="D1929" s="200"/>
      <c r="E1929" s="202"/>
      <c r="F1929" s="199"/>
      <c r="G1929" s="199"/>
      <c r="H1929" s="199"/>
      <c r="I1929" s="199"/>
    </row>
    <row r="1930">
      <c r="A1930" s="199"/>
      <c r="B1930" s="200"/>
      <c r="C1930" s="201"/>
      <c r="D1930" s="200"/>
      <c r="E1930" s="202"/>
      <c r="F1930" s="199"/>
      <c r="G1930" s="199"/>
      <c r="H1930" s="199"/>
      <c r="I1930" s="199"/>
    </row>
    <row r="1931">
      <c r="A1931" s="199"/>
      <c r="B1931" s="200"/>
      <c r="C1931" s="201"/>
      <c r="D1931" s="200"/>
      <c r="E1931" s="202"/>
      <c r="F1931" s="199"/>
      <c r="G1931" s="199"/>
      <c r="H1931" s="199"/>
      <c r="I1931" s="199"/>
    </row>
    <row r="1932">
      <c r="A1932" s="199"/>
      <c r="B1932" s="200"/>
      <c r="C1932" s="201"/>
      <c r="D1932" s="200"/>
      <c r="E1932" s="202"/>
      <c r="F1932" s="199"/>
      <c r="G1932" s="199"/>
      <c r="H1932" s="199"/>
      <c r="I1932" s="199"/>
    </row>
    <row r="1933">
      <c r="A1933" s="199"/>
      <c r="B1933" s="200"/>
      <c r="C1933" s="201"/>
      <c r="D1933" s="200"/>
      <c r="E1933" s="202"/>
      <c r="F1933" s="199"/>
      <c r="G1933" s="199"/>
      <c r="H1933" s="199"/>
      <c r="I1933" s="199"/>
    </row>
    <row r="1934">
      <c r="A1934" s="199"/>
      <c r="B1934" s="200"/>
      <c r="C1934" s="201"/>
      <c r="D1934" s="200"/>
      <c r="E1934" s="202"/>
      <c r="F1934" s="199"/>
      <c r="G1934" s="199"/>
      <c r="H1934" s="199"/>
      <c r="I1934" s="199"/>
    </row>
    <row r="1935">
      <c r="A1935" s="199"/>
      <c r="B1935" s="200"/>
      <c r="C1935" s="201"/>
      <c r="D1935" s="200"/>
      <c r="E1935" s="202"/>
      <c r="F1935" s="199"/>
      <c r="G1935" s="199"/>
      <c r="H1935" s="199"/>
      <c r="I1935" s="199"/>
    </row>
    <row r="1936">
      <c r="A1936" s="199"/>
      <c r="B1936" s="200"/>
      <c r="C1936" s="201"/>
      <c r="D1936" s="200"/>
      <c r="E1936" s="202"/>
      <c r="F1936" s="199"/>
      <c r="G1936" s="199"/>
      <c r="H1936" s="199"/>
      <c r="I1936" s="199"/>
    </row>
    <row r="1937">
      <c r="A1937" s="199"/>
      <c r="B1937" s="200"/>
      <c r="C1937" s="201"/>
      <c r="D1937" s="200"/>
      <c r="E1937" s="202"/>
      <c r="F1937" s="199"/>
      <c r="G1937" s="199"/>
      <c r="H1937" s="199"/>
      <c r="I1937" s="199"/>
    </row>
    <row r="1938">
      <c r="A1938" s="199"/>
      <c r="B1938" s="200"/>
      <c r="C1938" s="201"/>
      <c r="D1938" s="200"/>
      <c r="E1938" s="202"/>
      <c r="F1938" s="199"/>
      <c r="G1938" s="199"/>
      <c r="H1938" s="199"/>
      <c r="I1938" s="199"/>
    </row>
    <row r="1939">
      <c r="A1939" s="199"/>
      <c r="B1939" s="200"/>
      <c r="C1939" s="201"/>
      <c r="D1939" s="200"/>
      <c r="E1939" s="202"/>
      <c r="F1939" s="199"/>
      <c r="G1939" s="199"/>
      <c r="H1939" s="199"/>
      <c r="I1939" s="199"/>
    </row>
    <row r="1940">
      <c r="A1940" s="199"/>
      <c r="B1940" s="200"/>
      <c r="C1940" s="201"/>
      <c r="D1940" s="200"/>
      <c r="E1940" s="202"/>
      <c r="F1940" s="199"/>
      <c r="G1940" s="199"/>
      <c r="H1940" s="199"/>
      <c r="I1940" s="199"/>
    </row>
    <row r="1941">
      <c r="A1941" s="199"/>
      <c r="B1941" s="200"/>
      <c r="C1941" s="201"/>
      <c r="D1941" s="200"/>
      <c r="E1941" s="202"/>
      <c r="F1941" s="199"/>
      <c r="G1941" s="199"/>
      <c r="H1941" s="199"/>
      <c r="I1941" s="199"/>
    </row>
    <row r="1942">
      <c r="A1942" s="199"/>
      <c r="B1942" s="200"/>
      <c r="C1942" s="201"/>
      <c r="D1942" s="200"/>
      <c r="E1942" s="202"/>
      <c r="F1942" s="199"/>
      <c r="G1942" s="199"/>
      <c r="H1942" s="199"/>
      <c r="I1942" s="199"/>
    </row>
    <row r="1943">
      <c r="A1943" s="199"/>
      <c r="B1943" s="200"/>
      <c r="C1943" s="201"/>
      <c r="D1943" s="200"/>
      <c r="E1943" s="202"/>
      <c r="F1943" s="199"/>
      <c r="G1943" s="199"/>
      <c r="H1943" s="199"/>
      <c r="I1943" s="199"/>
    </row>
    <row r="1944">
      <c r="A1944" s="199"/>
      <c r="B1944" s="200"/>
      <c r="C1944" s="201"/>
      <c r="D1944" s="200"/>
      <c r="E1944" s="202"/>
      <c r="F1944" s="199"/>
      <c r="G1944" s="199"/>
      <c r="H1944" s="199"/>
      <c r="I1944" s="199"/>
    </row>
    <row r="1945">
      <c r="A1945" s="199"/>
      <c r="B1945" s="200"/>
      <c r="C1945" s="201"/>
      <c r="D1945" s="200"/>
      <c r="E1945" s="202"/>
      <c r="F1945" s="199"/>
      <c r="G1945" s="199"/>
      <c r="H1945" s="199"/>
      <c r="I1945" s="199"/>
    </row>
    <row r="1946">
      <c r="A1946" s="199"/>
      <c r="B1946" s="200"/>
      <c r="C1946" s="201"/>
      <c r="D1946" s="200"/>
      <c r="E1946" s="202"/>
      <c r="F1946" s="199"/>
      <c r="G1946" s="199"/>
      <c r="H1946" s="199"/>
      <c r="I1946" s="199"/>
    </row>
    <row r="1947">
      <c r="A1947" s="199"/>
      <c r="B1947" s="200"/>
      <c r="C1947" s="201"/>
      <c r="D1947" s="200"/>
      <c r="E1947" s="202"/>
      <c r="F1947" s="199"/>
      <c r="G1947" s="199"/>
      <c r="H1947" s="199"/>
      <c r="I1947" s="199"/>
    </row>
    <row r="1948">
      <c r="A1948" s="199"/>
      <c r="B1948" s="200"/>
      <c r="C1948" s="201"/>
      <c r="D1948" s="200"/>
      <c r="E1948" s="202"/>
      <c r="F1948" s="199"/>
      <c r="G1948" s="199"/>
      <c r="H1948" s="199"/>
      <c r="I1948" s="199"/>
    </row>
    <row r="1949">
      <c r="A1949" s="199"/>
      <c r="B1949" s="200"/>
      <c r="C1949" s="201"/>
      <c r="D1949" s="200"/>
      <c r="E1949" s="202"/>
      <c r="F1949" s="199"/>
      <c r="G1949" s="199"/>
      <c r="H1949" s="199"/>
      <c r="I1949" s="199"/>
    </row>
    <row r="1950">
      <c r="A1950" s="199"/>
      <c r="B1950" s="200"/>
      <c r="C1950" s="201"/>
      <c r="D1950" s="200"/>
      <c r="E1950" s="202"/>
      <c r="F1950" s="199"/>
      <c r="G1950" s="199"/>
      <c r="H1950" s="199"/>
      <c r="I1950" s="199"/>
    </row>
    <row r="1951">
      <c r="A1951" s="199"/>
      <c r="B1951" s="200"/>
      <c r="C1951" s="201"/>
      <c r="D1951" s="200"/>
      <c r="E1951" s="202"/>
      <c r="F1951" s="199"/>
      <c r="G1951" s="199"/>
      <c r="H1951" s="199"/>
      <c r="I1951" s="199"/>
    </row>
    <row r="1952">
      <c r="A1952" s="199"/>
      <c r="B1952" s="200"/>
      <c r="C1952" s="201"/>
      <c r="D1952" s="200"/>
      <c r="E1952" s="202"/>
      <c r="F1952" s="199"/>
      <c r="G1952" s="199"/>
      <c r="H1952" s="199"/>
      <c r="I1952" s="199"/>
    </row>
    <row r="1953">
      <c r="A1953" s="199"/>
      <c r="B1953" s="200"/>
      <c r="C1953" s="201"/>
      <c r="D1953" s="200"/>
      <c r="E1953" s="202"/>
      <c r="F1953" s="199"/>
      <c r="G1953" s="199"/>
      <c r="H1953" s="199"/>
      <c r="I1953" s="199"/>
    </row>
    <row r="1954">
      <c r="A1954" s="199"/>
      <c r="B1954" s="200"/>
      <c r="C1954" s="201"/>
      <c r="D1954" s="200"/>
      <c r="E1954" s="202"/>
      <c r="F1954" s="199"/>
      <c r="G1954" s="199"/>
      <c r="H1954" s="199"/>
      <c r="I1954" s="199"/>
    </row>
    <row r="1955">
      <c r="A1955" s="199"/>
      <c r="B1955" s="200"/>
      <c r="C1955" s="201"/>
      <c r="D1955" s="200"/>
      <c r="E1955" s="202"/>
      <c r="F1955" s="199"/>
      <c r="G1955" s="199"/>
      <c r="H1955" s="199"/>
      <c r="I1955" s="199"/>
    </row>
    <row r="1956">
      <c r="A1956" s="199"/>
      <c r="B1956" s="200"/>
      <c r="C1956" s="201"/>
      <c r="D1956" s="200"/>
      <c r="E1956" s="202"/>
      <c r="F1956" s="199"/>
      <c r="G1956" s="199"/>
      <c r="H1956" s="199"/>
      <c r="I1956" s="199"/>
    </row>
    <row r="1957">
      <c r="A1957" s="199"/>
      <c r="B1957" s="200"/>
      <c r="C1957" s="201"/>
      <c r="D1957" s="200"/>
      <c r="E1957" s="202"/>
      <c r="F1957" s="199"/>
      <c r="G1957" s="199"/>
      <c r="H1957" s="199"/>
      <c r="I1957" s="199"/>
    </row>
    <row r="1958">
      <c r="A1958" s="199"/>
      <c r="B1958" s="200"/>
      <c r="C1958" s="201"/>
      <c r="D1958" s="200"/>
      <c r="E1958" s="202"/>
      <c r="F1958" s="199"/>
      <c r="G1958" s="199"/>
      <c r="H1958" s="199"/>
      <c r="I1958" s="199"/>
    </row>
    <row r="1959">
      <c r="A1959" s="199"/>
      <c r="B1959" s="200"/>
      <c r="C1959" s="201"/>
      <c r="D1959" s="200"/>
      <c r="E1959" s="202"/>
      <c r="F1959" s="199"/>
      <c r="G1959" s="199"/>
      <c r="H1959" s="199"/>
      <c r="I1959" s="199"/>
    </row>
    <row r="1960">
      <c r="A1960" s="199"/>
      <c r="B1960" s="200"/>
      <c r="C1960" s="201"/>
      <c r="D1960" s="200"/>
      <c r="E1960" s="202"/>
      <c r="F1960" s="199"/>
      <c r="G1960" s="199"/>
      <c r="H1960" s="199"/>
      <c r="I1960" s="199"/>
    </row>
    <row r="1961">
      <c r="A1961" s="199"/>
      <c r="B1961" s="200"/>
      <c r="C1961" s="201"/>
      <c r="D1961" s="200"/>
      <c r="E1961" s="202"/>
      <c r="F1961" s="199"/>
      <c r="G1961" s="199"/>
      <c r="H1961" s="199"/>
      <c r="I1961" s="199"/>
    </row>
    <row r="1962">
      <c r="A1962" s="199"/>
      <c r="B1962" s="200"/>
      <c r="C1962" s="201"/>
      <c r="D1962" s="200"/>
      <c r="E1962" s="202"/>
      <c r="F1962" s="199"/>
      <c r="G1962" s="199"/>
      <c r="H1962" s="199"/>
      <c r="I1962" s="199"/>
    </row>
    <row r="1963">
      <c r="A1963" s="199"/>
      <c r="B1963" s="200"/>
      <c r="C1963" s="201"/>
      <c r="D1963" s="200"/>
      <c r="E1963" s="202"/>
      <c r="F1963" s="199"/>
      <c r="G1963" s="199"/>
      <c r="H1963" s="199"/>
      <c r="I1963" s="199"/>
    </row>
    <row r="1964">
      <c r="A1964" s="199"/>
      <c r="B1964" s="200"/>
      <c r="C1964" s="201"/>
      <c r="D1964" s="200"/>
      <c r="E1964" s="202"/>
      <c r="F1964" s="199"/>
      <c r="G1964" s="199"/>
      <c r="H1964" s="199"/>
      <c r="I1964" s="199"/>
    </row>
    <row r="1965">
      <c r="A1965" s="199"/>
      <c r="B1965" s="200"/>
      <c r="C1965" s="201"/>
      <c r="D1965" s="200"/>
      <c r="E1965" s="202"/>
      <c r="F1965" s="199"/>
      <c r="G1965" s="199"/>
      <c r="H1965" s="199"/>
      <c r="I1965" s="199"/>
    </row>
    <row r="1966">
      <c r="A1966" s="199"/>
      <c r="B1966" s="200"/>
      <c r="C1966" s="201"/>
      <c r="D1966" s="200"/>
      <c r="E1966" s="202"/>
      <c r="F1966" s="199"/>
      <c r="G1966" s="199"/>
      <c r="H1966" s="199"/>
      <c r="I1966" s="199"/>
    </row>
    <row r="1967">
      <c r="A1967" s="199"/>
      <c r="B1967" s="200"/>
      <c r="C1967" s="201"/>
      <c r="D1967" s="200"/>
      <c r="E1967" s="202"/>
      <c r="F1967" s="199"/>
      <c r="G1967" s="199"/>
      <c r="H1967" s="199"/>
      <c r="I1967" s="199"/>
    </row>
    <row r="1968">
      <c r="A1968" s="199"/>
      <c r="B1968" s="200"/>
      <c r="C1968" s="201"/>
      <c r="D1968" s="200"/>
      <c r="E1968" s="202"/>
      <c r="F1968" s="199"/>
      <c r="G1968" s="199"/>
      <c r="H1968" s="199"/>
      <c r="I1968" s="199"/>
    </row>
    <row r="1969">
      <c r="A1969" s="199"/>
      <c r="B1969" s="200"/>
      <c r="C1969" s="201"/>
      <c r="D1969" s="200"/>
      <c r="E1969" s="202"/>
      <c r="F1969" s="199"/>
      <c r="G1969" s="199"/>
      <c r="H1969" s="199"/>
      <c r="I1969" s="199"/>
    </row>
    <row r="1970">
      <c r="A1970" s="199"/>
      <c r="B1970" s="200"/>
      <c r="C1970" s="201"/>
      <c r="D1970" s="200"/>
      <c r="E1970" s="202"/>
      <c r="F1970" s="199"/>
      <c r="G1970" s="199"/>
      <c r="H1970" s="199"/>
      <c r="I1970" s="199"/>
    </row>
    <row r="1971">
      <c r="A1971" s="199"/>
      <c r="B1971" s="200"/>
      <c r="C1971" s="201"/>
      <c r="D1971" s="200"/>
      <c r="E1971" s="202"/>
      <c r="F1971" s="199"/>
      <c r="G1971" s="199"/>
      <c r="H1971" s="199"/>
      <c r="I1971" s="199"/>
    </row>
    <row r="1972">
      <c r="A1972" s="199"/>
      <c r="B1972" s="200"/>
      <c r="C1972" s="201"/>
      <c r="D1972" s="200"/>
      <c r="E1972" s="202"/>
      <c r="F1972" s="199"/>
      <c r="G1972" s="199"/>
      <c r="H1972" s="199"/>
      <c r="I1972" s="199"/>
    </row>
    <row r="1973">
      <c r="A1973" s="199"/>
      <c r="B1973" s="200"/>
      <c r="C1973" s="201"/>
      <c r="D1973" s="200"/>
      <c r="E1973" s="202"/>
      <c r="F1973" s="199"/>
      <c r="G1973" s="199"/>
      <c r="H1973" s="199"/>
      <c r="I1973" s="199"/>
    </row>
    <row r="1974">
      <c r="A1974" s="199"/>
      <c r="B1974" s="200"/>
      <c r="C1974" s="201"/>
      <c r="D1974" s="200"/>
      <c r="E1974" s="202"/>
      <c r="F1974" s="199"/>
      <c r="G1974" s="199"/>
      <c r="H1974" s="199"/>
      <c r="I1974" s="199"/>
    </row>
    <row r="1975">
      <c r="A1975" s="199"/>
      <c r="B1975" s="200"/>
      <c r="C1975" s="201"/>
      <c r="D1975" s="200"/>
      <c r="E1975" s="202"/>
      <c r="F1975" s="199"/>
      <c r="G1975" s="199"/>
      <c r="H1975" s="199"/>
      <c r="I1975" s="199"/>
    </row>
    <row r="1976">
      <c r="A1976" s="199"/>
      <c r="B1976" s="200"/>
      <c r="C1976" s="201"/>
      <c r="D1976" s="200"/>
      <c r="E1976" s="202"/>
      <c r="F1976" s="199"/>
      <c r="G1976" s="199"/>
      <c r="H1976" s="199"/>
      <c r="I1976" s="199"/>
    </row>
    <row r="1977">
      <c r="A1977" s="199"/>
      <c r="B1977" s="200"/>
      <c r="C1977" s="201"/>
      <c r="D1977" s="200"/>
      <c r="E1977" s="202"/>
      <c r="F1977" s="199"/>
      <c r="G1977" s="199"/>
      <c r="H1977" s="199"/>
      <c r="I1977" s="199"/>
    </row>
    <row r="1978">
      <c r="A1978" s="199"/>
      <c r="B1978" s="200"/>
      <c r="C1978" s="201"/>
      <c r="D1978" s="200"/>
      <c r="E1978" s="202"/>
      <c r="F1978" s="199"/>
      <c r="G1978" s="199"/>
      <c r="H1978" s="199"/>
      <c r="I1978" s="199"/>
    </row>
    <row r="1979">
      <c r="A1979" s="199"/>
      <c r="B1979" s="200"/>
      <c r="C1979" s="201"/>
      <c r="D1979" s="200"/>
      <c r="E1979" s="202"/>
      <c r="F1979" s="199"/>
      <c r="G1979" s="199"/>
      <c r="H1979" s="199"/>
      <c r="I1979" s="199"/>
    </row>
    <row r="1980">
      <c r="A1980" s="199"/>
      <c r="B1980" s="200"/>
      <c r="C1980" s="201"/>
      <c r="D1980" s="200"/>
      <c r="E1980" s="202"/>
      <c r="F1980" s="199"/>
      <c r="G1980" s="199"/>
      <c r="H1980" s="199"/>
      <c r="I1980" s="199"/>
    </row>
    <row r="1981">
      <c r="A1981" s="199"/>
      <c r="B1981" s="200"/>
      <c r="C1981" s="201"/>
      <c r="D1981" s="200"/>
      <c r="E1981" s="202"/>
      <c r="F1981" s="199"/>
      <c r="G1981" s="199"/>
      <c r="H1981" s="199"/>
      <c r="I1981" s="199"/>
    </row>
    <row r="1982">
      <c r="A1982" s="199"/>
      <c r="B1982" s="200"/>
      <c r="C1982" s="201"/>
      <c r="D1982" s="200"/>
      <c r="E1982" s="202"/>
      <c r="F1982" s="199"/>
      <c r="G1982" s="199"/>
      <c r="H1982" s="199"/>
      <c r="I1982" s="199"/>
    </row>
    <row r="1983">
      <c r="A1983" s="199"/>
      <c r="B1983" s="200"/>
      <c r="C1983" s="201"/>
      <c r="D1983" s="200"/>
      <c r="E1983" s="202"/>
      <c r="F1983" s="199"/>
      <c r="G1983" s="199"/>
      <c r="H1983" s="199"/>
      <c r="I1983" s="199"/>
    </row>
    <row r="1984">
      <c r="A1984" s="199"/>
      <c r="B1984" s="200"/>
      <c r="C1984" s="201"/>
      <c r="D1984" s="200"/>
      <c r="E1984" s="202"/>
      <c r="F1984" s="199"/>
      <c r="G1984" s="199"/>
      <c r="H1984" s="199"/>
      <c r="I1984" s="199"/>
    </row>
    <row r="1985">
      <c r="A1985" s="199"/>
      <c r="B1985" s="200"/>
      <c r="C1985" s="201"/>
      <c r="D1985" s="200"/>
      <c r="E1985" s="202"/>
      <c r="F1985" s="199"/>
      <c r="G1985" s="199"/>
      <c r="H1985" s="199"/>
      <c r="I1985" s="199"/>
    </row>
    <row r="1986">
      <c r="A1986" s="199"/>
      <c r="B1986" s="200"/>
      <c r="C1986" s="201"/>
      <c r="D1986" s="200"/>
      <c r="E1986" s="202"/>
      <c r="F1986" s="199"/>
      <c r="G1986" s="199"/>
      <c r="H1986" s="199"/>
      <c r="I1986" s="199"/>
    </row>
    <row r="1987">
      <c r="A1987" s="199"/>
      <c r="B1987" s="200"/>
      <c r="C1987" s="201"/>
      <c r="D1987" s="200"/>
      <c r="E1987" s="202"/>
      <c r="F1987" s="199"/>
      <c r="G1987" s="199"/>
      <c r="H1987" s="199"/>
      <c r="I1987" s="199"/>
    </row>
    <row r="1988">
      <c r="A1988" s="199"/>
      <c r="B1988" s="200"/>
      <c r="C1988" s="201"/>
      <c r="D1988" s="200"/>
      <c r="E1988" s="202"/>
      <c r="F1988" s="199"/>
      <c r="G1988" s="199"/>
      <c r="H1988" s="199"/>
      <c r="I1988" s="199"/>
    </row>
    <row r="1989">
      <c r="A1989" s="199"/>
      <c r="B1989" s="200"/>
      <c r="C1989" s="201"/>
      <c r="D1989" s="200"/>
      <c r="E1989" s="202"/>
      <c r="F1989" s="199"/>
      <c r="G1989" s="199"/>
      <c r="H1989" s="199"/>
      <c r="I1989" s="199"/>
    </row>
    <row r="1990">
      <c r="A1990" s="199"/>
      <c r="B1990" s="200"/>
      <c r="C1990" s="201"/>
      <c r="D1990" s="200"/>
      <c r="E1990" s="202"/>
      <c r="F1990" s="199"/>
      <c r="G1990" s="199"/>
      <c r="H1990" s="199"/>
      <c r="I1990" s="199"/>
    </row>
    <row r="1991">
      <c r="A1991" s="199"/>
      <c r="B1991" s="200"/>
      <c r="C1991" s="201"/>
      <c r="D1991" s="200"/>
      <c r="E1991" s="202"/>
      <c r="F1991" s="199"/>
      <c r="G1991" s="199"/>
      <c r="H1991" s="199"/>
      <c r="I1991" s="199"/>
    </row>
    <row r="1992">
      <c r="A1992" s="199"/>
      <c r="B1992" s="200"/>
      <c r="C1992" s="201"/>
      <c r="D1992" s="200"/>
      <c r="E1992" s="202"/>
      <c r="F1992" s="199"/>
      <c r="G1992" s="199"/>
      <c r="H1992" s="199"/>
      <c r="I1992" s="199"/>
    </row>
    <row r="1993">
      <c r="A1993" s="199"/>
      <c r="B1993" s="200"/>
      <c r="C1993" s="201"/>
      <c r="D1993" s="200"/>
      <c r="E1993" s="202"/>
      <c r="F1993" s="199"/>
      <c r="G1993" s="199"/>
      <c r="H1993" s="199"/>
      <c r="I1993" s="199"/>
    </row>
    <row r="1994">
      <c r="A1994" s="199"/>
      <c r="B1994" s="200"/>
      <c r="C1994" s="201"/>
      <c r="D1994" s="200"/>
      <c r="E1994" s="202"/>
      <c r="F1994" s="199"/>
      <c r="G1994" s="199"/>
      <c r="H1994" s="199"/>
      <c r="I1994" s="199"/>
    </row>
    <row r="1995">
      <c r="A1995" s="199"/>
      <c r="B1995" s="200"/>
      <c r="C1995" s="201"/>
      <c r="D1995" s="200"/>
      <c r="E1995" s="202"/>
      <c r="F1995" s="199"/>
      <c r="G1995" s="199"/>
      <c r="H1995" s="199"/>
      <c r="I1995" s="199"/>
    </row>
    <row r="1996">
      <c r="A1996" s="199"/>
      <c r="B1996" s="200"/>
      <c r="C1996" s="201"/>
      <c r="D1996" s="200"/>
      <c r="E1996" s="202"/>
      <c r="F1996" s="199"/>
      <c r="G1996" s="199"/>
      <c r="H1996" s="199"/>
      <c r="I1996" s="199"/>
    </row>
    <row r="1997">
      <c r="A1997" s="199"/>
      <c r="B1997" s="200"/>
      <c r="C1997" s="201"/>
      <c r="D1997" s="200"/>
      <c r="E1997" s="202"/>
      <c r="F1997" s="199"/>
      <c r="G1997" s="199"/>
      <c r="H1997" s="199"/>
      <c r="I1997" s="199"/>
    </row>
    <row r="1998">
      <c r="A1998" s="199"/>
      <c r="B1998" s="200"/>
      <c r="C1998" s="201"/>
      <c r="D1998" s="200"/>
      <c r="E1998" s="202"/>
      <c r="F1998" s="199"/>
      <c r="G1998" s="199"/>
      <c r="H1998" s="199"/>
      <c r="I1998" s="199"/>
    </row>
    <row r="1999">
      <c r="A1999" s="199"/>
      <c r="B1999" s="200"/>
      <c r="C1999" s="201"/>
      <c r="D1999" s="200"/>
      <c r="E1999" s="202"/>
      <c r="F1999" s="199"/>
      <c r="G1999" s="199"/>
      <c r="H1999" s="199"/>
      <c r="I1999" s="199"/>
    </row>
    <row r="2000">
      <c r="A2000" s="199"/>
      <c r="B2000" s="200"/>
      <c r="C2000" s="201"/>
      <c r="D2000" s="200"/>
      <c r="E2000" s="202"/>
      <c r="F2000" s="199"/>
      <c r="G2000" s="199"/>
      <c r="H2000" s="199"/>
      <c r="I2000" s="199"/>
    </row>
    <row r="2001">
      <c r="A2001" s="199"/>
      <c r="B2001" s="200"/>
      <c r="C2001" s="201"/>
      <c r="D2001" s="200"/>
      <c r="E2001" s="202"/>
      <c r="F2001" s="199"/>
      <c r="G2001" s="199"/>
      <c r="H2001" s="199"/>
      <c r="I2001" s="199"/>
    </row>
    <row r="2002">
      <c r="A2002" s="199"/>
      <c r="B2002" s="200"/>
      <c r="C2002" s="201"/>
      <c r="D2002" s="200"/>
      <c r="E2002" s="202"/>
      <c r="F2002" s="199"/>
      <c r="G2002" s="199"/>
      <c r="H2002" s="199"/>
      <c r="I2002" s="199"/>
    </row>
    <row r="2003">
      <c r="A2003" s="199"/>
      <c r="B2003" s="200"/>
      <c r="C2003" s="201"/>
      <c r="D2003" s="200"/>
      <c r="E2003" s="202"/>
      <c r="F2003" s="199"/>
      <c r="G2003" s="199"/>
      <c r="H2003" s="199"/>
      <c r="I2003" s="199"/>
    </row>
    <row r="2004">
      <c r="A2004" s="199"/>
      <c r="B2004" s="200"/>
      <c r="C2004" s="201"/>
      <c r="D2004" s="200"/>
      <c r="E2004" s="202"/>
      <c r="F2004" s="199"/>
      <c r="G2004" s="199"/>
      <c r="H2004" s="199"/>
      <c r="I2004" s="199"/>
    </row>
    <row r="2005">
      <c r="A2005" s="199"/>
      <c r="B2005" s="200"/>
      <c r="C2005" s="201"/>
      <c r="D2005" s="200"/>
      <c r="E2005" s="202"/>
      <c r="F2005" s="199"/>
      <c r="G2005" s="199"/>
      <c r="H2005" s="199"/>
      <c r="I2005" s="199"/>
    </row>
    <row r="2006">
      <c r="A2006" s="199"/>
      <c r="B2006" s="200"/>
      <c r="C2006" s="201"/>
      <c r="D2006" s="200"/>
      <c r="E2006" s="202"/>
      <c r="F2006" s="199"/>
      <c r="G2006" s="199"/>
      <c r="H2006" s="199"/>
      <c r="I2006" s="199"/>
    </row>
    <row r="2007">
      <c r="A2007" s="199"/>
      <c r="B2007" s="200"/>
      <c r="C2007" s="201"/>
      <c r="D2007" s="200"/>
      <c r="E2007" s="202"/>
      <c r="F2007" s="199"/>
      <c r="G2007" s="199"/>
      <c r="H2007" s="199"/>
      <c r="I2007" s="199"/>
    </row>
    <row r="2008">
      <c r="A2008" s="199"/>
      <c r="B2008" s="200"/>
      <c r="C2008" s="201"/>
      <c r="D2008" s="200"/>
      <c r="E2008" s="202"/>
      <c r="F2008" s="199"/>
      <c r="G2008" s="199"/>
      <c r="H2008" s="199"/>
      <c r="I2008" s="199"/>
    </row>
    <row r="2009">
      <c r="A2009" s="199"/>
      <c r="B2009" s="200"/>
      <c r="C2009" s="201"/>
      <c r="D2009" s="200"/>
      <c r="E2009" s="202"/>
      <c r="F2009" s="199"/>
      <c r="G2009" s="199"/>
      <c r="H2009" s="199"/>
      <c r="I2009" s="199"/>
    </row>
    <row r="2010">
      <c r="A2010" s="199"/>
      <c r="B2010" s="200"/>
      <c r="C2010" s="201"/>
      <c r="D2010" s="200"/>
      <c r="E2010" s="202"/>
      <c r="F2010" s="199"/>
      <c r="G2010" s="199"/>
      <c r="H2010" s="199"/>
      <c r="I2010" s="199"/>
    </row>
    <row r="2011">
      <c r="A2011" s="199"/>
      <c r="B2011" s="200"/>
      <c r="C2011" s="201"/>
      <c r="D2011" s="200"/>
      <c r="E2011" s="202"/>
      <c r="F2011" s="199"/>
      <c r="G2011" s="199"/>
      <c r="H2011" s="199"/>
      <c r="I2011" s="199"/>
    </row>
    <row r="2012">
      <c r="A2012" s="199"/>
      <c r="B2012" s="200"/>
      <c r="C2012" s="201"/>
      <c r="D2012" s="200"/>
      <c r="E2012" s="202"/>
      <c r="F2012" s="199"/>
      <c r="G2012" s="199"/>
      <c r="H2012" s="199"/>
      <c r="I2012" s="199"/>
    </row>
    <row r="2013">
      <c r="A2013" s="199"/>
      <c r="B2013" s="200"/>
      <c r="C2013" s="201"/>
      <c r="D2013" s="200"/>
      <c r="E2013" s="202"/>
      <c r="F2013" s="199"/>
      <c r="G2013" s="199"/>
      <c r="H2013" s="199"/>
      <c r="I2013" s="199"/>
    </row>
    <row r="2014">
      <c r="A2014" s="199"/>
      <c r="B2014" s="200"/>
      <c r="C2014" s="201"/>
      <c r="D2014" s="200"/>
      <c r="E2014" s="202"/>
      <c r="F2014" s="199"/>
      <c r="G2014" s="199"/>
      <c r="H2014" s="199"/>
      <c r="I2014" s="199"/>
    </row>
    <row r="2015">
      <c r="A2015" s="199"/>
      <c r="B2015" s="200"/>
      <c r="C2015" s="201"/>
      <c r="D2015" s="200"/>
      <c r="E2015" s="202"/>
      <c r="F2015" s="199"/>
      <c r="G2015" s="199"/>
      <c r="H2015" s="199"/>
      <c r="I2015" s="199"/>
    </row>
    <row r="2016">
      <c r="A2016" s="199"/>
      <c r="B2016" s="200"/>
      <c r="C2016" s="201"/>
      <c r="D2016" s="200"/>
      <c r="E2016" s="202"/>
      <c r="F2016" s="199"/>
      <c r="G2016" s="199"/>
      <c r="H2016" s="199"/>
      <c r="I2016" s="199"/>
    </row>
    <row r="2017">
      <c r="A2017" s="199"/>
      <c r="B2017" s="200"/>
      <c r="C2017" s="201"/>
      <c r="D2017" s="200"/>
      <c r="E2017" s="202"/>
      <c r="F2017" s="199"/>
      <c r="G2017" s="199"/>
      <c r="H2017" s="199"/>
      <c r="I2017" s="199"/>
    </row>
    <row r="2018">
      <c r="A2018" s="199"/>
      <c r="B2018" s="200"/>
      <c r="C2018" s="201"/>
      <c r="D2018" s="200"/>
      <c r="E2018" s="202"/>
      <c r="F2018" s="199"/>
      <c r="G2018" s="199"/>
      <c r="H2018" s="199"/>
      <c r="I2018" s="199"/>
    </row>
    <row r="2019">
      <c r="A2019" s="199"/>
      <c r="B2019" s="200"/>
      <c r="C2019" s="201"/>
      <c r="D2019" s="200"/>
      <c r="E2019" s="202"/>
      <c r="F2019" s="199"/>
      <c r="G2019" s="199"/>
      <c r="H2019" s="199"/>
      <c r="I2019" s="199"/>
    </row>
    <row r="2020">
      <c r="A2020" s="199"/>
      <c r="B2020" s="200"/>
      <c r="C2020" s="201"/>
      <c r="D2020" s="200"/>
      <c r="E2020" s="202"/>
      <c r="F2020" s="199"/>
      <c r="G2020" s="199"/>
      <c r="H2020" s="199"/>
      <c r="I2020" s="199"/>
    </row>
    <row r="2021">
      <c r="A2021" s="199"/>
      <c r="B2021" s="200"/>
      <c r="C2021" s="201"/>
      <c r="D2021" s="200"/>
      <c r="E2021" s="202"/>
      <c r="F2021" s="199"/>
      <c r="G2021" s="199"/>
      <c r="H2021" s="199"/>
      <c r="I2021" s="199"/>
    </row>
    <row r="2022">
      <c r="A2022" s="199"/>
      <c r="B2022" s="200"/>
      <c r="C2022" s="201"/>
      <c r="D2022" s="200"/>
      <c r="E2022" s="202"/>
      <c r="F2022" s="199"/>
      <c r="G2022" s="199"/>
      <c r="H2022" s="199"/>
      <c r="I2022" s="199"/>
    </row>
    <row r="2023">
      <c r="A2023" s="199"/>
      <c r="B2023" s="200"/>
      <c r="C2023" s="201"/>
      <c r="D2023" s="200"/>
      <c r="E2023" s="202"/>
      <c r="F2023" s="199"/>
      <c r="G2023" s="199"/>
      <c r="H2023" s="199"/>
      <c r="I2023" s="199"/>
    </row>
    <row r="2024">
      <c r="A2024" s="199"/>
      <c r="B2024" s="200"/>
      <c r="C2024" s="201"/>
      <c r="D2024" s="200"/>
      <c r="E2024" s="202"/>
      <c r="F2024" s="199"/>
      <c r="G2024" s="199"/>
      <c r="H2024" s="199"/>
      <c r="I2024" s="199"/>
    </row>
    <row r="2025">
      <c r="A2025" s="199"/>
      <c r="B2025" s="200"/>
      <c r="C2025" s="201"/>
      <c r="D2025" s="200"/>
      <c r="E2025" s="202"/>
      <c r="F2025" s="199"/>
      <c r="G2025" s="199"/>
      <c r="H2025" s="199"/>
      <c r="I2025" s="199"/>
    </row>
    <row r="2026">
      <c r="A2026" s="199"/>
      <c r="B2026" s="200"/>
      <c r="C2026" s="201"/>
      <c r="D2026" s="200"/>
      <c r="E2026" s="202"/>
      <c r="F2026" s="199"/>
      <c r="G2026" s="199"/>
      <c r="H2026" s="199"/>
      <c r="I2026" s="199"/>
    </row>
    <row r="2027">
      <c r="A2027" s="199"/>
      <c r="B2027" s="200"/>
      <c r="C2027" s="201"/>
      <c r="D2027" s="200"/>
      <c r="E2027" s="202"/>
      <c r="F2027" s="199"/>
      <c r="G2027" s="199"/>
      <c r="H2027" s="199"/>
      <c r="I2027" s="199"/>
    </row>
    <row r="2028">
      <c r="A2028" s="199"/>
      <c r="B2028" s="200"/>
      <c r="C2028" s="201"/>
      <c r="D2028" s="200"/>
      <c r="E2028" s="202"/>
      <c r="F2028" s="199"/>
      <c r="G2028" s="199"/>
      <c r="H2028" s="199"/>
      <c r="I2028" s="199"/>
    </row>
    <row r="2029">
      <c r="A2029" s="199"/>
      <c r="B2029" s="200"/>
      <c r="C2029" s="201"/>
      <c r="D2029" s="200"/>
      <c r="E2029" s="202"/>
      <c r="F2029" s="199"/>
      <c r="G2029" s="199"/>
      <c r="H2029" s="199"/>
      <c r="I2029" s="199"/>
    </row>
    <row r="2030">
      <c r="A2030" s="199"/>
      <c r="B2030" s="200"/>
      <c r="C2030" s="201"/>
      <c r="D2030" s="200"/>
      <c r="E2030" s="202"/>
      <c r="F2030" s="199"/>
      <c r="G2030" s="199"/>
      <c r="H2030" s="199"/>
      <c r="I2030" s="199"/>
    </row>
    <row r="2031">
      <c r="A2031" s="199"/>
      <c r="B2031" s="200"/>
      <c r="C2031" s="201"/>
      <c r="D2031" s="200"/>
      <c r="E2031" s="202"/>
      <c r="F2031" s="199"/>
      <c r="G2031" s="199"/>
      <c r="H2031" s="199"/>
      <c r="I2031" s="199"/>
    </row>
    <row r="2032">
      <c r="A2032" s="199"/>
      <c r="B2032" s="200"/>
      <c r="C2032" s="201"/>
      <c r="D2032" s="200"/>
      <c r="E2032" s="202"/>
      <c r="F2032" s="199"/>
      <c r="G2032" s="199"/>
      <c r="H2032" s="199"/>
      <c r="I2032" s="199"/>
    </row>
    <row r="2033">
      <c r="A2033" s="199"/>
      <c r="B2033" s="200"/>
      <c r="C2033" s="201"/>
      <c r="D2033" s="200"/>
      <c r="E2033" s="202"/>
      <c r="F2033" s="199"/>
      <c r="G2033" s="199"/>
      <c r="H2033" s="199"/>
      <c r="I2033" s="199"/>
    </row>
    <row r="2034">
      <c r="A2034" s="199"/>
      <c r="B2034" s="200"/>
      <c r="C2034" s="201"/>
      <c r="D2034" s="200"/>
      <c r="E2034" s="202"/>
      <c r="F2034" s="199"/>
      <c r="G2034" s="199"/>
      <c r="H2034" s="199"/>
      <c r="I2034" s="199"/>
    </row>
    <row r="2035">
      <c r="A2035" s="199"/>
      <c r="B2035" s="200"/>
      <c r="C2035" s="201"/>
      <c r="D2035" s="200"/>
      <c r="E2035" s="202"/>
      <c r="F2035" s="199"/>
      <c r="G2035" s="199"/>
      <c r="H2035" s="199"/>
      <c r="I2035" s="199"/>
    </row>
    <row r="2036">
      <c r="A2036" s="199"/>
      <c r="B2036" s="200"/>
      <c r="C2036" s="201"/>
      <c r="D2036" s="200"/>
      <c r="E2036" s="202"/>
      <c r="F2036" s="199"/>
      <c r="G2036" s="199"/>
      <c r="H2036" s="199"/>
      <c r="I2036" s="199"/>
    </row>
    <row r="2037">
      <c r="A2037" s="199"/>
      <c r="B2037" s="200"/>
      <c r="C2037" s="201"/>
      <c r="D2037" s="200"/>
      <c r="E2037" s="202"/>
      <c r="F2037" s="199"/>
      <c r="G2037" s="199"/>
      <c r="H2037" s="199"/>
      <c r="I2037" s="199"/>
    </row>
    <row r="2038">
      <c r="A2038" s="199"/>
      <c r="B2038" s="200"/>
      <c r="C2038" s="201"/>
      <c r="D2038" s="200"/>
      <c r="E2038" s="202"/>
      <c r="F2038" s="199"/>
      <c r="G2038" s="199"/>
      <c r="H2038" s="199"/>
      <c r="I2038" s="199"/>
    </row>
    <row r="2039">
      <c r="A2039" s="199"/>
      <c r="B2039" s="200"/>
      <c r="C2039" s="201"/>
      <c r="D2039" s="200"/>
      <c r="E2039" s="202"/>
      <c r="F2039" s="199"/>
      <c r="G2039" s="199"/>
      <c r="H2039" s="199"/>
      <c r="I2039" s="199"/>
    </row>
    <row r="2040">
      <c r="A2040" s="199"/>
      <c r="B2040" s="200"/>
      <c r="C2040" s="201"/>
      <c r="D2040" s="200"/>
      <c r="E2040" s="202"/>
      <c r="F2040" s="199"/>
      <c r="G2040" s="199"/>
      <c r="H2040" s="199"/>
      <c r="I2040" s="199"/>
    </row>
    <row r="2041">
      <c r="A2041" s="199"/>
      <c r="B2041" s="200"/>
      <c r="C2041" s="201"/>
      <c r="D2041" s="200"/>
      <c r="E2041" s="202"/>
      <c r="F2041" s="199"/>
      <c r="G2041" s="199"/>
      <c r="H2041" s="199"/>
      <c r="I2041" s="199"/>
    </row>
    <row r="2042">
      <c r="A2042" s="199"/>
      <c r="B2042" s="200"/>
      <c r="C2042" s="201"/>
      <c r="D2042" s="200"/>
      <c r="E2042" s="202"/>
      <c r="F2042" s="199"/>
      <c r="G2042" s="199"/>
      <c r="H2042" s="199"/>
      <c r="I2042" s="199"/>
    </row>
    <row r="2043">
      <c r="A2043" s="199"/>
      <c r="B2043" s="200"/>
      <c r="C2043" s="201"/>
      <c r="D2043" s="200"/>
      <c r="E2043" s="202"/>
      <c r="F2043" s="199"/>
      <c r="G2043" s="199"/>
      <c r="H2043" s="199"/>
      <c r="I2043" s="199"/>
    </row>
    <row r="2044">
      <c r="A2044" s="199"/>
      <c r="B2044" s="200"/>
      <c r="C2044" s="201"/>
      <c r="D2044" s="200"/>
      <c r="E2044" s="202"/>
      <c r="F2044" s="199"/>
      <c r="G2044" s="199"/>
      <c r="H2044" s="199"/>
      <c r="I2044" s="199"/>
    </row>
    <row r="2045">
      <c r="A2045" s="199"/>
      <c r="B2045" s="200"/>
      <c r="C2045" s="201"/>
      <c r="D2045" s="200"/>
      <c r="E2045" s="202"/>
      <c r="F2045" s="199"/>
      <c r="G2045" s="199"/>
      <c r="H2045" s="199"/>
      <c r="I2045" s="199"/>
    </row>
    <row r="2046">
      <c r="A2046" s="199"/>
      <c r="B2046" s="200"/>
      <c r="C2046" s="201"/>
      <c r="D2046" s="200"/>
      <c r="E2046" s="202"/>
      <c r="F2046" s="199"/>
      <c r="G2046" s="199"/>
      <c r="H2046" s="199"/>
      <c r="I2046" s="199"/>
    </row>
    <row r="2047">
      <c r="A2047" s="199"/>
      <c r="B2047" s="200"/>
      <c r="C2047" s="201"/>
      <c r="D2047" s="200"/>
      <c r="E2047" s="202"/>
      <c r="F2047" s="199"/>
      <c r="G2047" s="199"/>
      <c r="H2047" s="199"/>
      <c r="I2047" s="199"/>
    </row>
    <row r="2048">
      <c r="A2048" s="199"/>
      <c r="B2048" s="200"/>
      <c r="C2048" s="201"/>
      <c r="D2048" s="200"/>
      <c r="E2048" s="202"/>
      <c r="F2048" s="199"/>
      <c r="G2048" s="199"/>
      <c r="H2048" s="199"/>
      <c r="I2048" s="199"/>
    </row>
    <row r="2049">
      <c r="A2049" s="199"/>
      <c r="B2049" s="200"/>
      <c r="C2049" s="201"/>
      <c r="D2049" s="200"/>
      <c r="E2049" s="202"/>
      <c r="F2049" s="199"/>
      <c r="G2049" s="199"/>
      <c r="H2049" s="199"/>
      <c r="I2049" s="199"/>
    </row>
    <row r="2050">
      <c r="A2050" s="199"/>
      <c r="B2050" s="200"/>
      <c r="C2050" s="201"/>
      <c r="D2050" s="200"/>
      <c r="E2050" s="202"/>
      <c r="F2050" s="199"/>
      <c r="G2050" s="199"/>
      <c r="H2050" s="199"/>
      <c r="I2050" s="199"/>
    </row>
    <row r="2051">
      <c r="A2051" s="199"/>
      <c r="B2051" s="200"/>
      <c r="C2051" s="201"/>
      <c r="D2051" s="200"/>
      <c r="E2051" s="202"/>
      <c r="F2051" s="199"/>
      <c r="G2051" s="199"/>
      <c r="H2051" s="199"/>
      <c r="I2051" s="199"/>
    </row>
    <row r="2052">
      <c r="A2052" s="199"/>
      <c r="B2052" s="200"/>
      <c r="C2052" s="201"/>
      <c r="D2052" s="200"/>
      <c r="E2052" s="202"/>
      <c r="F2052" s="199"/>
      <c r="G2052" s="199"/>
      <c r="H2052" s="199"/>
      <c r="I2052" s="199"/>
    </row>
    <row r="2053">
      <c r="A2053" s="199"/>
      <c r="B2053" s="200"/>
      <c r="C2053" s="201"/>
      <c r="D2053" s="200"/>
      <c r="E2053" s="202"/>
      <c r="F2053" s="199"/>
      <c r="G2053" s="199"/>
      <c r="H2053" s="199"/>
      <c r="I2053" s="199"/>
    </row>
    <row r="2054">
      <c r="A2054" s="199"/>
      <c r="B2054" s="200"/>
      <c r="C2054" s="201"/>
      <c r="D2054" s="200"/>
      <c r="E2054" s="202"/>
      <c r="F2054" s="199"/>
      <c r="G2054" s="199"/>
      <c r="H2054" s="199"/>
      <c r="I2054" s="199"/>
    </row>
    <row r="2055">
      <c r="A2055" s="199"/>
      <c r="B2055" s="200"/>
      <c r="C2055" s="201"/>
      <c r="D2055" s="200"/>
      <c r="E2055" s="202"/>
      <c r="F2055" s="199"/>
      <c r="G2055" s="199"/>
      <c r="H2055" s="199"/>
      <c r="I2055" s="199"/>
    </row>
    <row r="2056">
      <c r="A2056" s="199"/>
      <c r="B2056" s="200"/>
      <c r="C2056" s="201"/>
      <c r="D2056" s="200"/>
      <c r="E2056" s="202"/>
      <c r="F2056" s="199"/>
      <c r="G2056" s="199"/>
      <c r="H2056" s="199"/>
      <c r="I2056" s="199"/>
    </row>
    <row r="2057">
      <c r="A2057" s="199"/>
      <c r="B2057" s="200"/>
      <c r="C2057" s="201"/>
      <c r="D2057" s="200"/>
      <c r="E2057" s="202"/>
      <c r="F2057" s="199"/>
      <c r="G2057" s="199"/>
      <c r="H2057" s="199"/>
      <c r="I2057" s="199"/>
    </row>
    <row r="2058">
      <c r="A2058" s="199"/>
      <c r="B2058" s="200"/>
      <c r="C2058" s="201"/>
      <c r="D2058" s="200"/>
      <c r="E2058" s="202"/>
      <c r="F2058" s="199"/>
      <c r="G2058" s="199"/>
      <c r="H2058" s="199"/>
      <c r="I2058" s="199"/>
    </row>
    <row r="2059">
      <c r="A2059" s="199"/>
      <c r="B2059" s="200"/>
      <c r="C2059" s="201"/>
      <c r="D2059" s="200"/>
      <c r="E2059" s="202"/>
      <c r="F2059" s="199"/>
      <c r="G2059" s="199"/>
      <c r="H2059" s="199"/>
      <c r="I2059" s="199"/>
    </row>
    <row r="2060">
      <c r="A2060" s="199"/>
      <c r="B2060" s="200"/>
      <c r="C2060" s="201"/>
      <c r="D2060" s="200"/>
      <c r="E2060" s="202"/>
      <c r="F2060" s="199"/>
      <c r="G2060" s="199"/>
      <c r="H2060" s="199"/>
      <c r="I2060" s="199"/>
    </row>
    <row r="2061">
      <c r="A2061" s="199"/>
      <c r="B2061" s="200"/>
      <c r="C2061" s="201"/>
      <c r="D2061" s="200"/>
      <c r="E2061" s="202"/>
      <c r="F2061" s="199"/>
      <c r="G2061" s="199"/>
      <c r="H2061" s="199"/>
      <c r="I2061" s="199"/>
    </row>
    <row r="2062">
      <c r="A2062" s="199"/>
      <c r="B2062" s="200"/>
      <c r="C2062" s="201"/>
      <c r="D2062" s="200"/>
      <c r="E2062" s="202"/>
      <c r="F2062" s="199"/>
      <c r="G2062" s="199"/>
      <c r="H2062" s="199"/>
      <c r="I2062" s="199"/>
    </row>
    <row r="2063">
      <c r="A2063" s="199"/>
      <c r="B2063" s="200"/>
      <c r="C2063" s="201"/>
      <c r="D2063" s="200"/>
      <c r="E2063" s="202"/>
      <c r="F2063" s="199"/>
      <c r="G2063" s="199"/>
      <c r="H2063" s="199"/>
      <c r="I2063" s="199"/>
    </row>
    <row r="2064">
      <c r="A2064" s="199"/>
      <c r="B2064" s="200"/>
      <c r="C2064" s="201"/>
      <c r="D2064" s="200"/>
      <c r="E2064" s="202"/>
      <c r="F2064" s="199"/>
      <c r="G2064" s="199"/>
      <c r="H2064" s="199"/>
      <c r="I2064" s="199"/>
    </row>
    <row r="2065">
      <c r="A2065" s="199"/>
      <c r="B2065" s="200"/>
      <c r="C2065" s="201"/>
      <c r="D2065" s="200"/>
      <c r="E2065" s="202"/>
      <c r="F2065" s="199"/>
      <c r="G2065" s="199"/>
      <c r="H2065" s="199"/>
      <c r="I2065" s="199"/>
    </row>
    <row r="2066">
      <c r="A2066" s="199"/>
      <c r="B2066" s="200"/>
      <c r="C2066" s="201"/>
      <c r="D2066" s="200"/>
      <c r="E2066" s="202"/>
      <c r="F2066" s="199"/>
      <c r="G2066" s="199"/>
      <c r="H2066" s="199"/>
      <c r="I2066" s="199"/>
    </row>
    <row r="2067">
      <c r="A2067" s="199"/>
      <c r="B2067" s="200"/>
      <c r="C2067" s="201"/>
      <c r="D2067" s="200"/>
      <c r="E2067" s="202"/>
      <c r="F2067" s="199"/>
      <c r="G2067" s="199"/>
      <c r="H2067" s="199"/>
      <c r="I2067" s="199"/>
    </row>
    <row r="2068">
      <c r="A2068" s="199"/>
      <c r="B2068" s="200"/>
      <c r="C2068" s="201"/>
      <c r="D2068" s="200"/>
      <c r="E2068" s="202"/>
      <c r="F2068" s="199"/>
      <c r="G2068" s="199"/>
      <c r="H2068" s="199"/>
      <c r="I2068" s="199"/>
    </row>
    <row r="2069">
      <c r="A2069" s="199"/>
      <c r="B2069" s="200"/>
      <c r="C2069" s="201"/>
      <c r="D2069" s="200"/>
      <c r="E2069" s="202"/>
      <c r="F2069" s="199"/>
      <c r="G2069" s="199"/>
      <c r="H2069" s="199"/>
      <c r="I2069" s="199"/>
    </row>
    <row r="2070">
      <c r="A2070" s="199"/>
      <c r="B2070" s="200"/>
      <c r="C2070" s="201"/>
      <c r="D2070" s="200"/>
      <c r="E2070" s="202"/>
      <c r="F2070" s="199"/>
      <c r="G2070" s="199"/>
      <c r="H2070" s="199"/>
      <c r="I2070" s="199"/>
    </row>
    <row r="2071">
      <c r="A2071" s="199"/>
      <c r="B2071" s="200"/>
      <c r="C2071" s="201"/>
      <c r="D2071" s="200"/>
      <c r="E2071" s="202"/>
      <c r="F2071" s="199"/>
      <c r="G2071" s="199"/>
      <c r="H2071" s="199"/>
      <c r="I2071" s="199"/>
    </row>
    <row r="2072">
      <c r="A2072" s="199"/>
      <c r="B2072" s="200"/>
      <c r="C2072" s="201"/>
      <c r="D2072" s="200"/>
      <c r="E2072" s="202"/>
      <c r="F2072" s="199"/>
      <c r="G2072" s="199"/>
      <c r="H2072" s="199"/>
      <c r="I2072" s="199"/>
    </row>
    <row r="2073">
      <c r="A2073" s="199"/>
      <c r="B2073" s="200"/>
      <c r="C2073" s="201"/>
      <c r="D2073" s="200"/>
      <c r="E2073" s="202"/>
      <c r="F2073" s="199"/>
      <c r="G2073" s="199"/>
      <c r="H2073" s="199"/>
      <c r="I2073" s="199"/>
    </row>
    <row r="2074">
      <c r="A2074" s="199"/>
      <c r="B2074" s="200"/>
      <c r="C2074" s="201"/>
      <c r="D2074" s="200"/>
      <c r="E2074" s="202"/>
      <c r="F2074" s="199"/>
      <c r="G2074" s="199"/>
      <c r="H2074" s="199"/>
      <c r="I2074" s="199"/>
    </row>
    <row r="2075">
      <c r="A2075" s="199"/>
      <c r="B2075" s="200"/>
      <c r="C2075" s="201"/>
      <c r="D2075" s="200"/>
      <c r="E2075" s="202"/>
      <c r="F2075" s="199"/>
      <c r="G2075" s="199"/>
      <c r="H2075" s="199"/>
      <c r="I2075" s="199"/>
    </row>
    <row r="2076">
      <c r="A2076" s="199"/>
      <c r="B2076" s="200"/>
      <c r="C2076" s="201"/>
      <c r="D2076" s="200"/>
      <c r="E2076" s="202"/>
      <c r="F2076" s="199"/>
      <c r="G2076" s="199"/>
      <c r="H2076" s="199"/>
      <c r="I2076" s="199"/>
    </row>
    <row r="2077">
      <c r="A2077" s="199"/>
      <c r="B2077" s="200"/>
      <c r="C2077" s="201"/>
      <c r="D2077" s="200"/>
      <c r="E2077" s="202"/>
      <c r="F2077" s="199"/>
      <c r="G2077" s="199"/>
      <c r="H2077" s="199"/>
      <c r="I2077" s="199"/>
    </row>
    <row r="2078">
      <c r="A2078" s="199"/>
      <c r="B2078" s="200"/>
      <c r="C2078" s="201"/>
      <c r="D2078" s="200"/>
      <c r="E2078" s="202"/>
      <c r="F2078" s="199"/>
      <c r="G2078" s="199"/>
      <c r="H2078" s="199"/>
      <c r="I2078" s="199"/>
    </row>
    <row r="2079">
      <c r="A2079" s="199"/>
      <c r="B2079" s="200"/>
      <c r="C2079" s="201"/>
      <c r="D2079" s="200"/>
      <c r="E2079" s="202"/>
      <c r="F2079" s="199"/>
      <c r="G2079" s="199"/>
      <c r="H2079" s="199"/>
      <c r="I2079" s="199"/>
    </row>
    <row r="2080">
      <c r="A2080" s="199"/>
      <c r="B2080" s="200"/>
      <c r="C2080" s="201"/>
      <c r="D2080" s="200"/>
      <c r="E2080" s="202"/>
      <c r="F2080" s="199"/>
      <c r="G2080" s="199"/>
      <c r="H2080" s="199"/>
      <c r="I2080" s="199"/>
    </row>
    <row r="2081">
      <c r="A2081" s="199"/>
      <c r="B2081" s="200"/>
      <c r="C2081" s="201"/>
      <c r="D2081" s="200"/>
      <c r="E2081" s="202"/>
      <c r="F2081" s="199"/>
      <c r="G2081" s="199"/>
      <c r="H2081" s="199"/>
      <c r="I2081" s="199"/>
    </row>
    <row r="2082">
      <c r="A2082" s="199"/>
      <c r="B2082" s="200"/>
      <c r="C2082" s="201"/>
      <c r="D2082" s="200"/>
      <c r="E2082" s="202"/>
      <c r="F2082" s="199"/>
      <c r="G2082" s="199"/>
      <c r="H2082" s="199"/>
      <c r="I2082" s="199"/>
    </row>
    <row r="2083">
      <c r="A2083" s="199"/>
      <c r="B2083" s="200"/>
      <c r="C2083" s="201"/>
      <c r="D2083" s="200"/>
      <c r="E2083" s="202"/>
      <c r="F2083" s="199"/>
      <c r="G2083" s="199"/>
      <c r="H2083" s="199"/>
      <c r="I2083" s="199"/>
    </row>
    <row r="2084">
      <c r="A2084" s="199"/>
      <c r="B2084" s="200"/>
      <c r="C2084" s="201"/>
      <c r="D2084" s="200"/>
      <c r="E2084" s="202"/>
      <c r="F2084" s="199"/>
      <c r="G2084" s="199"/>
      <c r="H2084" s="199"/>
      <c r="I2084" s="199"/>
    </row>
    <row r="2085">
      <c r="A2085" s="199"/>
      <c r="B2085" s="200"/>
      <c r="C2085" s="201"/>
      <c r="D2085" s="200"/>
      <c r="E2085" s="202"/>
      <c r="F2085" s="199"/>
      <c r="G2085" s="199"/>
      <c r="H2085" s="199"/>
      <c r="I2085" s="199"/>
    </row>
    <row r="2086">
      <c r="A2086" s="199"/>
      <c r="B2086" s="200"/>
      <c r="C2086" s="201"/>
      <c r="D2086" s="200"/>
      <c r="E2086" s="202"/>
      <c r="F2086" s="199"/>
      <c r="G2086" s="199"/>
      <c r="H2086" s="199"/>
      <c r="I2086" s="199"/>
    </row>
    <row r="2087">
      <c r="A2087" s="199"/>
      <c r="B2087" s="200"/>
      <c r="C2087" s="201"/>
      <c r="D2087" s="200"/>
      <c r="E2087" s="202"/>
      <c r="F2087" s="199"/>
      <c r="G2087" s="199"/>
      <c r="H2087" s="199"/>
      <c r="I2087" s="199"/>
    </row>
    <row r="2088">
      <c r="A2088" s="199"/>
      <c r="B2088" s="200"/>
      <c r="C2088" s="201"/>
      <c r="D2088" s="200"/>
      <c r="E2088" s="202"/>
      <c r="F2088" s="199"/>
      <c r="G2088" s="199"/>
      <c r="H2088" s="199"/>
      <c r="I2088" s="199"/>
    </row>
    <row r="2089">
      <c r="A2089" s="199"/>
      <c r="B2089" s="200"/>
      <c r="C2089" s="201"/>
      <c r="D2089" s="200"/>
      <c r="E2089" s="202"/>
      <c r="F2089" s="199"/>
      <c r="G2089" s="199"/>
      <c r="H2089" s="199"/>
      <c r="I2089" s="199"/>
    </row>
    <row r="2090">
      <c r="A2090" s="199"/>
      <c r="B2090" s="200"/>
      <c r="C2090" s="201"/>
      <c r="D2090" s="200"/>
      <c r="E2090" s="202"/>
      <c r="F2090" s="199"/>
      <c r="G2090" s="199"/>
      <c r="H2090" s="199"/>
      <c r="I2090" s="199"/>
    </row>
    <row r="2091">
      <c r="A2091" s="199"/>
      <c r="B2091" s="200"/>
      <c r="C2091" s="201"/>
      <c r="D2091" s="200"/>
      <c r="E2091" s="202"/>
      <c r="F2091" s="199"/>
      <c r="G2091" s="199"/>
      <c r="H2091" s="199"/>
      <c r="I2091" s="199"/>
    </row>
    <row r="2092">
      <c r="A2092" s="199"/>
      <c r="B2092" s="200"/>
      <c r="C2092" s="201"/>
      <c r="D2092" s="200"/>
      <c r="E2092" s="202"/>
      <c r="F2092" s="199"/>
      <c r="G2092" s="199"/>
      <c r="H2092" s="199"/>
      <c r="I2092" s="199"/>
    </row>
    <row r="2093">
      <c r="A2093" s="199"/>
      <c r="B2093" s="200"/>
      <c r="C2093" s="201"/>
      <c r="D2093" s="200"/>
      <c r="E2093" s="202"/>
      <c r="F2093" s="199"/>
      <c r="G2093" s="199"/>
      <c r="H2093" s="199"/>
      <c r="I2093" s="199"/>
    </row>
    <row r="2094">
      <c r="A2094" s="199"/>
      <c r="B2094" s="200"/>
      <c r="C2094" s="201"/>
      <c r="D2094" s="200"/>
      <c r="E2094" s="202"/>
      <c r="F2094" s="199"/>
      <c r="G2094" s="199"/>
      <c r="H2094" s="199"/>
      <c r="I2094" s="199"/>
    </row>
    <row r="2095">
      <c r="A2095" s="199"/>
      <c r="B2095" s="200"/>
      <c r="C2095" s="201"/>
      <c r="D2095" s="200"/>
      <c r="E2095" s="202"/>
      <c r="F2095" s="199"/>
      <c r="G2095" s="199"/>
      <c r="H2095" s="199"/>
      <c r="I2095" s="199"/>
    </row>
    <row r="2096">
      <c r="A2096" s="199"/>
      <c r="B2096" s="200"/>
      <c r="C2096" s="201"/>
      <c r="D2096" s="200"/>
      <c r="E2096" s="202"/>
      <c r="F2096" s="199"/>
      <c r="G2096" s="199"/>
      <c r="H2096" s="199"/>
      <c r="I2096" s="199"/>
    </row>
    <row r="2097">
      <c r="A2097" s="199"/>
      <c r="B2097" s="200"/>
      <c r="C2097" s="201"/>
      <c r="D2097" s="200"/>
      <c r="E2097" s="202"/>
      <c r="F2097" s="199"/>
      <c r="G2097" s="199"/>
      <c r="H2097" s="199"/>
      <c r="I2097" s="199"/>
    </row>
    <row r="2098">
      <c r="A2098" s="199"/>
      <c r="B2098" s="200"/>
      <c r="C2098" s="201"/>
      <c r="D2098" s="200"/>
      <c r="E2098" s="202"/>
      <c r="F2098" s="199"/>
      <c r="G2098" s="199"/>
      <c r="H2098" s="199"/>
      <c r="I2098" s="199"/>
    </row>
    <row r="2099">
      <c r="A2099" s="199"/>
      <c r="B2099" s="200"/>
      <c r="C2099" s="201"/>
      <c r="D2099" s="200"/>
      <c r="E2099" s="202"/>
      <c r="F2099" s="199"/>
      <c r="G2099" s="199"/>
      <c r="H2099" s="199"/>
      <c r="I2099" s="199"/>
    </row>
    <row r="2100">
      <c r="A2100" s="199"/>
      <c r="B2100" s="200"/>
      <c r="C2100" s="201"/>
      <c r="D2100" s="200"/>
      <c r="E2100" s="202"/>
      <c r="F2100" s="199"/>
      <c r="G2100" s="199"/>
      <c r="H2100" s="199"/>
      <c r="I2100" s="199"/>
    </row>
    <row r="2101">
      <c r="A2101" s="199"/>
      <c r="B2101" s="200"/>
      <c r="C2101" s="201"/>
      <c r="D2101" s="200"/>
      <c r="E2101" s="202"/>
      <c r="F2101" s="199"/>
      <c r="G2101" s="199"/>
      <c r="H2101" s="199"/>
      <c r="I2101" s="199"/>
    </row>
    <row r="2102">
      <c r="A2102" s="199"/>
      <c r="B2102" s="200"/>
      <c r="C2102" s="201"/>
      <c r="D2102" s="200"/>
      <c r="E2102" s="202"/>
      <c r="F2102" s="199"/>
      <c r="G2102" s="199"/>
      <c r="H2102" s="199"/>
      <c r="I2102" s="199"/>
    </row>
    <row r="2103">
      <c r="A2103" s="199"/>
      <c r="B2103" s="200"/>
      <c r="C2103" s="201"/>
      <c r="D2103" s="200"/>
      <c r="E2103" s="202"/>
      <c r="F2103" s="199"/>
      <c r="G2103" s="199"/>
      <c r="H2103" s="199"/>
      <c r="I2103" s="199"/>
    </row>
    <row r="2104">
      <c r="A2104" s="199"/>
      <c r="B2104" s="200"/>
      <c r="C2104" s="201"/>
      <c r="D2104" s="200"/>
      <c r="E2104" s="202"/>
      <c r="F2104" s="199"/>
      <c r="G2104" s="199"/>
      <c r="H2104" s="199"/>
      <c r="I2104" s="199"/>
    </row>
    <row r="2105">
      <c r="A2105" s="199"/>
      <c r="B2105" s="200"/>
      <c r="C2105" s="201"/>
      <c r="D2105" s="200"/>
      <c r="E2105" s="202"/>
      <c r="F2105" s="199"/>
      <c r="G2105" s="199"/>
      <c r="H2105" s="199"/>
      <c r="I2105" s="199"/>
    </row>
    <row r="2106">
      <c r="A2106" s="199"/>
      <c r="B2106" s="200"/>
      <c r="C2106" s="201"/>
      <c r="D2106" s="200"/>
      <c r="E2106" s="202"/>
      <c r="F2106" s="199"/>
      <c r="G2106" s="199"/>
      <c r="H2106" s="199"/>
      <c r="I2106" s="199"/>
    </row>
    <row r="2107">
      <c r="A2107" s="199"/>
      <c r="B2107" s="200"/>
      <c r="C2107" s="201"/>
      <c r="D2107" s="200"/>
      <c r="E2107" s="202"/>
      <c r="F2107" s="199"/>
      <c r="G2107" s="199"/>
      <c r="H2107" s="199"/>
      <c r="I2107" s="199"/>
    </row>
    <row r="2108">
      <c r="A2108" s="199"/>
      <c r="B2108" s="200"/>
      <c r="C2108" s="201"/>
      <c r="D2108" s="200"/>
      <c r="E2108" s="202"/>
      <c r="F2108" s="199"/>
      <c r="G2108" s="199"/>
      <c r="H2108" s="199"/>
      <c r="I2108" s="199"/>
    </row>
    <row r="2109">
      <c r="A2109" s="199"/>
      <c r="B2109" s="200"/>
      <c r="C2109" s="201"/>
      <c r="D2109" s="200"/>
      <c r="E2109" s="202"/>
      <c r="F2109" s="199"/>
      <c r="G2109" s="199"/>
      <c r="H2109" s="199"/>
      <c r="I2109" s="199"/>
    </row>
    <row r="2110">
      <c r="A2110" s="199"/>
      <c r="B2110" s="200"/>
      <c r="C2110" s="201"/>
      <c r="D2110" s="200"/>
      <c r="E2110" s="202"/>
      <c r="F2110" s="199"/>
      <c r="G2110" s="199"/>
      <c r="H2110" s="199"/>
      <c r="I2110" s="199"/>
    </row>
    <row r="2111">
      <c r="A2111" s="199"/>
      <c r="B2111" s="200"/>
      <c r="C2111" s="201"/>
      <c r="D2111" s="200"/>
      <c r="E2111" s="202"/>
      <c r="F2111" s="199"/>
      <c r="G2111" s="199"/>
      <c r="H2111" s="199"/>
      <c r="I2111" s="199"/>
    </row>
    <row r="2112">
      <c r="A2112" s="199"/>
      <c r="B2112" s="200"/>
      <c r="C2112" s="201"/>
      <c r="D2112" s="200"/>
      <c r="E2112" s="202"/>
      <c r="F2112" s="199"/>
      <c r="G2112" s="199"/>
      <c r="H2112" s="199"/>
      <c r="I2112" s="199"/>
    </row>
    <row r="2113">
      <c r="A2113" s="199"/>
      <c r="B2113" s="200"/>
      <c r="C2113" s="201"/>
      <c r="D2113" s="200"/>
      <c r="E2113" s="202"/>
      <c r="F2113" s="199"/>
      <c r="G2113" s="199"/>
      <c r="H2113" s="199"/>
      <c r="I2113" s="199"/>
    </row>
    <row r="2114">
      <c r="A2114" s="199"/>
      <c r="B2114" s="200"/>
      <c r="C2114" s="201"/>
      <c r="D2114" s="200"/>
      <c r="E2114" s="202"/>
      <c r="F2114" s="199"/>
      <c r="G2114" s="199"/>
      <c r="H2114" s="199"/>
      <c r="I2114" s="199"/>
    </row>
    <row r="2115">
      <c r="A2115" s="199"/>
      <c r="B2115" s="200"/>
      <c r="C2115" s="201"/>
      <c r="D2115" s="200"/>
      <c r="E2115" s="202"/>
      <c r="F2115" s="199"/>
      <c r="G2115" s="199"/>
      <c r="H2115" s="199"/>
      <c r="I2115" s="199"/>
    </row>
    <row r="2116">
      <c r="A2116" s="199"/>
      <c r="B2116" s="200"/>
      <c r="C2116" s="201"/>
      <c r="D2116" s="200"/>
      <c r="E2116" s="202"/>
      <c r="F2116" s="199"/>
      <c r="G2116" s="199"/>
      <c r="H2116" s="199"/>
      <c r="I2116" s="199"/>
    </row>
    <row r="2117">
      <c r="A2117" s="199"/>
      <c r="B2117" s="200"/>
      <c r="C2117" s="201"/>
      <c r="D2117" s="200"/>
      <c r="E2117" s="202"/>
      <c r="F2117" s="199"/>
      <c r="G2117" s="199"/>
      <c r="H2117" s="199"/>
      <c r="I2117" s="199"/>
    </row>
    <row r="2118">
      <c r="A2118" s="199"/>
      <c r="B2118" s="200"/>
      <c r="C2118" s="201"/>
      <c r="D2118" s="200"/>
      <c r="E2118" s="202"/>
      <c r="F2118" s="199"/>
      <c r="G2118" s="199"/>
      <c r="H2118" s="199"/>
      <c r="I2118" s="199"/>
    </row>
    <row r="2119">
      <c r="A2119" s="199"/>
      <c r="B2119" s="200"/>
      <c r="C2119" s="201"/>
      <c r="D2119" s="200"/>
      <c r="E2119" s="202"/>
      <c r="F2119" s="199"/>
      <c r="G2119" s="199"/>
      <c r="H2119" s="199"/>
      <c r="I2119" s="199"/>
    </row>
    <row r="2120">
      <c r="A2120" s="199"/>
      <c r="B2120" s="200"/>
      <c r="C2120" s="201"/>
      <c r="D2120" s="200"/>
      <c r="E2120" s="202"/>
      <c r="F2120" s="199"/>
      <c r="G2120" s="199"/>
      <c r="H2120" s="199"/>
      <c r="I2120" s="199"/>
    </row>
    <row r="2121">
      <c r="A2121" s="199"/>
      <c r="B2121" s="200"/>
      <c r="C2121" s="201"/>
      <c r="D2121" s="200"/>
      <c r="E2121" s="202"/>
      <c r="F2121" s="199"/>
      <c r="G2121" s="199"/>
      <c r="H2121" s="199"/>
      <c r="I2121" s="199"/>
    </row>
    <row r="2122">
      <c r="A2122" s="199"/>
      <c r="B2122" s="200"/>
      <c r="C2122" s="201"/>
      <c r="D2122" s="200"/>
      <c r="E2122" s="202"/>
      <c r="F2122" s="199"/>
      <c r="G2122" s="199"/>
      <c r="H2122" s="199"/>
      <c r="I2122" s="199"/>
    </row>
    <row r="2123">
      <c r="A2123" s="199"/>
      <c r="B2123" s="200"/>
      <c r="C2123" s="201"/>
      <c r="D2123" s="200"/>
      <c r="E2123" s="202"/>
      <c r="F2123" s="199"/>
      <c r="G2123" s="199"/>
      <c r="H2123" s="199"/>
      <c r="I2123" s="199"/>
    </row>
    <row r="2124">
      <c r="A2124" s="199"/>
      <c r="B2124" s="200"/>
      <c r="C2124" s="201"/>
      <c r="D2124" s="200"/>
      <c r="E2124" s="202"/>
      <c r="F2124" s="199"/>
      <c r="G2124" s="199"/>
      <c r="H2124" s="199"/>
      <c r="I2124" s="199"/>
    </row>
    <row r="2125">
      <c r="A2125" s="199"/>
      <c r="B2125" s="200"/>
      <c r="C2125" s="201"/>
      <c r="D2125" s="200"/>
      <c r="E2125" s="202"/>
      <c r="F2125" s="199"/>
      <c r="G2125" s="199"/>
      <c r="H2125" s="199"/>
      <c r="I2125" s="199"/>
    </row>
    <row r="2126">
      <c r="A2126" s="199"/>
      <c r="B2126" s="200"/>
      <c r="C2126" s="201"/>
      <c r="D2126" s="200"/>
      <c r="E2126" s="202"/>
      <c r="F2126" s="199"/>
      <c r="G2126" s="199"/>
      <c r="H2126" s="199"/>
      <c r="I2126" s="199"/>
    </row>
    <row r="2127">
      <c r="A2127" s="199"/>
      <c r="B2127" s="200"/>
      <c r="C2127" s="201"/>
      <c r="D2127" s="200"/>
      <c r="E2127" s="202"/>
      <c r="F2127" s="199"/>
      <c r="G2127" s="199"/>
      <c r="H2127" s="199"/>
      <c r="I2127" s="199"/>
    </row>
    <row r="2128">
      <c r="A2128" s="199"/>
      <c r="B2128" s="200"/>
      <c r="C2128" s="201"/>
      <c r="D2128" s="200"/>
      <c r="E2128" s="202"/>
      <c r="F2128" s="199"/>
      <c r="G2128" s="199"/>
      <c r="H2128" s="199"/>
      <c r="I2128" s="199"/>
    </row>
    <row r="2129">
      <c r="A2129" s="199"/>
      <c r="B2129" s="200"/>
      <c r="C2129" s="201"/>
      <c r="D2129" s="200"/>
      <c r="E2129" s="202"/>
      <c r="F2129" s="199"/>
      <c r="G2129" s="199"/>
      <c r="H2129" s="199"/>
      <c r="I2129" s="199"/>
    </row>
    <row r="2130">
      <c r="A2130" s="199"/>
      <c r="B2130" s="200"/>
      <c r="C2130" s="201"/>
      <c r="D2130" s="200"/>
      <c r="E2130" s="202"/>
      <c r="F2130" s="199"/>
      <c r="G2130" s="199"/>
      <c r="H2130" s="199"/>
      <c r="I2130" s="199"/>
    </row>
    <row r="2131">
      <c r="A2131" s="199"/>
      <c r="B2131" s="200"/>
      <c r="C2131" s="201"/>
      <c r="D2131" s="200"/>
      <c r="E2131" s="202"/>
      <c r="F2131" s="199"/>
      <c r="G2131" s="199"/>
      <c r="H2131" s="199"/>
      <c r="I2131" s="199"/>
    </row>
    <row r="2132">
      <c r="A2132" s="199"/>
      <c r="B2132" s="200"/>
      <c r="C2132" s="201"/>
      <c r="D2132" s="200"/>
      <c r="E2132" s="202"/>
      <c r="F2132" s="199"/>
      <c r="G2132" s="199"/>
      <c r="H2132" s="199"/>
      <c r="I2132" s="199"/>
    </row>
    <row r="2133">
      <c r="A2133" s="199"/>
      <c r="B2133" s="200"/>
      <c r="C2133" s="201"/>
      <c r="D2133" s="200"/>
      <c r="E2133" s="202"/>
      <c r="F2133" s="199"/>
      <c r="G2133" s="199"/>
      <c r="H2133" s="199"/>
      <c r="I2133" s="199"/>
    </row>
    <row r="2134">
      <c r="A2134" s="199"/>
      <c r="B2134" s="200"/>
      <c r="C2134" s="201"/>
      <c r="D2134" s="200"/>
      <c r="E2134" s="202"/>
      <c r="F2134" s="199"/>
      <c r="G2134" s="199"/>
      <c r="H2134" s="199"/>
      <c r="I2134" s="199"/>
    </row>
    <row r="2135">
      <c r="A2135" s="199"/>
      <c r="B2135" s="200"/>
      <c r="C2135" s="201"/>
      <c r="D2135" s="200"/>
      <c r="E2135" s="202"/>
      <c r="F2135" s="199"/>
      <c r="G2135" s="199"/>
      <c r="H2135" s="199"/>
      <c r="I2135" s="199"/>
    </row>
    <row r="2136">
      <c r="A2136" s="199"/>
      <c r="B2136" s="200"/>
      <c r="C2136" s="201"/>
      <c r="D2136" s="200"/>
      <c r="E2136" s="202"/>
      <c r="F2136" s="199"/>
      <c r="G2136" s="199"/>
      <c r="H2136" s="199"/>
      <c r="I2136" s="199"/>
    </row>
    <row r="2137">
      <c r="A2137" s="199"/>
      <c r="B2137" s="200"/>
      <c r="C2137" s="201"/>
      <c r="D2137" s="200"/>
      <c r="E2137" s="202"/>
      <c r="F2137" s="199"/>
      <c r="G2137" s="199"/>
      <c r="H2137" s="199"/>
      <c r="I2137" s="199"/>
    </row>
    <row r="2138">
      <c r="A2138" s="199"/>
      <c r="B2138" s="200"/>
      <c r="C2138" s="201"/>
      <c r="D2138" s="200"/>
      <c r="E2138" s="202"/>
      <c r="F2138" s="199"/>
      <c r="G2138" s="199"/>
      <c r="H2138" s="199"/>
      <c r="I2138" s="199"/>
    </row>
    <row r="2139">
      <c r="A2139" s="199"/>
      <c r="B2139" s="200"/>
      <c r="C2139" s="201"/>
      <c r="D2139" s="200"/>
      <c r="E2139" s="202"/>
      <c r="F2139" s="199"/>
      <c r="G2139" s="199"/>
      <c r="H2139" s="199"/>
      <c r="I2139" s="199"/>
    </row>
    <row r="2140">
      <c r="A2140" s="199"/>
      <c r="B2140" s="200"/>
      <c r="C2140" s="201"/>
      <c r="D2140" s="200"/>
      <c r="E2140" s="202"/>
      <c r="F2140" s="199"/>
      <c r="G2140" s="199"/>
      <c r="H2140" s="199"/>
      <c r="I2140" s="199"/>
    </row>
    <row r="2141">
      <c r="A2141" s="199"/>
      <c r="B2141" s="200"/>
      <c r="C2141" s="201"/>
      <c r="D2141" s="200"/>
      <c r="E2141" s="202"/>
      <c r="F2141" s="199"/>
      <c r="G2141" s="199"/>
      <c r="H2141" s="199"/>
      <c r="I2141" s="199"/>
    </row>
    <row r="2142">
      <c r="A2142" s="199"/>
      <c r="B2142" s="200"/>
      <c r="C2142" s="201"/>
      <c r="D2142" s="200"/>
      <c r="E2142" s="202"/>
      <c r="F2142" s="199"/>
      <c r="G2142" s="199"/>
      <c r="H2142" s="199"/>
      <c r="I2142" s="199"/>
    </row>
    <row r="2143">
      <c r="A2143" s="199"/>
      <c r="B2143" s="200"/>
      <c r="C2143" s="201"/>
      <c r="D2143" s="200"/>
      <c r="E2143" s="202"/>
      <c r="F2143" s="199"/>
      <c r="G2143" s="199"/>
      <c r="H2143" s="199"/>
      <c r="I2143" s="199"/>
    </row>
    <row r="2144">
      <c r="A2144" s="199"/>
      <c r="B2144" s="200"/>
      <c r="C2144" s="201"/>
      <c r="D2144" s="200"/>
      <c r="E2144" s="202"/>
      <c r="F2144" s="199"/>
      <c r="G2144" s="199"/>
      <c r="H2144" s="199"/>
      <c r="I2144" s="199"/>
    </row>
    <row r="2145">
      <c r="A2145" s="199"/>
      <c r="B2145" s="200"/>
      <c r="C2145" s="201"/>
      <c r="D2145" s="200"/>
      <c r="E2145" s="202"/>
      <c r="F2145" s="199"/>
      <c r="G2145" s="199"/>
      <c r="H2145" s="199"/>
      <c r="I2145" s="199"/>
    </row>
    <row r="2146">
      <c r="A2146" s="199"/>
      <c r="B2146" s="200"/>
      <c r="C2146" s="201"/>
      <c r="D2146" s="200"/>
      <c r="E2146" s="202"/>
      <c r="F2146" s="199"/>
      <c r="G2146" s="199"/>
      <c r="H2146" s="199"/>
      <c r="I2146" s="199"/>
    </row>
    <row r="2147">
      <c r="A2147" s="199"/>
      <c r="B2147" s="200"/>
      <c r="C2147" s="201"/>
      <c r="D2147" s="200"/>
      <c r="E2147" s="202"/>
      <c r="F2147" s="199"/>
      <c r="G2147" s="199"/>
      <c r="H2147" s="199"/>
      <c r="I2147" s="199"/>
    </row>
    <row r="2148">
      <c r="A2148" s="199"/>
      <c r="B2148" s="200"/>
      <c r="C2148" s="201"/>
      <c r="D2148" s="200"/>
      <c r="E2148" s="202"/>
      <c r="F2148" s="199"/>
      <c r="G2148" s="199"/>
      <c r="H2148" s="199"/>
      <c r="I2148" s="199"/>
    </row>
    <row r="2149">
      <c r="A2149" s="199"/>
      <c r="B2149" s="200"/>
      <c r="C2149" s="201"/>
      <c r="D2149" s="200"/>
      <c r="E2149" s="202"/>
      <c r="F2149" s="199"/>
      <c r="G2149" s="199"/>
      <c r="H2149" s="199"/>
      <c r="I2149" s="199"/>
    </row>
    <row r="2150">
      <c r="A2150" s="199"/>
      <c r="B2150" s="200"/>
      <c r="C2150" s="201"/>
      <c r="D2150" s="200"/>
      <c r="E2150" s="202"/>
      <c r="F2150" s="199"/>
      <c r="G2150" s="199"/>
      <c r="H2150" s="199"/>
      <c r="I2150" s="199"/>
    </row>
    <row r="2151">
      <c r="A2151" s="199"/>
      <c r="B2151" s="200"/>
      <c r="C2151" s="201"/>
      <c r="D2151" s="200"/>
      <c r="E2151" s="202"/>
      <c r="F2151" s="199"/>
      <c r="G2151" s="199"/>
      <c r="H2151" s="199"/>
      <c r="I2151" s="199"/>
    </row>
    <row r="2152">
      <c r="A2152" s="199"/>
      <c r="B2152" s="200"/>
      <c r="C2152" s="201"/>
      <c r="D2152" s="200"/>
      <c r="E2152" s="202"/>
      <c r="F2152" s="199"/>
      <c r="G2152" s="199"/>
      <c r="H2152" s="199"/>
      <c r="I2152" s="199"/>
    </row>
    <row r="2153">
      <c r="A2153" s="199"/>
      <c r="B2153" s="200"/>
      <c r="C2153" s="201"/>
      <c r="D2153" s="200"/>
      <c r="E2153" s="202"/>
      <c r="F2153" s="199"/>
      <c r="G2153" s="199"/>
      <c r="H2153" s="199"/>
      <c r="I2153" s="199"/>
    </row>
    <row r="2154">
      <c r="A2154" s="199"/>
      <c r="B2154" s="200"/>
      <c r="C2154" s="201"/>
      <c r="D2154" s="200"/>
      <c r="E2154" s="202"/>
      <c r="F2154" s="199"/>
      <c r="G2154" s="199"/>
      <c r="H2154" s="199"/>
      <c r="I2154" s="199"/>
    </row>
    <row r="2155">
      <c r="A2155" s="199"/>
      <c r="B2155" s="200"/>
      <c r="C2155" s="201"/>
      <c r="D2155" s="200"/>
      <c r="E2155" s="202"/>
      <c r="F2155" s="199"/>
      <c r="G2155" s="199"/>
      <c r="H2155" s="199"/>
      <c r="I2155" s="199"/>
    </row>
    <row r="2156">
      <c r="A2156" s="199"/>
      <c r="B2156" s="200"/>
      <c r="C2156" s="201"/>
      <c r="D2156" s="200"/>
      <c r="E2156" s="202"/>
      <c r="F2156" s="199"/>
      <c r="G2156" s="199"/>
      <c r="H2156" s="199"/>
      <c r="I2156" s="199"/>
    </row>
    <row r="2157">
      <c r="A2157" s="199"/>
      <c r="B2157" s="200"/>
      <c r="C2157" s="201"/>
      <c r="D2157" s="200"/>
      <c r="E2157" s="202"/>
      <c r="F2157" s="199"/>
      <c r="G2157" s="199"/>
      <c r="H2157" s="199"/>
      <c r="I2157" s="199"/>
    </row>
    <row r="2158">
      <c r="A2158" s="199"/>
      <c r="B2158" s="200"/>
      <c r="C2158" s="201"/>
      <c r="D2158" s="200"/>
      <c r="E2158" s="202"/>
      <c r="F2158" s="199"/>
      <c r="G2158" s="199"/>
      <c r="H2158" s="199"/>
      <c r="I2158" s="199"/>
    </row>
    <row r="2159">
      <c r="A2159" s="199"/>
      <c r="B2159" s="200"/>
      <c r="C2159" s="201"/>
      <c r="D2159" s="200"/>
      <c r="E2159" s="202"/>
      <c r="F2159" s="199"/>
      <c r="G2159" s="199"/>
      <c r="H2159" s="199"/>
      <c r="I2159" s="199"/>
    </row>
    <row r="2160">
      <c r="A2160" s="199"/>
      <c r="B2160" s="200"/>
      <c r="C2160" s="201"/>
      <c r="D2160" s="200"/>
      <c r="E2160" s="202"/>
      <c r="F2160" s="199"/>
      <c r="G2160" s="199"/>
      <c r="H2160" s="199"/>
      <c r="I2160" s="199"/>
    </row>
    <row r="2161">
      <c r="A2161" s="199"/>
      <c r="B2161" s="200"/>
      <c r="C2161" s="201"/>
      <c r="D2161" s="200"/>
      <c r="E2161" s="202"/>
      <c r="F2161" s="199"/>
      <c r="G2161" s="199"/>
      <c r="H2161" s="199"/>
      <c r="I2161" s="199"/>
    </row>
    <row r="2162">
      <c r="A2162" s="199"/>
      <c r="B2162" s="200"/>
      <c r="C2162" s="201"/>
      <c r="D2162" s="200"/>
      <c r="E2162" s="202"/>
      <c r="F2162" s="199"/>
      <c r="G2162" s="199"/>
      <c r="H2162" s="199"/>
      <c r="I2162" s="199"/>
    </row>
    <row r="2163">
      <c r="A2163" s="199"/>
      <c r="B2163" s="200"/>
      <c r="C2163" s="201"/>
      <c r="D2163" s="200"/>
      <c r="E2163" s="202"/>
      <c r="F2163" s="199"/>
      <c r="G2163" s="199"/>
      <c r="H2163" s="199"/>
      <c r="I2163" s="199"/>
    </row>
    <row r="2164">
      <c r="A2164" s="199"/>
      <c r="B2164" s="200"/>
      <c r="C2164" s="201"/>
      <c r="D2164" s="200"/>
      <c r="E2164" s="202"/>
      <c r="F2164" s="199"/>
      <c r="G2164" s="199"/>
      <c r="H2164" s="199"/>
      <c r="I2164" s="199"/>
    </row>
    <row r="2165">
      <c r="A2165" s="199"/>
      <c r="B2165" s="200"/>
      <c r="C2165" s="201"/>
      <c r="D2165" s="200"/>
      <c r="E2165" s="202"/>
      <c r="F2165" s="199"/>
      <c r="G2165" s="199"/>
      <c r="H2165" s="199"/>
      <c r="I2165" s="199"/>
    </row>
    <row r="2166">
      <c r="A2166" s="199"/>
      <c r="B2166" s="200"/>
      <c r="C2166" s="201"/>
      <c r="D2166" s="200"/>
      <c r="E2166" s="202"/>
      <c r="F2166" s="199"/>
      <c r="G2166" s="199"/>
      <c r="H2166" s="199"/>
      <c r="I2166" s="199"/>
    </row>
    <row r="2167">
      <c r="A2167" s="199"/>
      <c r="B2167" s="200"/>
      <c r="C2167" s="201"/>
      <c r="D2167" s="200"/>
      <c r="E2167" s="202"/>
      <c r="F2167" s="199"/>
      <c r="G2167" s="199"/>
      <c r="H2167" s="199"/>
      <c r="I2167" s="199"/>
    </row>
    <row r="2168">
      <c r="A2168" s="199"/>
      <c r="B2168" s="200"/>
      <c r="C2168" s="201"/>
      <c r="D2168" s="200"/>
      <c r="E2168" s="202"/>
      <c r="F2168" s="199"/>
      <c r="G2168" s="199"/>
      <c r="H2168" s="199"/>
      <c r="I2168" s="199"/>
    </row>
    <row r="2169">
      <c r="A2169" s="199"/>
      <c r="B2169" s="200"/>
      <c r="C2169" s="201"/>
      <c r="D2169" s="200"/>
      <c r="E2169" s="202"/>
      <c r="F2169" s="199"/>
      <c r="G2169" s="199"/>
      <c r="H2169" s="199"/>
      <c r="I2169" s="199"/>
    </row>
    <row r="2170">
      <c r="A2170" s="199"/>
      <c r="B2170" s="200"/>
      <c r="C2170" s="201"/>
      <c r="D2170" s="200"/>
      <c r="E2170" s="202"/>
      <c r="F2170" s="199"/>
      <c r="G2170" s="199"/>
      <c r="H2170" s="199"/>
      <c r="I2170" s="199"/>
    </row>
    <row r="2171">
      <c r="A2171" s="199"/>
      <c r="B2171" s="200"/>
      <c r="C2171" s="201"/>
      <c r="D2171" s="200"/>
      <c r="E2171" s="202"/>
      <c r="F2171" s="199"/>
      <c r="G2171" s="199"/>
      <c r="H2171" s="199"/>
      <c r="I2171" s="199"/>
    </row>
    <row r="2172">
      <c r="A2172" s="199"/>
      <c r="B2172" s="200"/>
      <c r="C2172" s="201"/>
      <c r="D2172" s="200"/>
      <c r="E2172" s="202"/>
      <c r="F2172" s="199"/>
      <c r="G2172" s="199"/>
      <c r="H2172" s="199"/>
      <c r="I2172" s="199"/>
    </row>
    <row r="2173">
      <c r="A2173" s="199"/>
      <c r="B2173" s="200"/>
      <c r="C2173" s="201"/>
      <c r="D2173" s="200"/>
      <c r="E2173" s="202"/>
      <c r="F2173" s="199"/>
      <c r="G2173" s="199"/>
      <c r="H2173" s="199"/>
      <c r="I2173" s="199"/>
    </row>
    <row r="2174">
      <c r="A2174" s="199"/>
      <c r="B2174" s="200"/>
      <c r="C2174" s="201"/>
      <c r="D2174" s="200"/>
      <c r="E2174" s="202"/>
      <c r="F2174" s="199"/>
      <c r="G2174" s="199"/>
      <c r="H2174" s="199"/>
      <c r="I2174" s="199"/>
    </row>
    <row r="2175">
      <c r="A2175" s="199"/>
      <c r="B2175" s="200"/>
      <c r="C2175" s="201"/>
      <c r="D2175" s="200"/>
      <c r="E2175" s="202"/>
      <c r="F2175" s="199"/>
      <c r="G2175" s="199"/>
      <c r="H2175" s="199"/>
      <c r="I2175" s="199"/>
    </row>
    <row r="2176">
      <c r="A2176" s="199"/>
      <c r="B2176" s="200"/>
      <c r="C2176" s="201"/>
      <c r="D2176" s="200"/>
      <c r="E2176" s="202"/>
      <c r="F2176" s="199"/>
      <c r="G2176" s="199"/>
      <c r="H2176" s="199"/>
      <c r="I2176" s="199"/>
    </row>
    <row r="2177">
      <c r="A2177" s="199"/>
      <c r="B2177" s="200"/>
      <c r="C2177" s="201"/>
      <c r="D2177" s="200"/>
      <c r="E2177" s="202"/>
      <c r="F2177" s="199"/>
      <c r="G2177" s="199"/>
      <c r="H2177" s="199"/>
      <c r="I2177" s="199"/>
    </row>
    <row r="2178">
      <c r="A2178" s="199"/>
      <c r="B2178" s="200"/>
      <c r="C2178" s="201"/>
      <c r="D2178" s="200"/>
      <c r="E2178" s="202"/>
      <c r="F2178" s="199"/>
      <c r="G2178" s="199"/>
      <c r="H2178" s="199"/>
      <c r="I2178" s="199"/>
    </row>
    <row r="2179">
      <c r="A2179" s="199"/>
      <c r="B2179" s="200"/>
      <c r="C2179" s="201"/>
      <c r="D2179" s="200"/>
      <c r="E2179" s="202"/>
      <c r="F2179" s="199"/>
      <c r="G2179" s="199"/>
      <c r="H2179" s="199"/>
      <c r="I2179" s="199"/>
    </row>
    <row r="2180">
      <c r="A2180" s="199"/>
      <c r="B2180" s="200"/>
      <c r="C2180" s="201"/>
      <c r="D2180" s="200"/>
      <c r="E2180" s="202"/>
      <c r="F2180" s="199"/>
      <c r="G2180" s="199"/>
      <c r="H2180" s="199"/>
      <c r="I2180" s="199"/>
    </row>
    <row r="2181">
      <c r="A2181" s="199"/>
      <c r="B2181" s="200"/>
      <c r="C2181" s="201"/>
      <c r="D2181" s="200"/>
      <c r="E2181" s="202"/>
      <c r="F2181" s="199"/>
      <c r="G2181" s="199"/>
      <c r="H2181" s="199"/>
      <c r="I2181" s="199"/>
    </row>
    <row r="2182">
      <c r="A2182" s="199"/>
      <c r="B2182" s="200"/>
      <c r="C2182" s="201"/>
      <c r="D2182" s="200"/>
      <c r="E2182" s="202"/>
      <c r="F2182" s="199"/>
      <c r="G2182" s="199"/>
      <c r="H2182" s="199"/>
      <c r="I2182" s="199"/>
    </row>
    <row r="2183">
      <c r="A2183" s="199"/>
      <c r="B2183" s="200"/>
      <c r="C2183" s="201"/>
      <c r="D2183" s="200"/>
      <c r="E2183" s="202"/>
      <c r="F2183" s="199"/>
      <c r="G2183" s="199"/>
      <c r="H2183" s="199"/>
      <c r="I2183" s="199"/>
    </row>
    <row r="2184">
      <c r="A2184" s="199"/>
      <c r="B2184" s="200"/>
      <c r="C2184" s="201"/>
      <c r="D2184" s="200"/>
      <c r="E2184" s="202"/>
      <c r="F2184" s="199"/>
      <c r="G2184" s="199"/>
      <c r="H2184" s="199"/>
      <c r="I2184" s="199"/>
    </row>
    <row r="2185">
      <c r="A2185" s="199"/>
      <c r="B2185" s="200"/>
      <c r="C2185" s="201"/>
      <c r="D2185" s="200"/>
      <c r="E2185" s="202"/>
      <c r="F2185" s="199"/>
      <c r="G2185" s="199"/>
      <c r="H2185" s="199"/>
      <c r="I2185" s="199"/>
    </row>
    <row r="2186">
      <c r="A2186" s="199"/>
      <c r="B2186" s="200"/>
      <c r="C2186" s="201"/>
      <c r="D2186" s="200"/>
      <c r="E2186" s="202"/>
      <c r="F2186" s="199"/>
      <c r="G2186" s="199"/>
      <c r="H2186" s="199"/>
      <c r="I2186" s="199"/>
    </row>
    <row r="2187">
      <c r="A2187" s="199"/>
      <c r="B2187" s="200"/>
      <c r="C2187" s="201"/>
      <c r="D2187" s="200"/>
      <c r="E2187" s="202"/>
      <c r="F2187" s="199"/>
      <c r="G2187" s="199"/>
      <c r="H2187" s="199"/>
      <c r="I2187" s="199"/>
    </row>
    <row r="2188">
      <c r="A2188" s="199"/>
      <c r="B2188" s="200"/>
      <c r="C2188" s="201"/>
      <c r="D2188" s="200"/>
      <c r="E2188" s="202"/>
      <c r="F2188" s="199"/>
      <c r="G2188" s="199"/>
      <c r="H2188" s="199"/>
      <c r="I2188" s="199"/>
    </row>
    <row r="2189">
      <c r="A2189" s="199"/>
      <c r="B2189" s="200"/>
      <c r="C2189" s="201"/>
      <c r="D2189" s="200"/>
      <c r="E2189" s="202"/>
      <c r="F2189" s="199"/>
      <c r="G2189" s="199"/>
      <c r="H2189" s="199"/>
      <c r="I2189" s="199"/>
    </row>
    <row r="2190">
      <c r="A2190" s="199"/>
      <c r="B2190" s="200"/>
      <c r="C2190" s="201"/>
      <c r="D2190" s="200"/>
      <c r="E2190" s="202"/>
      <c r="F2190" s="199"/>
      <c r="G2190" s="199"/>
      <c r="H2190" s="199"/>
      <c r="I2190" s="199"/>
    </row>
    <row r="2191">
      <c r="A2191" s="199"/>
      <c r="B2191" s="200"/>
      <c r="C2191" s="201"/>
      <c r="D2191" s="200"/>
      <c r="E2191" s="202"/>
      <c r="F2191" s="199"/>
      <c r="G2191" s="199"/>
      <c r="H2191" s="199"/>
      <c r="I2191" s="199"/>
    </row>
    <row r="2192">
      <c r="A2192" s="199"/>
      <c r="B2192" s="200"/>
      <c r="C2192" s="201"/>
      <c r="D2192" s="200"/>
      <c r="E2192" s="202"/>
      <c r="F2192" s="199"/>
      <c r="G2192" s="199"/>
      <c r="H2192" s="199"/>
      <c r="I2192" s="199"/>
    </row>
    <row r="2193">
      <c r="A2193" s="199"/>
      <c r="B2193" s="200"/>
      <c r="C2193" s="201"/>
      <c r="D2193" s="200"/>
      <c r="E2193" s="202"/>
      <c r="F2193" s="199"/>
      <c r="G2193" s="199"/>
      <c r="H2193" s="199"/>
      <c r="I2193" s="199"/>
    </row>
    <row r="2194">
      <c r="A2194" s="199"/>
      <c r="B2194" s="200"/>
      <c r="C2194" s="201"/>
      <c r="D2194" s="200"/>
      <c r="E2194" s="202"/>
      <c r="F2194" s="199"/>
      <c r="G2194" s="199"/>
      <c r="H2194" s="199"/>
      <c r="I2194" s="199"/>
    </row>
    <row r="2195">
      <c r="A2195" s="199"/>
      <c r="B2195" s="200"/>
      <c r="C2195" s="201"/>
      <c r="D2195" s="200"/>
      <c r="E2195" s="202"/>
      <c r="F2195" s="199"/>
      <c r="G2195" s="199"/>
      <c r="H2195" s="199"/>
      <c r="I2195" s="199"/>
    </row>
    <row r="2196">
      <c r="A2196" s="199"/>
      <c r="B2196" s="200"/>
      <c r="C2196" s="201"/>
      <c r="D2196" s="200"/>
      <c r="E2196" s="202"/>
      <c r="F2196" s="199"/>
      <c r="G2196" s="199"/>
      <c r="H2196" s="199"/>
      <c r="I2196" s="199"/>
    </row>
    <row r="2197">
      <c r="A2197" s="199"/>
      <c r="B2197" s="200"/>
      <c r="C2197" s="201"/>
      <c r="D2197" s="200"/>
      <c r="E2197" s="202"/>
      <c r="F2197" s="199"/>
      <c r="G2197" s="199"/>
      <c r="H2197" s="199"/>
      <c r="I2197" s="199"/>
    </row>
    <row r="2198">
      <c r="A2198" s="199"/>
      <c r="B2198" s="200"/>
      <c r="C2198" s="201"/>
      <c r="D2198" s="200"/>
      <c r="E2198" s="202"/>
      <c r="F2198" s="199"/>
      <c r="G2198" s="199"/>
      <c r="H2198" s="199"/>
      <c r="I2198" s="199"/>
    </row>
    <row r="2199">
      <c r="A2199" s="199"/>
      <c r="B2199" s="200"/>
      <c r="C2199" s="201"/>
      <c r="D2199" s="200"/>
      <c r="E2199" s="202"/>
      <c r="F2199" s="199"/>
      <c r="G2199" s="199"/>
      <c r="H2199" s="199"/>
      <c r="I2199" s="199"/>
    </row>
    <row r="2200">
      <c r="A2200" s="199"/>
      <c r="B2200" s="200"/>
      <c r="C2200" s="201"/>
      <c r="D2200" s="200"/>
      <c r="E2200" s="202"/>
      <c r="F2200" s="199"/>
      <c r="G2200" s="199"/>
      <c r="H2200" s="199"/>
      <c r="I2200" s="199"/>
    </row>
    <row r="2201">
      <c r="A2201" s="199"/>
      <c r="B2201" s="200"/>
      <c r="C2201" s="201"/>
      <c r="D2201" s="200"/>
      <c r="E2201" s="202"/>
      <c r="F2201" s="199"/>
      <c r="G2201" s="199"/>
      <c r="H2201" s="199"/>
      <c r="I2201" s="199"/>
    </row>
    <row r="2202">
      <c r="A2202" s="199"/>
      <c r="B2202" s="200"/>
      <c r="C2202" s="201"/>
      <c r="D2202" s="200"/>
      <c r="E2202" s="202"/>
      <c r="F2202" s="199"/>
      <c r="G2202" s="199"/>
      <c r="H2202" s="199"/>
      <c r="I2202" s="199"/>
    </row>
    <row r="2203">
      <c r="A2203" s="199"/>
      <c r="B2203" s="200"/>
      <c r="C2203" s="201"/>
      <c r="D2203" s="200"/>
      <c r="E2203" s="202"/>
      <c r="F2203" s="199"/>
      <c r="G2203" s="199"/>
      <c r="H2203" s="199"/>
      <c r="I2203" s="199"/>
    </row>
    <row r="2204">
      <c r="A2204" s="199"/>
      <c r="B2204" s="200"/>
      <c r="C2204" s="201"/>
      <c r="D2204" s="200"/>
      <c r="E2204" s="202"/>
      <c r="F2204" s="199"/>
      <c r="G2204" s="199"/>
      <c r="H2204" s="199"/>
      <c r="I2204" s="199"/>
    </row>
    <row r="2205">
      <c r="A2205" s="199"/>
      <c r="B2205" s="200"/>
      <c r="C2205" s="201"/>
      <c r="D2205" s="200"/>
      <c r="E2205" s="202"/>
      <c r="F2205" s="199"/>
      <c r="G2205" s="199"/>
      <c r="H2205" s="199"/>
      <c r="I2205" s="199"/>
    </row>
    <row r="2206">
      <c r="A2206" s="199"/>
      <c r="B2206" s="200"/>
      <c r="C2206" s="201"/>
      <c r="D2206" s="200"/>
      <c r="E2206" s="202"/>
      <c r="F2206" s="199"/>
      <c r="G2206" s="199"/>
      <c r="H2206" s="199"/>
      <c r="I2206" s="199"/>
    </row>
    <row r="2207">
      <c r="A2207" s="199"/>
      <c r="B2207" s="200"/>
      <c r="C2207" s="201"/>
      <c r="D2207" s="200"/>
      <c r="E2207" s="202"/>
      <c r="F2207" s="199"/>
      <c r="G2207" s="199"/>
      <c r="H2207" s="199"/>
      <c r="I2207" s="199"/>
    </row>
    <row r="2208">
      <c r="A2208" s="199"/>
      <c r="B2208" s="200"/>
      <c r="C2208" s="201"/>
      <c r="D2208" s="200"/>
      <c r="E2208" s="202"/>
      <c r="F2208" s="199"/>
      <c r="G2208" s="199"/>
      <c r="H2208" s="199"/>
      <c r="I2208" s="199"/>
    </row>
    <row r="2209">
      <c r="A2209" s="199"/>
      <c r="B2209" s="200"/>
      <c r="C2209" s="201"/>
      <c r="D2209" s="200"/>
      <c r="E2209" s="202"/>
      <c r="F2209" s="199"/>
      <c r="G2209" s="199"/>
      <c r="H2209" s="199"/>
      <c r="I2209" s="199"/>
    </row>
    <row r="2210">
      <c r="A2210" s="199"/>
      <c r="B2210" s="200"/>
      <c r="C2210" s="201"/>
      <c r="D2210" s="200"/>
      <c r="E2210" s="202"/>
      <c r="F2210" s="199"/>
      <c r="G2210" s="199"/>
      <c r="H2210" s="199"/>
      <c r="I2210" s="199"/>
    </row>
    <row r="2211">
      <c r="A2211" s="199"/>
      <c r="B2211" s="200"/>
      <c r="C2211" s="201"/>
      <c r="D2211" s="200"/>
      <c r="E2211" s="202"/>
      <c r="F2211" s="199"/>
      <c r="G2211" s="199"/>
      <c r="H2211" s="199"/>
      <c r="I2211" s="199"/>
    </row>
    <row r="2212">
      <c r="A2212" s="199"/>
      <c r="B2212" s="200"/>
      <c r="C2212" s="201"/>
      <c r="D2212" s="200"/>
      <c r="E2212" s="202"/>
      <c r="F2212" s="199"/>
      <c r="G2212" s="199"/>
      <c r="H2212" s="199"/>
      <c r="I2212" s="199"/>
    </row>
    <row r="2213">
      <c r="A2213" s="199"/>
      <c r="B2213" s="200"/>
      <c r="C2213" s="201"/>
      <c r="D2213" s="200"/>
      <c r="E2213" s="202"/>
      <c r="F2213" s="199"/>
      <c r="G2213" s="199"/>
      <c r="H2213" s="199"/>
      <c r="I2213" s="199"/>
    </row>
    <row r="2214">
      <c r="A2214" s="199"/>
      <c r="B2214" s="200"/>
      <c r="C2214" s="201"/>
      <c r="D2214" s="200"/>
      <c r="E2214" s="202"/>
      <c r="F2214" s="199"/>
      <c r="G2214" s="199"/>
      <c r="H2214" s="199"/>
      <c r="I2214" s="199"/>
    </row>
    <row r="2215">
      <c r="A2215" s="199"/>
      <c r="B2215" s="200"/>
      <c r="C2215" s="201"/>
      <c r="D2215" s="200"/>
      <c r="E2215" s="202"/>
      <c r="F2215" s="199"/>
      <c r="G2215" s="199"/>
      <c r="H2215" s="199"/>
      <c r="I2215" s="199"/>
    </row>
    <row r="2216">
      <c r="A2216" s="199"/>
      <c r="B2216" s="200"/>
      <c r="C2216" s="201"/>
      <c r="D2216" s="200"/>
      <c r="E2216" s="202"/>
      <c r="F2216" s="199"/>
      <c r="G2216" s="199"/>
      <c r="H2216" s="199"/>
      <c r="I2216" s="199"/>
    </row>
    <row r="2217">
      <c r="A2217" s="199"/>
      <c r="B2217" s="200"/>
      <c r="C2217" s="201"/>
      <c r="D2217" s="200"/>
      <c r="E2217" s="202"/>
      <c r="F2217" s="199"/>
      <c r="G2217" s="199"/>
      <c r="H2217" s="199"/>
      <c r="I2217" s="199"/>
    </row>
    <row r="2218">
      <c r="A2218" s="199"/>
      <c r="B2218" s="200"/>
      <c r="C2218" s="201"/>
      <c r="D2218" s="200"/>
      <c r="E2218" s="202"/>
      <c r="F2218" s="199"/>
      <c r="G2218" s="199"/>
      <c r="H2218" s="199"/>
      <c r="I2218" s="199"/>
    </row>
    <row r="2219">
      <c r="A2219" s="199"/>
      <c r="B2219" s="200"/>
      <c r="C2219" s="201"/>
      <c r="D2219" s="200"/>
      <c r="E2219" s="202"/>
      <c r="F2219" s="199"/>
      <c r="G2219" s="199"/>
      <c r="H2219" s="199"/>
      <c r="I2219" s="199"/>
    </row>
    <row r="2220">
      <c r="A2220" s="199"/>
      <c r="B2220" s="200"/>
      <c r="C2220" s="201"/>
      <c r="D2220" s="200"/>
      <c r="E2220" s="202"/>
      <c r="F2220" s="199"/>
      <c r="G2220" s="199"/>
      <c r="H2220" s="199"/>
      <c r="I2220" s="199"/>
    </row>
    <row r="2221">
      <c r="A2221" s="199"/>
      <c r="B2221" s="200"/>
      <c r="C2221" s="201"/>
      <c r="D2221" s="200"/>
      <c r="E2221" s="202"/>
      <c r="F2221" s="199"/>
      <c r="G2221" s="199"/>
      <c r="H2221" s="199"/>
      <c r="I2221" s="199"/>
    </row>
    <row r="2222">
      <c r="A2222" s="199"/>
      <c r="B2222" s="200"/>
      <c r="C2222" s="201"/>
      <c r="D2222" s="200"/>
      <c r="E2222" s="202"/>
      <c r="F2222" s="199"/>
      <c r="G2222" s="199"/>
      <c r="H2222" s="199"/>
      <c r="I2222" s="199"/>
    </row>
    <row r="2223">
      <c r="A2223" s="199"/>
      <c r="B2223" s="200"/>
      <c r="C2223" s="201"/>
      <c r="D2223" s="200"/>
      <c r="E2223" s="202"/>
      <c r="F2223" s="199"/>
      <c r="G2223" s="199"/>
      <c r="H2223" s="199"/>
      <c r="I2223" s="199"/>
    </row>
    <row r="2224">
      <c r="A2224" s="199"/>
      <c r="B2224" s="200"/>
      <c r="C2224" s="201"/>
      <c r="D2224" s="200"/>
      <c r="E2224" s="202"/>
      <c r="F2224" s="199"/>
      <c r="G2224" s="199"/>
      <c r="H2224" s="199"/>
      <c r="I2224" s="199"/>
    </row>
    <row r="2225">
      <c r="A2225" s="199"/>
      <c r="B2225" s="200"/>
      <c r="C2225" s="201"/>
      <c r="D2225" s="200"/>
      <c r="E2225" s="202"/>
      <c r="F2225" s="199"/>
      <c r="G2225" s="199"/>
      <c r="H2225" s="199"/>
      <c r="I2225" s="199"/>
    </row>
    <row r="2226">
      <c r="A2226" s="199"/>
      <c r="B2226" s="200"/>
      <c r="C2226" s="201"/>
      <c r="D2226" s="200"/>
      <c r="E2226" s="202"/>
      <c r="F2226" s="199"/>
      <c r="G2226" s="199"/>
      <c r="H2226" s="199"/>
      <c r="I2226" s="199"/>
    </row>
    <row r="2227">
      <c r="A2227" s="199"/>
      <c r="B2227" s="200"/>
      <c r="C2227" s="201"/>
      <c r="D2227" s="200"/>
      <c r="E2227" s="202"/>
      <c r="F2227" s="199"/>
      <c r="G2227" s="199"/>
      <c r="H2227" s="199"/>
      <c r="I2227" s="199"/>
    </row>
    <row r="2228">
      <c r="A2228" s="199"/>
      <c r="B2228" s="200"/>
      <c r="C2228" s="201"/>
      <c r="D2228" s="200"/>
      <c r="E2228" s="202"/>
      <c r="F2228" s="199"/>
      <c r="G2228" s="199"/>
      <c r="H2228" s="199"/>
      <c r="I2228" s="199"/>
    </row>
    <row r="2229">
      <c r="A2229" s="199"/>
      <c r="B2229" s="200"/>
      <c r="C2229" s="201"/>
      <c r="D2229" s="200"/>
      <c r="E2229" s="202"/>
      <c r="F2229" s="199"/>
      <c r="G2229" s="199"/>
      <c r="H2229" s="199"/>
      <c r="I2229" s="199"/>
    </row>
    <row r="2230">
      <c r="A2230" s="199"/>
      <c r="B2230" s="200"/>
      <c r="C2230" s="201"/>
      <c r="D2230" s="200"/>
      <c r="E2230" s="202"/>
      <c r="F2230" s="199"/>
      <c r="G2230" s="199"/>
      <c r="H2230" s="199"/>
      <c r="I2230" s="199"/>
    </row>
    <row r="2231">
      <c r="A2231" s="199"/>
      <c r="B2231" s="200"/>
      <c r="C2231" s="201"/>
      <c r="D2231" s="200"/>
      <c r="E2231" s="202"/>
      <c r="F2231" s="199"/>
      <c r="G2231" s="199"/>
      <c r="H2231" s="199"/>
      <c r="I2231" s="199"/>
    </row>
    <row r="2232">
      <c r="A2232" s="199"/>
      <c r="B2232" s="200"/>
      <c r="C2232" s="201"/>
      <c r="D2232" s="200"/>
      <c r="E2232" s="202"/>
      <c r="F2232" s="199"/>
      <c r="G2232" s="199"/>
      <c r="H2232" s="199"/>
      <c r="I2232" s="199"/>
    </row>
    <row r="2233">
      <c r="A2233" s="199"/>
      <c r="B2233" s="200"/>
      <c r="C2233" s="201"/>
      <c r="D2233" s="200"/>
      <c r="E2233" s="202"/>
      <c r="F2233" s="199"/>
      <c r="G2233" s="199"/>
      <c r="H2233" s="199"/>
      <c r="I2233" s="199"/>
    </row>
    <row r="2234">
      <c r="A2234" s="199"/>
      <c r="B2234" s="200"/>
      <c r="C2234" s="201"/>
      <c r="D2234" s="200"/>
      <c r="E2234" s="202"/>
      <c r="F2234" s="199"/>
      <c r="G2234" s="199"/>
      <c r="H2234" s="199"/>
      <c r="I2234" s="199"/>
    </row>
    <row r="2235">
      <c r="A2235" s="199"/>
      <c r="B2235" s="200"/>
      <c r="C2235" s="201"/>
      <c r="D2235" s="200"/>
      <c r="E2235" s="202"/>
      <c r="F2235" s="199"/>
      <c r="G2235" s="199"/>
      <c r="H2235" s="199"/>
      <c r="I2235" s="199"/>
    </row>
    <row r="2236">
      <c r="A2236" s="199"/>
      <c r="B2236" s="200"/>
      <c r="C2236" s="201"/>
      <c r="D2236" s="200"/>
      <c r="E2236" s="202"/>
      <c r="F2236" s="199"/>
      <c r="G2236" s="199"/>
      <c r="H2236" s="199"/>
      <c r="I2236" s="199"/>
    </row>
    <row r="2237">
      <c r="A2237" s="199"/>
      <c r="B2237" s="200"/>
      <c r="C2237" s="201"/>
      <c r="D2237" s="200"/>
      <c r="E2237" s="202"/>
      <c r="F2237" s="199"/>
      <c r="G2237" s="199"/>
      <c r="H2237" s="199"/>
      <c r="I2237" s="199"/>
    </row>
    <row r="2238">
      <c r="A2238" s="199"/>
      <c r="B2238" s="200"/>
      <c r="C2238" s="201"/>
      <c r="D2238" s="200"/>
      <c r="E2238" s="202"/>
      <c r="F2238" s="199"/>
      <c r="G2238" s="199"/>
      <c r="H2238" s="199"/>
      <c r="I2238" s="199"/>
    </row>
    <row r="2239">
      <c r="A2239" s="199"/>
      <c r="B2239" s="200"/>
      <c r="C2239" s="201"/>
      <c r="D2239" s="200"/>
      <c r="E2239" s="202"/>
      <c r="F2239" s="199"/>
      <c r="G2239" s="199"/>
      <c r="H2239" s="199"/>
      <c r="I2239" s="199"/>
    </row>
    <row r="2240">
      <c r="A2240" s="199"/>
      <c r="B2240" s="200"/>
      <c r="C2240" s="201"/>
      <c r="D2240" s="200"/>
      <c r="E2240" s="202"/>
      <c r="F2240" s="199"/>
      <c r="G2240" s="199"/>
      <c r="H2240" s="199"/>
      <c r="I2240" s="199"/>
    </row>
    <row r="2241">
      <c r="A2241" s="199"/>
      <c r="B2241" s="200"/>
      <c r="C2241" s="201"/>
      <c r="D2241" s="200"/>
      <c r="E2241" s="202"/>
      <c r="F2241" s="199"/>
      <c r="G2241" s="199"/>
      <c r="H2241" s="199"/>
      <c r="I2241" s="199"/>
    </row>
    <row r="2242">
      <c r="A2242" s="199"/>
      <c r="B2242" s="200"/>
      <c r="C2242" s="201"/>
      <c r="D2242" s="200"/>
      <c r="E2242" s="202"/>
      <c r="F2242" s="199"/>
      <c r="G2242" s="199"/>
      <c r="H2242" s="199"/>
      <c r="I2242" s="199"/>
    </row>
    <row r="2243">
      <c r="A2243" s="199"/>
      <c r="B2243" s="200"/>
      <c r="C2243" s="201"/>
      <c r="D2243" s="200"/>
      <c r="E2243" s="202"/>
      <c r="F2243" s="199"/>
      <c r="G2243" s="199"/>
      <c r="H2243" s="199"/>
      <c r="I2243" s="199"/>
    </row>
    <row r="2244">
      <c r="A2244" s="199"/>
      <c r="B2244" s="200"/>
      <c r="C2244" s="201"/>
      <c r="D2244" s="200"/>
      <c r="E2244" s="202"/>
      <c r="F2244" s="199"/>
      <c r="G2244" s="199"/>
      <c r="H2244" s="199"/>
      <c r="I2244" s="199"/>
    </row>
    <row r="2245">
      <c r="A2245" s="199"/>
      <c r="B2245" s="200"/>
      <c r="C2245" s="201"/>
      <c r="D2245" s="200"/>
      <c r="E2245" s="202"/>
      <c r="F2245" s="199"/>
      <c r="G2245" s="199"/>
      <c r="H2245" s="199"/>
      <c r="I2245" s="199"/>
    </row>
    <row r="2246">
      <c r="A2246" s="199"/>
      <c r="B2246" s="200"/>
      <c r="C2246" s="201"/>
      <c r="D2246" s="200"/>
      <c r="E2246" s="202"/>
      <c r="F2246" s="199"/>
      <c r="G2246" s="199"/>
      <c r="H2246" s="199"/>
      <c r="I2246" s="199"/>
    </row>
    <row r="2247">
      <c r="A2247" s="199"/>
      <c r="B2247" s="200"/>
      <c r="C2247" s="201"/>
      <c r="D2247" s="200"/>
      <c r="E2247" s="202"/>
      <c r="F2247" s="199"/>
      <c r="G2247" s="199"/>
      <c r="H2247" s="199"/>
      <c r="I2247" s="199"/>
    </row>
    <row r="2248">
      <c r="A2248" s="199"/>
      <c r="B2248" s="200"/>
      <c r="C2248" s="201"/>
      <c r="D2248" s="200"/>
      <c r="E2248" s="202"/>
      <c r="F2248" s="199"/>
      <c r="G2248" s="199"/>
      <c r="H2248" s="199"/>
      <c r="I2248" s="199"/>
    </row>
    <row r="2249">
      <c r="A2249" s="199"/>
      <c r="B2249" s="200"/>
      <c r="C2249" s="201"/>
      <c r="D2249" s="200"/>
      <c r="E2249" s="202"/>
      <c r="F2249" s="199"/>
      <c r="G2249" s="199"/>
      <c r="H2249" s="199"/>
      <c r="I2249" s="199"/>
    </row>
    <row r="2250">
      <c r="A2250" s="199"/>
      <c r="B2250" s="200"/>
      <c r="C2250" s="201"/>
      <c r="D2250" s="200"/>
      <c r="E2250" s="202"/>
      <c r="F2250" s="199"/>
      <c r="G2250" s="199"/>
      <c r="H2250" s="199"/>
      <c r="I2250" s="199"/>
    </row>
    <row r="2251">
      <c r="A2251" s="199"/>
      <c r="B2251" s="200"/>
      <c r="C2251" s="201"/>
      <c r="D2251" s="200"/>
      <c r="E2251" s="202"/>
      <c r="F2251" s="199"/>
      <c r="G2251" s="199"/>
      <c r="H2251" s="199"/>
      <c r="I2251" s="199"/>
    </row>
    <row r="2252">
      <c r="A2252" s="199"/>
      <c r="B2252" s="200"/>
      <c r="C2252" s="201"/>
      <c r="D2252" s="200"/>
      <c r="E2252" s="202"/>
      <c r="F2252" s="199"/>
      <c r="G2252" s="199"/>
      <c r="H2252" s="199"/>
      <c r="I2252" s="199"/>
    </row>
    <row r="2253">
      <c r="A2253" s="199"/>
      <c r="B2253" s="200"/>
      <c r="C2253" s="201"/>
      <c r="D2253" s="200"/>
      <c r="E2253" s="202"/>
      <c r="F2253" s="199"/>
      <c r="G2253" s="199"/>
      <c r="H2253" s="199"/>
      <c r="I2253" s="199"/>
    </row>
    <row r="2254">
      <c r="A2254" s="199"/>
      <c r="B2254" s="200"/>
      <c r="C2254" s="201"/>
      <c r="D2254" s="200"/>
      <c r="E2254" s="202"/>
      <c r="F2254" s="199"/>
      <c r="G2254" s="199"/>
      <c r="H2254" s="199"/>
      <c r="I2254" s="199"/>
    </row>
    <row r="2255">
      <c r="A2255" s="199"/>
      <c r="B2255" s="200"/>
      <c r="C2255" s="201"/>
      <c r="D2255" s="200"/>
      <c r="E2255" s="202"/>
      <c r="F2255" s="199"/>
      <c r="G2255" s="199"/>
      <c r="H2255" s="199"/>
      <c r="I2255" s="199"/>
    </row>
    <row r="2256">
      <c r="A2256" s="199"/>
      <c r="B2256" s="200"/>
      <c r="C2256" s="201"/>
      <c r="D2256" s="200"/>
      <c r="E2256" s="202"/>
      <c r="F2256" s="199"/>
      <c r="G2256" s="199"/>
      <c r="H2256" s="199"/>
      <c r="I2256" s="199"/>
    </row>
    <row r="2257">
      <c r="A2257" s="199"/>
      <c r="B2257" s="200"/>
      <c r="C2257" s="201"/>
      <c r="D2257" s="200"/>
      <c r="E2257" s="202"/>
      <c r="F2257" s="199"/>
      <c r="G2257" s="199"/>
      <c r="H2257" s="199"/>
      <c r="I2257" s="199"/>
    </row>
    <row r="2258">
      <c r="A2258" s="199"/>
      <c r="B2258" s="200"/>
      <c r="C2258" s="201"/>
      <c r="D2258" s="200"/>
      <c r="E2258" s="202"/>
      <c r="F2258" s="199"/>
      <c r="G2258" s="199"/>
      <c r="H2258" s="199"/>
      <c r="I2258" s="199"/>
    </row>
    <row r="2259">
      <c r="A2259" s="199"/>
      <c r="B2259" s="200"/>
      <c r="C2259" s="201"/>
      <c r="D2259" s="200"/>
      <c r="E2259" s="202"/>
      <c r="F2259" s="199"/>
      <c r="G2259" s="199"/>
      <c r="H2259" s="199"/>
      <c r="I2259" s="199"/>
    </row>
    <row r="2260">
      <c r="A2260" s="199"/>
      <c r="B2260" s="200"/>
      <c r="C2260" s="201"/>
      <c r="D2260" s="200"/>
      <c r="E2260" s="202"/>
      <c r="F2260" s="199"/>
      <c r="G2260" s="199"/>
      <c r="H2260" s="199"/>
      <c r="I2260" s="199"/>
    </row>
    <row r="2261">
      <c r="A2261" s="199"/>
      <c r="B2261" s="200"/>
      <c r="C2261" s="201"/>
      <c r="D2261" s="200"/>
      <c r="E2261" s="202"/>
      <c r="F2261" s="199"/>
      <c r="G2261" s="199"/>
      <c r="H2261" s="199"/>
      <c r="I2261" s="199"/>
    </row>
    <row r="2262">
      <c r="A2262" s="199"/>
      <c r="B2262" s="200"/>
      <c r="C2262" s="201"/>
      <c r="D2262" s="200"/>
      <c r="E2262" s="202"/>
      <c r="F2262" s="199"/>
      <c r="G2262" s="199"/>
      <c r="H2262" s="199"/>
      <c r="I2262" s="199"/>
    </row>
    <row r="2263">
      <c r="A2263" s="199"/>
      <c r="B2263" s="200"/>
      <c r="C2263" s="201"/>
      <c r="D2263" s="200"/>
      <c r="E2263" s="202"/>
      <c r="F2263" s="199"/>
      <c r="G2263" s="199"/>
      <c r="H2263" s="199"/>
      <c r="I2263" s="199"/>
    </row>
    <row r="2264">
      <c r="A2264" s="199"/>
      <c r="B2264" s="200"/>
      <c r="C2264" s="201"/>
      <c r="D2264" s="200"/>
      <c r="E2264" s="202"/>
      <c r="F2264" s="199"/>
      <c r="G2264" s="199"/>
      <c r="H2264" s="199"/>
      <c r="I2264" s="199"/>
    </row>
    <row r="2265">
      <c r="A2265" s="199"/>
      <c r="B2265" s="200"/>
      <c r="C2265" s="201"/>
      <c r="D2265" s="200"/>
      <c r="E2265" s="202"/>
      <c r="F2265" s="199"/>
      <c r="G2265" s="199"/>
      <c r="H2265" s="199"/>
      <c r="I2265" s="199"/>
    </row>
    <row r="2266">
      <c r="A2266" s="199"/>
      <c r="B2266" s="200"/>
      <c r="C2266" s="201"/>
      <c r="D2266" s="200"/>
      <c r="E2266" s="202"/>
      <c r="F2266" s="199"/>
      <c r="G2266" s="199"/>
      <c r="H2266" s="199"/>
      <c r="I2266" s="199"/>
    </row>
    <row r="2267">
      <c r="A2267" s="199"/>
      <c r="B2267" s="200"/>
      <c r="C2267" s="201"/>
      <c r="D2267" s="200"/>
      <c r="E2267" s="202"/>
      <c r="F2267" s="199"/>
      <c r="G2267" s="199"/>
      <c r="H2267" s="199"/>
      <c r="I2267" s="199"/>
    </row>
    <row r="2268">
      <c r="A2268" s="199"/>
      <c r="B2268" s="200"/>
      <c r="C2268" s="201"/>
      <c r="D2268" s="200"/>
      <c r="E2268" s="202"/>
      <c r="F2268" s="199"/>
      <c r="G2268" s="199"/>
      <c r="H2268" s="199"/>
      <c r="I2268" s="199"/>
    </row>
    <row r="2269">
      <c r="A2269" s="199"/>
      <c r="B2269" s="200"/>
      <c r="C2269" s="201"/>
      <c r="D2269" s="200"/>
      <c r="E2269" s="202"/>
      <c r="F2269" s="199"/>
      <c r="G2269" s="199"/>
      <c r="H2269" s="199"/>
      <c r="I2269" s="199"/>
    </row>
    <row r="2270">
      <c r="A2270" s="199"/>
      <c r="B2270" s="200"/>
      <c r="C2270" s="201"/>
      <c r="D2270" s="200"/>
      <c r="E2270" s="202"/>
      <c r="F2270" s="199"/>
      <c r="G2270" s="199"/>
      <c r="H2270" s="199"/>
      <c r="I2270" s="199"/>
    </row>
    <row r="2271">
      <c r="A2271" s="199"/>
      <c r="B2271" s="200"/>
      <c r="C2271" s="201"/>
      <c r="D2271" s="200"/>
      <c r="E2271" s="202"/>
      <c r="F2271" s="199"/>
      <c r="G2271" s="199"/>
      <c r="H2271" s="199"/>
      <c r="I2271" s="199"/>
    </row>
    <row r="2272">
      <c r="A2272" s="199"/>
      <c r="B2272" s="200"/>
      <c r="C2272" s="201"/>
      <c r="D2272" s="200"/>
      <c r="E2272" s="202"/>
      <c r="F2272" s="199"/>
      <c r="G2272" s="199"/>
      <c r="H2272" s="199"/>
      <c r="I2272" s="199"/>
    </row>
    <row r="2273">
      <c r="A2273" s="199"/>
      <c r="B2273" s="200"/>
      <c r="C2273" s="201"/>
      <c r="D2273" s="200"/>
      <c r="E2273" s="202"/>
      <c r="F2273" s="199"/>
      <c r="G2273" s="199"/>
      <c r="H2273" s="199"/>
      <c r="I2273" s="199"/>
    </row>
    <row r="2274">
      <c r="A2274" s="199"/>
      <c r="B2274" s="200"/>
      <c r="C2274" s="201"/>
      <c r="D2274" s="200"/>
      <c r="E2274" s="202"/>
      <c r="F2274" s="199"/>
      <c r="G2274" s="199"/>
      <c r="H2274" s="199"/>
      <c r="I2274" s="199"/>
    </row>
    <row r="2275">
      <c r="A2275" s="199"/>
      <c r="B2275" s="200"/>
      <c r="C2275" s="201"/>
      <c r="D2275" s="200"/>
      <c r="E2275" s="202"/>
      <c r="F2275" s="199"/>
      <c r="G2275" s="199"/>
      <c r="H2275" s="199"/>
      <c r="I2275" s="199"/>
    </row>
    <row r="2276">
      <c r="A2276" s="199"/>
      <c r="B2276" s="200"/>
      <c r="C2276" s="201"/>
      <c r="D2276" s="200"/>
      <c r="E2276" s="202"/>
      <c r="F2276" s="199"/>
      <c r="G2276" s="199"/>
      <c r="H2276" s="199"/>
      <c r="I2276" s="199"/>
    </row>
    <row r="2277">
      <c r="A2277" s="199"/>
      <c r="B2277" s="200"/>
      <c r="C2277" s="201"/>
      <c r="D2277" s="200"/>
      <c r="E2277" s="202"/>
      <c r="F2277" s="199"/>
      <c r="G2277" s="199"/>
      <c r="H2277" s="199"/>
      <c r="I2277" s="199"/>
    </row>
    <row r="2278">
      <c r="A2278" s="199"/>
      <c r="B2278" s="200"/>
      <c r="C2278" s="201"/>
      <c r="D2278" s="200"/>
      <c r="E2278" s="202"/>
      <c r="F2278" s="199"/>
      <c r="G2278" s="199"/>
      <c r="H2278" s="199"/>
      <c r="I2278" s="199"/>
    </row>
    <row r="2279">
      <c r="A2279" s="199"/>
      <c r="B2279" s="200"/>
      <c r="C2279" s="201"/>
      <c r="D2279" s="200"/>
      <c r="E2279" s="202"/>
      <c r="F2279" s="199"/>
      <c r="G2279" s="199"/>
      <c r="H2279" s="199"/>
      <c r="I2279" s="199"/>
    </row>
    <row r="2280">
      <c r="A2280" s="199"/>
      <c r="B2280" s="200"/>
      <c r="C2280" s="201"/>
      <c r="D2280" s="200"/>
      <c r="E2280" s="202"/>
      <c r="F2280" s="199"/>
      <c r="G2280" s="199"/>
      <c r="H2280" s="199"/>
      <c r="I2280" s="199"/>
    </row>
    <row r="2281">
      <c r="A2281" s="199"/>
      <c r="B2281" s="200"/>
      <c r="C2281" s="201"/>
      <c r="D2281" s="200"/>
      <c r="E2281" s="202"/>
      <c r="F2281" s="199"/>
      <c r="G2281" s="199"/>
      <c r="H2281" s="199"/>
      <c r="I2281" s="199"/>
    </row>
    <row r="2282">
      <c r="A2282" s="199"/>
      <c r="B2282" s="200"/>
      <c r="C2282" s="201"/>
      <c r="D2282" s="200"/>
      <c r="E2282" s="202"/>
      <c r="F2282" s="199"/>
      <c r="G2282" s="199"/>
      <c r="H2282" s="199"/>
      <c r="I2282" s="199"/>
    </row>
    <row r="2283">
      <c r="A2283" s="199"/>
      <c r="B2283" s="200"/>
      <c r="C2283" s="201"/>
      <c r="D2283" s="200"/>
      <c r="E2283" s="202"/>
      <c r="F2283" s="199"/>
      <c r="G2283" s="199"/>
      <c r="H2283" s="199"/>
      <c r="I2283" s="199"/>
    </row>
    <row r="2284">
      <c r="A2284" s="199"/>
      <c r="B2284" s="200"/>
      <c r="C2284" s="201"/>
      <c r="D2284" s="200"/>
      <c r="E2284" s="202"/>
      <c r="F2284" s="199"/>
      <c r="G2284" s="199"/>
      <c r="H2284" s="199"/>
      <c r="I2284" s="199"/>
    </row>
    <row r="2285">
      <c r="A2285" s="199"/>
      <c r="B2285" s="200"/>
      <c r="C2285" s="201"/>
      <c r="D2285" s="200"/>
      <c r="E2285" s="202"/>
      <c r="F2285" s="199"/>
      <c r="G2285" s="199"/>
      <c r="H2285" s="199"/>
      <c r="I2285" s="199"/>
    </row>
    <row r="2286">
      <c r="A2286" s="199"/>
      <c r="B2286" s="200"/>
      <c r="C2286" s="201"/>
      <c r="D2286" s="200"/>
      <c r="E2286" s="202"/>
      <c r="F2286" s="199"/>
      <c r="G2286" s="199"/>
      <c r="H2286" s="199"/>
      <c r="I2286" s="199"/>
    </row>
    <row r="2287">
      <c r="A2287" s="199"/>
      <c r="B2287" s="200"/>
      <c r="C2287" s="201"/>
      <c r="D2287" s="200"/>
      <c r="E2287" s="202"/>
      <c r="F2287" s="199"/>
      <c r="G2287" s="199"/>
      <c r="H2287" s="199"/>
      <c r="I2287" s="199"/>
    </row>
    <row r="2288">
      <c r="A2288" s="199"/>
      <c r="B2288" s="200"/>
      <c r="C2288" s="201"/>
      <c r="D2288" s="200"/>
      <c r="E2288" s="202"/>
      <c r="F2288" s="199"/>
      <c r="G2288" s="199"/>
      <c r="H2288" s="199"/>
      <c r="I2288" s="199"/>
    </row>
    <row r="2289">
      <c r="A2289" s="199"/>
      <c r="B2289" s="200"/>
      <c r="C2289" s="201"/>
      <c r="D2289" s="200"/>
      <c r="E2289" s="202"/>
      <c r="F2289" s="199"/>
      <c r="G2289" s="199"/>
      <c r="H2289" s="199"/>
      <c r="I2289" s="199"/>
    </row>
    <row r="2290">
      <c r="A2290" s="199"/>
      <c r="B2290" s="200"/>
      <c r="C2290" s="201"/>
      <c r="D2290" s="200"/>
      <c r="E2290" s="202"/>
      <c r="F2290" s="199"/>
      <c r="G2290" s="199"/>
      <c r="H2290" s="199"/>
      <c r="I2290" s="199"/>
    </row>
    <row r="2291">
      <c r="A2291" s="199"/>
      <c r="B2291" s="200"/>
      <c r="C2291" s="201"/>
      <c r="D2291" s="200"/>
      <c r="E2291" s="202"/>
      <c r="F2291" s="199"/>
      <c r="G2291" s="199"/>
      <c r="H2291" s="199"/>
      <c r="I2291" s="199"/>
    </row>
    <row r="2292">
      <c r="A2292" s="199"/>
      <c r="B2292" s="200"/>
      <c r="C2292" s="201"/>
      <c r="D2292" s="200"/>
      <c r="E2292" s="202"/>
      <c r="F2292" s="199"/>
      <c r="G2292" s="199"/>
      <c r="H2292" s="199"/>
      <c r="I2292" s="199"/>
    </row>
    <row r="2293">
      <c r="A2293" s="199"/>
      <c r="B2293" s="200"/>
      <c r="C2293" s="201"/>
      <c r="D2293" s="200"/>
      <c r="E2293" s="202"/>
      <c r="F2293" s="199"/>
      <c r="G2293" s="199"/>
      <c r="H2293" s="199"/>
      <c r="I2293" s="199"/>
    </row>
    <row r="2294">
      <c r="A2294" s="199"/>
      <c r="B2294" s="200"/>
      <c r="C2294" s="201"/>
      <c r="D2294" s="200"/>
      <c r="E2294" s="202"/>
      <c r="F2294" s="199"/>
      <c r="G2294" s="199"/>
      <c r="H2294" s="199"/>
      <c r="I2294" s="199"/>
    </row>
    <row r="2295">
      <c r="A2295" s="199"/>
      <c r="B2295" s="200"/>
      <c r="C2295" s="201"/>
      <c r="D2295" s="200"/>
      <c r="E2295" s="202"/>
      <c r="F2295" s="199"/>
      <c r="G2295" s="199"/>
      <c r="H2295" s="199"/>
      <c r="I2295" s="199"/>
    </row>
    <row r="2296">
      <c r="A2296" s="199"/>
      <c r="B2296" s="200"/>
      <c r="C2296" s="201"/>
      <c r="D2296" s="200"/>
      <c r="E2296" s="202"/>
      <c r="F2296" s="199"/>
      <c r="G2296" s="199"/>
      <c r="H2296" s="199"/>
      <c r="I2296" s="199"/>
    </row>
    <row r="2297">
      <c r="A2297" s="199"/>
      <c r="B2297" s="200"/>
      <c r="C2297" s="201"/>
      <c r="D2297" s="200"/>
      <c r="E2297" s="202"/>
      <c r="F2297" s="199"/>
      <c r="G2297" s="199"/>
      <c r="H2297" s="199"/>
      <c r="I2297" s="199"/>
    </row>
    <row r="2298">
      <c r="A2298" s="199"/>
      <c r="B2298" s="200"/>
      <c r="C2298" s="201"/>
      <c r="D2298" s="200"/>
      <c r="E2298" s="202"/>
      <c r="F2298" s="199"/>
      <c r="G2298" s="199"/>
      <c r="H2298" s="199"/>
      <c r="I2298" s="199"/>
    </row>
    <row r="2299">
      <c r="A2299" s="199"/>
      <c r="B2299" s="200"/>
      <c r="C2299" s="201"/>
      <c r="D2299" s="200"/>
      <c r="E2299" s="202"/>
      <c r="F2299" s="199"/>
      <c r="G2299" s="199"/>
      <c r="H2299" s="199"/>
      <c r="I2299" s="199"/>
    </row>
    <row r="2300">
      <c r="A2300" s="199"/>
      <c r="B2300" s="200"/>
      <c r="C2300" s="201"/>
      <c r="D2300" s="200"/>
      <c r="E2300" s="202"/>
      <c r="F2300" s="199"/>
      <c r="G2300" s="199"/>
      <c r="H2300" s="199"/>
      <c r="I2300" s="199"/>
    </row>
    <row r="2301">
      <c r="A2301" s="199"/>
      <c r="B2301" s="200"/>
      <c r="C2301" s="201"/>
      <c r="D2301" s="200"/>
      <c r="E2301" s="202"/>
      <c r="F2301" s="199"/>
      <c r="G2301" s="199"/>
      <c r="H2301" s="199"/>
      <c r="I2301" s="199"/>
    </row>
    <row r="2302">
      <c r="A2302" s="199"/>
      <c r="B2302" s="200"/>
      <c r="C2302" s="201"/>
      <c r="D2302" s="200"/>
      <c r="E2302" s="202"/>
      <c r="F2302" s="199"/>
      <c r="G2302" s="199"/>
      <c r="H2302" s="199"/>
      <c r="I2302" s="199"/>
    </row>
    <row r="2303">
      <c r="A2303" s="199"/>
      <c r="B2303" s="200"/>
      <c r="C2303" s="201"/>
      <c r="D2303" s="200"/>
      <c r="E2303" s="202"/>
      <c r="F2303" s="199"/>
      <c r="G2303" s="199"/>
      <c r="H2303" s="199"/>
      <c r="I2303" s="199"/>
    </row>
    <row r="2304">
      <c r="A2304" s="199"/>
      <c r="B2304" s="200"/>
      <c r="C2304" s="201"/>
      <c r="D2304" s="200"/>
      <c r="E2304" s="202"/>
      <c r="F2304" s="199"/>
      <c r="G2304" s="199"/>
      <c r="H2304" s="199"/>
      <c r="I2304" s="199"/>
    </row>
    <row r="2305">
      <c r="A2305" s="199"/>
      <c r="B2305" s="200"/>
      <c r="C2305" s="201"/>
      <c r="D2305" s="200"/>
      <c r="E2305" s="202"/>
      <c r="F2305" s="199"/>
      <c r="G2305" s="199"/>
      <c r="H2305" s="199"/>
      <c r="I2305" s="199"/>
    </row>
    <row r="2306">
      <c r="A2306" s="199"/>
      <c r="B2306" s="200"/>
      <c r="C2306" s="201"/>
      <c r="D2306" s="200"/>
      <c r="E2306" s="202"/>
      <c r="F2306" s="199"/>
      <c r="G2306" s="199"/>
      <c r="H2306" s="199"/>
      <c r="I2306" s="199"/>
    </row>
    <row r="2307">
      <c r="A2307" s="199"/>
      <c r="B2307" s="200"/>
      <c r="C2307" s="201"/>
      <c r="D2307" s="200"/>
      <c r="E2307" s="202"/>
      <c r="F2307" s="199"/>
      <c r="G2307" s="199"/>
      <c r="H2307" s="199"/>
      <c r="I2307" s="199"/>
    </row>
    <row r="2308">
      <c r="A2308" s="199"/>
      <c r="B2308" s="200"/>
      <c r="C2308" s="201"/>
      <c r="D2308" s="200"/>
      <c r="E2308" s="202"/>
      <c r="F2308" s="199"/>
      <c r="G2308" s="199"/>
      <c r="H2308" s="199"/>
      <c r="I2308" s="199"/>
    </row>
    <row r="2309">
      <c r="A2309" s="199"/>
      <c r="B2309" s="200"/>
      <c r="C2309" s="201"/>
      <c r="D2309" s="200"/>
      <c r="E2309" s="202"/>
      <c r="F2309" s="199"/>
      <c r="G2309" s="199"/>
      <c r="H2309" s="199"/>
      <c r="I2309" s="199"/>
    </row>
    <row r="2310">
      <c r="A2310" s="199"/>
      <c r="B2310" s="200"/>
      <c r="C2310" s="201"/>
      <c r="D2310" s="200"/>
      <c r="E2310" s="202"/>
      <c r="F2310" s="199"/>
      <c r="G2310" s="199"/>
      <c r="H2310" s="199"/>
      <c r="I2310" s="199"/>
    </row>
    <row r="2311">
      <c r="A2311" s="199"/>
      <c r="B2311" s="200"/>
      <c r="C2311" s="201"/>
      <c r="D2311" s="200"/>
      <c r="E2311" s="202"/>
      <c r="F2311" s="199"/>
      <c r="G2311" s="199"/>
      <c r="H2311" s="199"/>
      <c r="I2311" s="199"/>
    </row>
    <row r="2312">
      <c r="A2312" s="199"/>
      <c r="B2312" s="200"/>
      <c r="C2312" s="201"/>
      <c r="D2312" s="200"/>
      <c r="E2312" s="202"/>
      <c r="F2312" s="199"/>
      <c r="G2312" s="199"/>
      <c r="H2312" s="199"/>
      <c r="I2312" s="199"/>
    </row>
    <row r="2313">
      <c r="A2313" s="199"/>
      <c r="B2313" s="200"/>
      <c r="C2313" s="201"/>
      <c r="D2313" s="200"/>
      <c r="E2313" s="202"/>
      <c r="F2313" s="199"/>
      <c r="G2313" s="199"/>
      <c r="H2313" s="199"/>
      <c r="I2313" s="199"/>
    </row>
    <row r="2314">
      <c r="A2314" s="199"/>
      <c r="B2314" s="200"/>
      <c r="C2314" s="201"/>
      <c r="D2314" s="200"/>
      <c r="E2314" s="202"/>
      <c r="F2314" s="199"/>
      <c r="G2314" s="199"/>
      <c r="H2314" s="199"/>
      <c r="I2314" s="199"/>
    </row>
    <row r="2315">
      <c r="A2315" s="199"/>
      <c r="B2315" s="200"/>
      <c r="C2315" s="201"/>
      <c r="D2315" s="200"/>
      <c r="E2315" s="202"/>
      <c r="F2315" s="199"/>
      <c r="G2315" s="199"/>
      <c r="H2315" s="199"/>
      <c r="I2315" s="199"/>
    </row>
    <row r="2316">
      <c r="A2316" s="199"/>
      <c r="B2316" s="200"/>
      <c r="C2316" s="201"/>
      <c r="D2316" s="200"/>
      <c r="E2316" s="202"/>
      <c r="F2316" s="199"/>
      <c r="G2316" s="199"/>
      <c r="H2316" s="199"/>
      <c r="I2316" s="199"/>
    </row>
    <row r="2317">
      <c r="A2317" s="199"/>
      <c r="B2317" s="200"/>
      <c r="C2317" s="201"/>
      <c r="D2317" s="200"/>
      <c r="E2317" s="202"/>
      <c r="F2317" s="199"/>
      <c r="G2317" s="199"/>
      <c r="H2317" s="199"/>
      <c r="I2317" s="199"/>
    </row>
    <row r="2318">
      <c r="A2318" s="199"/>
      <c r="B2318" s="200"/>
      <c r="C2318" s="201"/>
      <c r="D2318" s="200"/>
      <c r="E2318" s="202"/>
      <c r="F2318" s="199"/>
      <c r="G2318" s="199"/>
      <c r="H2318" s="199"/>
      <c r="I2318" s="199"/>
    </row>
    <row r="2319">
      <c r="A2319" s="199"/>
      <c r="B2319" s="200"/>
      <c r="C2319" s="201"/>
      <c r="D2319" s="200"/>
      <c r="E2319" s="202"/>
      <c r="F2319" s="199"/>
      <c r="G2319" s="199"/>
      <c r="H2319" s="199"/>
      <c r="I2319" s="199"/>
    </row>
    <row r="2320">
      <c r="A2320" s="199"/>
      <c r="B2320" s="200"/>
      <c r="C2320" s="201"/>
      <c r="D2320" s="200"/>
      <c r="E2320" s="202"/>
      <c r="F2320" s="199"/>
      <c r="G2320" s="199"/>
      <c r="H2320" s="199"/>
      <c r="I2320" s="199"/>
    </row>
    <row r="2321">
      <c r="A2321" s="199"/>
      <c r="B2321" s="200"/>
      <c r="C2321" s="201"/>
      <c r="D2321" s="200"/>
      <c r="E2321" s="202"/>
      <c r="F2321" s="199"/>
      <c r="G2321" s="199"/>
      <c r="H2321" s="199"/>
      <c r="I2321" s="199"/>
    </row>
    <row r="2322">
      <c r="A2322" s="199"/>
      <c r="B2322" s="200"/>
      <c r="C2322" s="201"/>
      <c r="D2322" s="200"/>
      <c r="E2322" s="202"/>
      <c r="F2322" s="199"/>
      <c r="G2322" s="199"/>
      <c r="H2322" s="199"/>
      <c r="I2322" s="199"/>
    </row>
    <row r="2323">
      <c r="A2323" s="199"/>
      <c r="B2323" s="200"/>
      <c r="C2323" s="201"/>
      <c r="D2323" s="200"/>
      <c r="E2323" s="202"/>
      <c r="F2323" s="199"/>
      <c r="G2323" s="199"/>
      <c r="H2323" s="199"/>
      <c r="I2323" s="199"/>
    </row>
    <row r="2324">
      <c r="A2324" s="199"/>
      <c r="B2324" s="200"/>
      <c r="C2324" s="201"/>
      <c r="D2324" s="200"/>
      <c r="E2324" s="202"/>
      <c r="F2324" s="199"/>
      <c r="G2324" s="199"/>
      <c r="H2324" s="199"/>
      <c r="I2324" s="199"/>
    </row>
    <row r="2325">
      <c r="A2325" s="199"/>
      <c r="B2325" s="200"/>
      <c r="C2325" s="201"/>
      <c r="D2325" s="200"/>
      <c r="E2325" s="202"/>
      <c r="F2325" s="199"/>
      <c r="G2325" s="199"/>
      <c r="H2325" s="199"/>
      <c r="I2325" s="199"/>
    </row>
    <row r="2326">
      <c r="A2326" s="199"/>
      <c r="B2326" s="200"/>
      <c r="C2326" s="201"/>
      <c r="D2326" s="200"/>
      <c r="E2326" s="202"/>
      <c r="F2326" s="199"/>
      <c r="G2326" s="199"/>
      <c r="H2326" s="199"/>
      <c r="I2326" s="199"/>
    </row>
    <row r="2327">
      <c r="A2327" s="199"/>
      <c r="B2327" s="200"/>
      <c r="C2327" s="201"/>
      <c r="D2327" s="200"/>
      <c r="E2327" s="202"/>
      <c r="F2327" s="199"/>
      <c r="G2327" s="199"/>
      <c r="H2327" s="199"/>
      <c r="I2327" s="199"/>
    </row>
    <row r="2328">
      <c r="A2328" s="199"/>
      <c r="B2328" s="200"/>
      <c r="C2328" s="201"/>
      <c r="D2328" s="200"/>
      <c r="E2328" s="202"/>
      <c r="F2328" s="199"/>
      <c r="G2328" s="199"/>
      <c r="H2328" s="199"/>
      <c r="I2328" s="199"/>
    </row>
    <row r="2329">
      <c r="A2329" s="199"/>
      <c r="B2329" s="200"/>
      <c r="C2329" s="201"/>
      <c r="D2329" s="200"/>
      <c r="E2329" s="202"/>
      <c r="F2329" s="199"/>
      <c r="G2329" s="199"/>
      <c r="H2329" s="199"/>
      <c r="I2329" s="199"/>
    </row>
    <row r="2330">
      <c r="A2330" s="199"/>
      <c r="B2330" s="200"/>
      <c r="C2330" s="201"/>
      <c r="D2330" s="200"/>
      <c r="E2330" s="202"/>
      <c r="F2330" s="199"/>
      <c r="G2330" s="199"/>
      <c r="H2330" s="199"/>
      <c r="I2330" s="199"/>
    </row>
    <row r="2331">
      <c r="A2331" s="199"/>
      <c r="B2331" s="200"/>
      <c r="C2331" s="201"/>
      <c r="D2331" s="200"/>
      <c r="E2331" s="202"/>
      <c r="F2331" s="199"/>
      <c r="G2331" s="199"/>
      <c r="H2331" s="199"/>
      <c r="I2331" s="199"/>
    </row>
    <row r="2332">
      <c r="A2332" s="199"/>
      <c r="B2332" s="200"/>
      <c r="C2332" s="201"/>
      <c r="D2332" s="200"/>
      <c r="E2332" s="202"/>
      <c r="F2332" s="199"/>
      <c r="G2332" s="199"/>
      <c r="H2332" s="199"/>
      <c r="I2332" s="199"/>
    </row>
    <row r="2333">
      <c r="A2333" s="199"/>
      <c r="B2333" s="200"/>
      <c r="C2333" s="201"/>
      <c r="D2333" s="200"/>
      <c r="E2333" s="202"/>
      <c r="F2333" s="199"/>
      <c r="G2333" s="199"/>
      <c r="H2333" s="199"/>
      <c r="I2333" s="199"/>
    </row>
    <row r="2334">
      <c r="A2334" s="199"/>
      <c r="B2334" s="200"/>
      <c r="C2334" s="201"/>
      <c r="D2334" s="200"/>
      <c r="E2334" s="202"/>
      <c r="F2334" s="199"/>
      <c r="G2334" s="199"/>
      <c r="H2334" s="199"/>
      <c r="I2334" s="199"/>
    </row>
    <row r="2335">
      <c r="A2335" s="199"/>
      <c r="B2335" s="200"/>
      <c r="C2335" s="201"/>
      <c r="D2335" s="200"/>
      <c r="E2335" s="202"/>
      <c r="F2335" s="199"/>
      <c r="G2335" s="199"/>
      <c r="H2335" s="199"/>
      <c r="I2335" s="199"/>
    </row>
    <row r="2336">
      <c r="A2336" s="199"/>
      <c r="B2336" s="200"/>
      <c r="C2336" s="201"/>
      <c r="D2336" s="200"/>
      <c r="E2336" s="202"/>
      <c r="F2336" s="199"/>
      <c r="G2336" s="199"/>
      <c r="H2336" s="199"/>
      <c r="I2336" s="199"/>
    </row>
    <row r="2337">
      <c r="A2337" s="199"/>
      <c r="B2337" s="200"/>
      <c r="C2337" s="201"/>
      <c r="D2337" s="200"/>
      <c r="E2337" s="202"/>
      <c r="F2337" s="199"/>
      <c r="G2337" s="199"/>
      <c r="H2337" s="199"/>
      <c r="I2337" s="199"/>
    </row>
    <row r="2338">
      <c r="A2338" s="199"/>
      <c r="B2338" s="200"/>
      <c r="C2338" s="201"/>
      <c r="D2338" s="200"/>
      <c r="E2338" s="202"/>
      <c r="F2338" s="199"/>
      <c r="G2338" s="199"/>
      <c r="H2338" s="199"/>
      <c r="I2338" s="199"/>
    </row>
    <row r="2339">
      <c r="A2339" s="199"/>
      <c r="B2339" s="200"/>
      <c r="C2339" s="201"/>
      <c r="D2339" s="200"/>
      <c r="E2339" s="202"/>
      <c r="F2339" s="199"/>
      <c r="G2339" s="199"/>
      <c r="H2339" s="199"/>
      <c r="I2339" s="199"/>
    </row>
    <row r="2340">
      <c r="A2340" s="199"/>
      <c r="B2340" s="200"/>
      <c r="C2340" s="201"/>
      <c r="D2340" s="200"/>
      <c r="E2340" s="202"/>
      <c r="F2340" s="199"/>
      <c r="G2340" s="199"/>
      <c r="H2340" s="199"/>
      <c r="I2340" s="199"/>
    </row>
    <row r="2341">
      <c r="A2341" s="199"/>
      <c r="B2341" s="200"/>
      <c r="C2341" s="201"/>
      <c r="D2341" s="200"/>
      <c r="E2341" s="202"/>
      <c r="F2341" s="199"/>
      <c r="G2341" s="199"/>
      <c r="H2341" s="199"/>
      <c r="I2341" s="199"/>
    </row>
    <row r="2342">
      <c r="A2342" s="199"/>
      <c r="B2342" s="200"/>
      <c r="C2342" s="201"/>
      <c r="D2342" s="200"/>
      <c r="E2342" s="202"/>
      <c r="F2342" s="199"/>
      <c r="G2342" s="199"/>
      <c r="H2342" s="199"/>
      <c r="I2342" s="199"/>
    </row>
    <row r="2343">
      <c r="A2343" s="199"/>
      <c r="B2343" s="200"/>
      <c r="C2343" s="201"/>
      <c r="D2343" s="200"/>
      <c r="E2343" s="202"/>
      <c r="F2343" s="199"/>
      <c r="G2343" s="199"/>
      <c r="H2343" s="199"/>
      <c r="I2343" s="199"/>
    </row>
    <row r="2344">
      <c r="A2344" s="199"/>
      <c r="B2344" s="200"/>
      <c r="C2344" s="201"/>
      <c r="D2344" s="200"/>
      <c r="E2344" s="202"/>
      <c r="F2344" s="199"/>
      <c r="G2344" s="199"/>
      <c r="H2344" s="199"/>
      <c r="I2344" s="199"/>
    </row>
    <row r="2345">
      <c r="A2345" s="199"/>
      <c r="B2345" s="200"/>
      <c r="C2345" s="201"/>
      <c r="D2345" s="200"/>
      <c r="E2345" s="202"/>
      <c r="F2345" s="199"/>
      <c r="G2345" s="199"/>
      <c r="H2345" s="199"/>
      <c r="I2345" s="199"/>
    </row>
    <row r="2346">
      <c r="A2346" s="199"/>
      <c r="B2346" s="200"/>
      <c r="C2346" s="201"/>
      <c r="D2346" s="200"/>
      <c r="E2346" s="202"/>
      <c r="F2346" s="199"/>
      <c r="G2346" s="199"/>
      <c r="H2346" s="199"/>
      <c r="I2346" s="199"/>
    </row>
    <row r="2347">
      <c r="A2347" s="199"/>
      <c r="B2347" s="200"/>
      <c r="C2347" s="201"/>
      <c r="D2347" s="200"/>
      <c r="E2347" s="202"/>
      <c r="F2347" s="199"/>
      <c r="G2347" s="199"/>
      <c r="H2347" s="199"/>
      <c r="I2347" s="199"/>
    </row>
    <row r="2348">
      <c r="A2348" s="199"/>
      <c r="B2348" s="200"/>
      <c r="C2348" s="201"/>
      <c r="D2348" s="200"/>
      <c r="E2348" s="202"/>
      <c r="F2348" s="199"/>
      <c r="G2348" s="199"/>
      <c r="H2348" s="199"/>
      <c r="I2348" s="199"/>
    </row>
    <row r="2349">
      <c r="A2349" s="199"/>
      <c r="B2349" s="200"/>
      <c r="C2349" s="201"/>
      <c r="D2349" s="200"/>
      <c r="E2349" s="202"/>
      <c r="F2349" s="199"/>
      <c r="G2349" s="199"/>
      <c r="H2349" s="199"/>
      <c r="I2349" s="199"/>
    </row>
    <row r="2350">
      <c r="A2350" s="199"/>
      <c r="B2350" s="200"/>
      <c r="C2350" s="201"/>
      <c r="D2350" s="200"/>
      <c r="E2350" s="202"/>
      <c r="F2350" s="199"/>
      <c r="G2350" s="199"/>
      <c r="H2350" s="199"/>
      <c r="I2350" s="199"/>
    </row>
    <row r="2351">
      <c r="A2351" s="199"/>
      <c r="B2351" s="200"/>
      <c r="C2351" s="201"/>
      <c r="D2351" s="200"/>
      <c r="E2351" s="202"/>
      <c r="F2351" s="199"/>
      <c r="G2351" s="199"/>
      <c r="H2351" s="199"/>
      <c r="I2351" s="199"/>
    </row>
    <row r="2352">
      <c r="A2352" s="199"/>
      <c r="B2352" s="200"/>
      <c r="C2352" s="201"/>
      <c r="D2352" s="200"/>
      <c r="E2352" s="202"/>
      <c r="F2352" s="199"/>
      <c r="G2352" s="199"/>
      <c r="H2352" s="199"/>
      <c r="I2352" s="199"/>
    </row>
    <row r="2353">
      <c r="A2353" s="199"/>
      <c r="B2353" s="200"/>
      <c r="C2353" s="201"/>
      <c r="D2353" s="200"/>
      <c r="E2353" s="202"/>
      <c r="F2353" s="199"/>
      <c r="G2353" s="199"/>
      <c r="H2353" s="199"/>
      <c r="I2353" s="199"/>
    </row>
    <row r="2354">
      <c r="A2354" s="199"/>
      <c r="B2354" s="200"/>
      <c r="C2354" s="201"/>
      <c r="D2354" s="200"/>
      <c r="E2354" s="202"/>
      <c r="F2354" s="199"/>
      <c r="G2354" s="199"/>
      <c r="H2354" s="199"/>
      <c r="I2354" s="199"/>
    </row>
    <row r="2355">
      <c r="A2355" s="199"/>
      <c r="B2355" s="200"/>
      <c r="C2355" s="201"/>
      <c r="D2355" s="200"/>
      <c r="E2355" s="202"/>
      <c r="F2355" s="199"/>
      <c r="G2355" s="199"/>
      <c r="H2355" s="199"/>
      <c r="I2355" s="199"/>
    </row>
    <row r="2356">
      <c r="A2356" s="199"/>
      <c r="B2356" s="200"/>
      <c r="C2356" s="201"/>
      <c r="D2356" s="200"/>
      <c r="E2356" s="202"/>
      <c r="F2356" s="199"/>
      <c r="G2356" s="199"/>
      <c r="H2356" s="199"/>
      <c r="I2356" s="199"/>
    </row>
    <row r="2357">
      <c r="A2357" s="199"/>
      <c r="B2357" s="200"/>
      <c r="C2357" s="201"/>
      <c r="D2357" s="200"/>
      <c r="E2357" s="202"/>
      <c r="F2357" s="199"/>
      <c r="G2357" s="199"/>
      <c r="H2357" s="199"/>
      <c r="I2357" s="199"/>
    </row>
    <row r="2358">
      <c r="A2358" s="199"/>
      <c r="B2358" s="200"/>
      <c r="C2358" s="201"/>
      <c r="D2358" s="200"/>
      <c r="E2358" s="202"/>
      <c r="F2358" s="199"/>
      <c r="G2358" s="199"/>
      <c r="H2358" s="199"/>
      <c r="I2358" s="199"/>
    </row>
    <row r="2359">
      <c r="A2359" s="199"/>
      <c r="B2359" s="200"/>
      <c r="C2359" s="201"/>
      <c r="D2359" s="200"/>
      <c r="E2359" s="202"/>
      <c r="F2359" s="199"/>
      <c r="G2359" s="199"/>
      <c r="H2359" s="199"/>
      <c r="I2359" s="199"/>
    </row>
    <row r="2360">
      <c r="A2360" s="199"/>
      <c r="B2360" s="200"/>
      <c r="C2360" s="201"/>
      <c r="D2360" s="200"/>
      <c r="E2360" s="202"/>
      <c r="F2360" s="199"/>
      <c r="G2360" s="199"/>
      <c r="H2360" s="199"/>
      <c r="I2360" s="199"/>
    </row>
    <row r="2361">
      <c r="A2361" s="199"/>
      <c r="B2361" s="200"/>
      <c r="C2361" s="201"/>
      <c r="D2361" s="200"/>
      <c r="E2361" s="202"/>
      <c r="F2361" s="199"/>
      <c r="G2361" s="199"/>
      <c r="H2361" s="199"/>
      <c r="I2361" s="199"/>
    </row>
    <row r="2362">
      <c r="A2362" s="199"/>
      <c r="B2362" s="200"/>
      <c r="C2362" s="201"/>
      <c r="D2362" s="200"/>
      <c r="E2362" s="202"/>
      <c r="F2362" s="199"/>
      <c r="G2362" s="199"/>
      <c r="H2362" s="199"/>
      <c r="I2362" s="199"/>
    </row>
    <row r="2363">
      <c r="A2363" s="199"/>
      <c r="B2363" s="200"/>
      <c r="C2363" s="201"/>
      <c r="D2363" s="200"/>
      <c r="E2363" s="202"/>
      <c r="F2363" s="199"/>
      <c r="G2363" s="199"/>
      <c r="H2363" s="199"/>
      <c r="I2363" s="199"/>
    </row>
    <row r="2364">
      <c r="A2364" s="199"/>
      <c r="B2364" s="200"/>
      <c r="C2364" s="201"/>
      <c r="D2364" s="200"/>
      <c r="E2364" s="202"/>
      <c r="F2364" s="199"/>
      <c r="G2364" s="199"/>
      <c r="H2364" s="199"/>
      <c r="I2364" s="199"/>
    </row>
    <row r="2365">
      <c r="A2365" s="199"/>
      <c r="B2365" s="200"/>
      <c r="C2365" s="201"/>
      <c r="D2365" s="200"/>
      <c r="E2365" s="202"/>
      <c r="F2365" s="199"/>
      <c r="G2365" s="199"/>
      <c r="H2365" s="199"/>
      <c r="I2365" s="199"/>
    </row>
    <row r="2366">
      <c r="A2366" s="199"/>
      <c r="B2366" s="200"/>
      <c r="C2366" s="201"/>
      <c r="D2366" s="200"/>
      <c r="E2366" s="202"/>
      <c r="F2366" s="199"/>
      <c r="G2366" s="199"/>
      <c r="H2366" s="199"/>
      <c r="I2366" s="199"/>
    </row>
    <row r="2367">
      <c r="A2367" s="199"/>
      <c r="B2367" s="200"/>
      <c r="C2367" s="201"/>
      <c r="D2367" s="200"/>
      <c r="E2367" s="202"/>
      <c r="F2367" s="199"/>
      <c r="G2367" s="199"/>
      <c r="H2367" s="199"/>
      <c r="I2367" s="199"/>
    </row>
    <row r="2368">
      <c r="A2368" s="199"/>
      <c r="B2368" s="200"/>
      <c r="C2368" s="201"/>
      <c r="D2368" s="200"/>
      <c r="E2368" s="202"/>
      <c r="F2368" s="199"/>
      <c r="G2368" s="199"/>
      <c r="H2368" s="199"/>
      <c r="I2368" s="199"/>
    </row>
    <row r="2369">
      <c r="A2369" s="199"/>
      <c r="B2369" s="200"/>
      <c r="C2369" s="201"/>
      <c r="D2369" s="200"/>
      <c r="E2369" s="202"/>
      <c r="F2369" s="199"/>
      <c r="G2369" s="199"/>
      <c r="H2369" s="199"/>
      <c r="I2369" s="199"/>
    </row>
    <row r="2370">
      <c r="A2370" s="199"/>
      <c r="B2370" s="200"/>
      <c r="C2370" s="201"/>
      <c r="D2370" s="200"/>
      <c r="E2370" s="202"/>
      <c r="F2370" s="199"/>
      <c r="G2370" s="199"/>
      <c r="H2370" s="199"/>
      <c r="I2370" s="199"/>
    </row>
    <row r="2371">
      <c r="A2371" s="199"/>
      <c r="B2371" s="200"/>
      <c r="C2371" s="201"/>
      <c r="D2371" s="200"/>
      <c r="E2371" s="202"/>
      <c r="F2371" s="199"/>
      <c r="G2371" s="199"/>
      <c r="H2371" s="199"/>
      <c r="I2371" s="199"/>
    </row>
    <row r="2372">
      <c r="A2372" s="199"/>
      <c r="B2372" s="200"/>
      <c r="C2372" s="201"/>
      <c r="D2372" s="200"/>
      <c r="E2372" s="202"/>
      <c r="F2372" s="199"/>
      <c r="G2372" s="199"/>
      <c r="H2372" s="199"/>
      <c r="I2372" s="199"/>
    </row>
    <row r="2373">
      <c r="A2373" s="199"/>
      <c r="B2373" s="200"/>
      <c r="C2373" s="201"/>
      <c r="D2373" s="200"/>
      <c r="E2373" s="202"/>
      <c r="F2373" s="199"/>
      <c r="G2373" s="199"/>
      <c r="H2373" s="199"/>
      <c r="I2373" s="199"/>
    </row>
    <row r="2374">
      <c r="A2374" s="199"/>
      <c r="B2374" s="200"/>
      <c r="C2374" s="201"/>
      <c r="D2374" s="200"/>
      <c r="E2374" s="202"/>
      <c r="F2374" s="199"/>
      <c r="G2374" s="199"/>
      <c r="H2374" s="199"/>
      <c r="I2374" s="199"/>
    </row>
    <row r="2375">
      <c r="A2375" s="199"/>
      <c r="B2375" s="200"/>
      <c r="C2375" s="201"/>
      <c r="D2375" s="200"/>
      <c r="E2375" s="202"/>
      <c r="F2375" s="199"/>
      <c r="G2375" s="199"/>
      <c r="H2375" s="199"/>
      <c r="I2375" s="199"/>
    </row>
    <row r="2376">
      <c r="A2376" s="199"/>
      <c r="B2376" s="200"/>
      <c r="C2376" s="201"/>
      <c r="D2376" s="200"/>
      <c r="E2376" s="202"/>
      <c r="F2376" s="199"/>
      <c r="G2376" s="199"/>
      <c r="H2376" s="199"/>
      <c r="I2376" s="199"/>
    </row>
    <row r="2377">
      <c r="A2377" s="199"/>
      <c r="B2377" s="200"/>
      <c r="C2377" s="201"/>
      <c r="D2377" s="200"/>
      <c r="E2377" s="202"/>
      <c r="F2377" s="199"/>
      <c r="G2377" s="199"/>
      <c r="H2377" s="199"/>
      <c r="I2377" s="199"/>
    </row>
    <row r="2378">
      <c r="A2378" s="199"/>
      <c r="B2378" s="200"/>
      <c r="C2378" s="201"/>
      <c r="D2378" s="200"/>
      <c r="E2378" s="202"/>
      <c r="F2378" s="199"/>
      <c r="G2378" s="199"/>
      <c r="H2378" s="199"/>
      <c r="I2378" s="199"/>
    </row>
    <row r="2379">
      <c r="A2379" s="199"/>
      <c r="B2379" s="200"/>
      <c r="C2379" s="201"/>
      <c r="D2379" s="200"/>
      <c r="E2379" s="202"/>
      <c r="F2379" s="199"/>
      <c r="G2379" s="199"/>
      <c r="H2379" s="199"/>
      <c r="I2379" s="199"/>
    </row>
    <row r="2380">
      <c r="A2380" s="199"/>
      <c r="B2380" s="200"/>
      <c r="C2380" s="201"/>
      <c r="D2380" s="200"/>
      <c r="E2380" s="202"/>
      <c r="F2380" s="199"/>
      <c r="G2380" s="199"/>
      <c r="H2380" s="199"/>
      <c r="I2380" s="199"/>
    </row>
    <row r="2381">
      <c r="A2381" s="199"/>
      <c r="B2381" s="200"/>
      <c r="C2381" s="201"/>
      <c r="D2381" s="200"/>
      <c r="E2381" s="202"/>
      <c r="F2381" s="199"/>
      <c r="G2381" s="199"/>
      <c r="H2381" s="199"/>
      <c r="I2381" s="199"/>
    </row>
    <row r="2382">
      <c r="A2382" s="199"/>
      <c r="B2382" s="200"/>
      <c r="C2382" s="201"/>
      <c r="D2382" s="200"/>
      <c r="E2382" s="202"/>
      <c r="F2382" s="199"/>
      <c r="G2382" s="199"/>
      <c r="H2382" s="199"/>
      <c r="I2382" s="199"/>
    </row>
    <row r="2383">
      <c r="A2383" s="199"/>
      <c r="B2383" s="200"/>
      <c r="C2383" s="201"/>
      <c r="D2383" s="200"/>
      <c r="E2383" s="202"/>
      <c r="F2383" s="199"/>
      <c r="G2383" s="199"/>
      <c r="H2383" s="199"/>
      <c r="I2383" s="199"/>
    </row>
    <row r="2384">
      <c r="A2384" s="199"/>
      <c r="B2384" s="200"/>
      <c r="C2384" s="201"/>
      <c r="D2384" s="200"/>
      <c r="E2384" s="202"/>
      <c r="F2384" s="199"/>
      <c r="G2384" s="199"/>
      <c r="H2384" s="199"/>
      <c r="I2384" s="199"/>
    </row>
    <row r="2385">
      <c r="A2385" s="199"/>
      <c r="B2385" s="200"/>
      <c r="C2385" s="201"/>
      <c r="D2385" s="200"/>
      <c r="E2385" s="202"/>
      <c r="F2385" s="199"/>
      <c r="G2385" s="199"/>
      <c r="H2385" s="199"/>
      <c r="I2385" s="199"/>
    </row>
    <row r="2386">
      <c r="A2386" s="199"/>
      <c r="B2386" s="200"/>
      <c r="C2386" s="201"/>
      <c r="D2386" s="200"/>
      <c r="E2386" s="202"/>
      <c r="F2386" s="199"/>
      <c r="G2386" s="199"/>
      <c r="H2386" s="199"/>
      <c r="I2386" s="199"/>
    </row>
    <row r="2387">
      <c r="A2387" s="199"/>
      <c r="B2387" s="200"/>
      <c r="C2387" s="201"/>
      <c r="D2387" s="200"/>
      <c r="E2387" s="202"/>
      <c r="F2387" s="199"/>
      <c r="G2387" s="199"/>
      <c r="H2387" s="199"/>
      <c r="I2387" s="199"/>
    </row>
    <row r="2388">
      <c r="A2388" s="199"/>
      <c r="B2388" s="200"/>
      <c r="C2388" s="201"/>
      <c r="D2388" s="200"/>
      <c r="E2388" s="202"/>
      <c r="F2388" s="199"/>
      <c r="G2388" s="199"/>
      <c r="H2388" s="199"/>
      <c r="I2388" s="199"/>
    </row>
    <row r="2389">
      <c r="A2389" s="199"/>
      <c r="B2389" s="200"/>
      <c r="C2389" s="201"/>
      <c r="D2389" s="200"/>
      <c r="E2389" s="202"/>
      <c r="F2389" s="199"/>
      <c r="G2389" s="199"/>
      <c r="H2389" s="199"/>
      <c r="I2389" s="199"/>
    </row>
    <row r="2390">
      <c r="A2390" s="199"/>
      <c r="B2390" s="200"/>
      <c r="C2390" s="201"/>
      <c r="D2390" s="200"/>
      <c r="E2390" s="202"/>
      <c r="F2390" s="199"/>
      <c r="G2390" s="199"/>
      <c r="H2390" s="199"/>
      <c r="I2390" s="199"/>
    </row>
    <row r="2391">
      <c r="A2391" s="199"/>
      <c r="B2391" s="200"/>
      <c r="C2391" s="201"/>
      <c r="D2391" s="200"/>
      <c r="E2391" s="202"/>
      <c r="F2391" s="199"/>
      <c r="G2391" s="199"/>
      <c r="H2391" s="199"/>
      <c r="I2391" s="199"/>
    </row>
    <row r="2392">
      <c r="A2392" s="199"/>
      <c r="B2392" s="200"/>
      <c r="C2392" s="201"/>
      <c r="D2392" s="200"/>
      <c r="E2392" s="202"/>
      <c r="F2392" s="199"/>
      <c r="G2392" s="199"/>
      <c r="H2392" s="199"/>
      <c r="I2392" s="199"/>
    </row>
    <row r="2393">
      <c r="A2393" s="199"/>
      <c r="B2393" s="200"/>
      <c r="C2393" s="201"/>
      <c r="D2393" s="200"/>
      <c r="E2393" s="202"/>
      <c r="F2393" s="199"/>
      <c r="G2393" s="199"/>
      <c r="H2393" s="199"/>
      <c r="I2393" s="199"/>
    </row>
    <row r="2394">
      <c r="A2394" s="199"/>
      <c r="B2394" s="200"/>
      <c r="C2394" s="201"/>
      <c r="D2394" s="200"/>
      <c r="E2394" s="202"/>
      <c r="F2394" s="199"/>
      <c r="G2394" s="199"/>
      <c r="H2394" s="199"/>
      <c r="I2394" s="199"/>
    </row>
    <row r="2395">
      <c r="A2395" s="199"/>
      <c r="B2395" s="200"/>
      <c r="C2395" s="201"/>
      <c r="D2395" s="200"/>
      <c r="E2395" s="202"/>
      <c r="F2395" s="199"/>
      <c r="G2395" s="199"/>
      <c r="H2395" s="199"/>
      <c r="I2395" s="199"/>
    </row>
    <row r="2396">
      <c r="A2396" s="199"/>
      <c r="B2396" s="200"/>
      <c r="C2396" s="201"/>
      <c r="D2396" s="200"/>
      <c r="E2396" s="202"/>
      <c r="F2396" s="199"/>
      <c r="G2396" s="199"/>
      <c r="H2396" s="199"/>
      <c r="I2396" s="199"/>
    </row>
    <row r="2397">
      <c r="A2397" s="199"/>
      <c r="B2397" s="200"/>
      <c r="C2397" s="201"/>
      <c r="D2397" s="200"/>
      <c r="E2397" s="202"/>
      <c r="F2397" s="199"/>
      <c r="G2397" s="199"/>
      <c r="H2397" s="199"/>
      <c r="I2397" s="199"/>
    </row>
    <row r="2398">
      <c r="A2398" s="199"/>
      <c r="B2398" s="200"/>
      <c r="C2398" s="201"/>
      <c r="D2398" s="200"/>
      <c r="E2398" s="202"/>
      <c r="F2398" s="199"/>
      <c r="G2398" s="199"/>
      <c r="H2398" s="199"/>
      <c r="I2398" s="199"/>
    </row>
    <row r="2399">
      <c r="A2399" s="199"/>
      <c r="B2399" s="200"/>
      <c r="C2399" s="201"/>
      <c r="D2399" s="200"/>
      <c r="E2399" s="202"/>
      <c r="F2399" s="199"/>
      <c r="G2399" s="199"/>
      <c r="H2399" s="199"/>
      <c r="I2399" s="199"/>
    </row>
    <row r="2400">
      <c r="A2400" s="199"/>
      <c r="B2400" s="200"/>
      <c r="C2400" s="201"/>
      <c r="D2400" s="200"/>
      <c r="E2400" s="202"/>
      <c r="F2400" s="199"/>
      <c r="G2400" s="199"/>
      <c r="H2400" s="199"/>
      <c r="I2400" s="199"/>
    </row>
    <row r="2401">
      <c r="A2401" s="199"/>
      <c r="B2401" s="200"/>
      <c r="C2401" s="201"/>
      <c r="D2401" s="200"/>
      <c r="E2401" s="202"/>
      <c r="F2401" s="199"/>
      <c r="G2401" s="199"/>
      <c r="H2401" s="199"/>
      <c r="I2401" s="199"/>
    </row>
    <row r="2402">
      <c r="A2402" s="199"/>
      <c r="B2402" s="200"/>
      <c r="C2402" s="201"/>
      <c r="D2402" s="200"/>
      <c r="E2402" s="202"/>
      <c r="F2402" s="199"/>
      <c r="G2402" s="199"/>
      <c r="H2402" s="199"/>
      <c r="I2402" s="199"/>
    </row>
    <row r="2403">
      <c r="A2403" s="199"/>
      <c r="B2403" s="200"/>
      <c r="C2403" s="201"/>
      <c r="D2403" s="200"/>
      <c r="E2403" s="202"/>
      <c r="F2403" s="199"/>
      <c r="G2403" s="199"/>
      <c r="H2403" s="199"/>
      <c r="I2403" s="199"/>
    </row>
  </sheetData>
  <conditionalFormatting sqref="B8:C8 B32:C32 B42:C42 B60:C60 B66:C66 B72:C72 B83:C83 B93:C93 B99:C99 B108:C108 B115:C115 B129:C129 B138:C138 B149:C149 B158:C158 B169:C169 B182:C182 B190:C190 B204:C204 B211:C211 B219:C219 B227:C227 B241:C241 B248:C248 B255:C255 B265:C265 B271:C273 B285:C285 B292:C292 B303:C303 B313:C313 B322:C322 B329:C329 B332:C334 B340:C340 B351:C351 B353:B354 C353 B359:C359 B367:C367 B371:C371 B380:B381 C380 B387:C387 B392:C392 B397:C397 B403:C403 B405:B406 C405 B413:C413 B415:B416 C415 B425:C425 B428 B446:C446 B449 B460:C460 B463 B468:C468 B471 B481:C481 B484 B493:C493 A496 B513:C513 A516 B521:C521 A524 B531:C531 A534 B541:C541 A544 B551:C551 A554 B569:C569 A572 B582:C582 A585 B599:C599 A602 B610:C610 B623:C623 A625 B638:C638 B650:C650 A656 B661:C661 A664 B669:C669 A672 B686:C686 A689 B696:C696 A701 B707:C707 A710 B720:C720 A722 B734:C734 A737 B754:C754 A757 B765:C765 A768 B778:C778 A783 B794:C794 A801 B807:C807 A809 B819:C819 A829 B839:C839 A845 B852:C852 A859 B864:C864 A870 B873:C873 A879 B887:C887 B895:C895 A902 B911:C911 A924 B927:C927 A934 B938:C938 A945 B954:C954 A960 B970:C970 B980:C980 B991:C991 B1021:C1021 A1026 B1044:C1044 B1056:C1056 B1065:C1065 B1079:C1079 B1107:C1107 B1123:C1123 B1137:C1137 B1150:C1150 B1166:C1166 B1182:C1182 B1199:C1199 B1209:C1209 B1219:C1219 B1227:C1227 B1243:C1243">
    <cfRule type="timePeriod" dxfId="6" priority="1" timePeriod="today"/>
  </conditionalFormatting>
  <dataValidations>
    <dataValidation type="list" allowBlank="1" sqref="H483:H490">
      <formula1>"MEMPHIS,NASHVILLE,CHATTANOOGA,TALLAHASSEE,ATLANTA,KNOXVILLE,COLUMBUS ,MOBILE,JONESBORO,JACKSON, TN,JACKSONVILLE,SAVANNAH"</formula1>
    </dataValidation>
    <dataValidation type="list" allowBlank="1" sqref="H331 H356 H384 H400 H409:H410">
      <formula1>"MEMPHIS,NASHVILLE,CHATTANOOGA,TALLAHASSEE,ATLANTA,KNOXVILLE,COLUMBUS "</formula1>
    </dataValidation>
    <dataValidation type="list" allowBlank="1" sqref="H940:H951 H1081:H1105 H1405:H1416 H1421:H1427 H1432:H1437 H1442:H1445 H1450:H1461 H1466:H1474 H1479:H1481 H1486:H1498 H1503:H1508 H1513:H1527 H1532:H1542 H1547:H1559 H1564:H1570 H1575:H1582 H1587:H1599 H1604:H1610 H1615:H1616 H1621:H1628 H1633:H1641 H1646:H1664 H1669:H1677 H1682:H1691 H1696:H1708 H1713:H1714 H1719:H1726 H1731:H1741 H1746:H1752 H1757:H1774 H1779:H1796 H1801:H1818">
      <formula1>"MEMPHIS,NASHVILLE,CHATTANOOGA,TALLAHASSEE,ATLANTA,KNOXVILLE,COLUMBUS ,MOBILE,SANANNAH,JONESBORO,JACKSONVILLE ,RALEIGH,JACKSON TN "</formula1>
    </dataValidation>
    <dataValidation allowBlank="1" showDropDown="1" sqref="A2:A5 I2:I5 A10:A12 I10:I12 A18:A29 I18:I29 A34:A39 I34:I39 A44:A57 I44:I57 A62:A63 I62:I63 A68:A69 I68:I69 A74:A80 I74:I80 A85:A90 I85:I90 A95:A96 I95:I96 A101:A105 I101:I105 A110:A111 I110:I111 A117:A126 I117:I126 A131:A135 I131:I135 A140:A146 I140:I146 A151:A155 I151:I155 A160:A166 I160:I166 A171:A179 I171:I179 A184:A187 I184:I187 A192:A201 I192:I201 A206:A208 I206:I208 A213:A216 I213:I216 A221:A224 I221:I224 A229:A238 I229:I238 A243:A245 I243:I245 A250:A252 I250:I252 A257:A262 I257:I262 A267:A270 I267:I270 A275:A282 I275:I282 A287:A289 I287:I289 A294:A300 I294:I300 A305:A310 I305:I310 A315:A326 I315:I326 A331 I331 A336:A348 I336:I348 A353:A356 I353:I356 A361:A368 I361:I368 A373:A384 I373:I384 A389:A394 I389:I394 A399:A400 I399:I400 A405:A410 I405:I410 A415:A422 I415:I422 A427:A442 I427:I442 A448:A457 I448:I457 A462:A465 I462:I465 A470:A478 I470:I478 A483:A490 I483:I490 A495:A510 I495:I510 A515:A518 I515:I518 A523:A528 I523:I528 A533:A538 I533:I538 A543:A548 I543:I548 A553:A566 I553:I566 A571:A579 I571:I579 A584:A596 I584:I596 A601:A607 I601:I607 A612:A620 I612:I620 A625:A635 I625:I635 A640:A647 I640:I647 A652:A658 I652:I658 A663:A666 I663:I666 A671:A683 I671:I683 A688:A693 I688:I693 A698:A704 I698:I704 A709:A717 I709:I717 A722:A731 I722:I731 A736:A751 I736:I751 A756:A762 I756:I762 A767:A775 I767:I775 A780:A791 I780:I791 A796:A804 I796:I804 A809:A816 I809:I816 A821:A836 I821:I836 A841:A849 I841:I849 A854:A861 I854:I861 A866:A870 I866:I870 A875:A884 I875:I884 A889:A892 I889:I892 A897:A908 I897:I908 A913:A924 I913:I924 A929:A935 I929:I935 A940:A951 I940:I951 A956:A967 I956:I967 A972:A977 I972:I977 A982:A988 I982:I988 A993:A1018 I993:I1018 A1023:A1040 I1023:I1040 A1046:A1053 I1046:I1053 A1058:A1062 I1058:I1062 A1067:A1076 I1067:I1076 A1081:A1105 I1081:I1105 A1109:A1120 I1109:I1120 A1125:A1134 I1125:I1134 A1139:A1147 I1139:I1147 A1152:A1163 I1152:I1163 A1168:A1179 I1168:I1179 A1184:A1196 I1184:I1196 A1201:A1206 I1201:I1206 A1211:A1216 I1211:I1216 A1221:A1224 I1221:I1224 A1229:A1240 I1229:I1240 A1245:A1257 I1245:I1257 A1262:A1270 I1262:I1270 A1275:A1278 I1275:I1278 A1283:A1299 I1283:I1299 A1304:A1319 I1304:I1319 A1324:A1337 I1324:I1337 A1342:A1355 I1342:I1355 A1360:A1365 I1360:I1365 A1370:A1379 I1370:I1379 A1384:A1400 I1384:I1400 A1405:A1416 I1405:I1416 A1421:A1427 I1421:I1427 A1432:A1437 I1432:I1437 A1442:A1445 I1442:I1445 A1450:A1461 I1450:I1461 A1466:A1474 I1466:I1474 A1479:A1481 I1479:I1481 A1486:A1498 I1486:I1498 A1503:A1508 I1503:I1508 A1513:A1527 I1513:I1527 A1532:A1542 I1532:I1542 A1547:A1559 I1547:I1559 A1564:A1570 I1564:I1570 A1575:A1582 I1575:I1582 A1587:A1599 I1587:I1599 A1604:A1610 I1604:I1610 A1615:A1616 I1615:I1616 A1621:A1628 I1621:I1628 A1633:A1641 I1633:I1641 A1646:A1664 I1646:I1664 A1669:A1677 I1669:I1677 A1682:A1691 I1682:I1691 A1696:A1708 I1696:I1708 A1713:A1714 I1713:I1714 A1719:A1726 I1719:I1726 A1731:A1741 I1731:I1741 A1746:A1752 I1746:I1752 A1757:A1774 I1757:I1774 A1779:A1796 I1779:I1796 A1801:A1818 I1801:I1818"/>
    <dataValidation type="list" allowBlank="1" sqref="H95:H96 H101:H105 H110:H111">
      <formula1>"MEMPHIS,NASHVILLE,CHATTANOOGA,TALLAHASSEE,ATLANTA,KNOXVILLE,RALEIGH"</formula1>
    </dataValidation>
    <dataValidation type="list" allowBlank="1" sqref="H571:H579">
      <formula1>"MEMPHIS,NASHVILLE,CHATTANOOGA,TALLAHASSEE,ATLANTA,KNOXVILLE,COLUMBUS ,MOBILE,SANANNAH,JONESBORO,JACKSON TN "</formula1>
    </dataValidation>
    <dataValidation type="list" allowBlank="1" sqref="D1486:D1498">
      <formula1>"Pending,Cancelled,Shipped,Returned,Refunded,Not Refunded"</formula1>
    </dataValidation>
    <dataValidation type="list" allowBlank="1" sqref="H117:H125 H131:H133 H135 H141 H144:H146 H152 H155 H161 H164:H166 H172 H175:H179 H185:H186 H193:H194 H201 H207:H208 H215:H216 H231:H237 H269 H296 H307 H324:H326 H342:H344">
      <formula1>"MEMPHIS,NASHVILLE,CHATTANOOGA,TALLAHASSEE,ATLANTA,KNOXVILLE,RALEIGH"</formula1>
    </dataValidation>
    <dataValidation type="list" allowBlank="1" sqref="G2:G5 G10:G12 G18:G29 G34:G39 G44:G57 G62:G63 G68:G69 G74:G80 G85:G90 G95:G96 G101:G105 G110:G111 G117:G126 G131:G135 G140:G146 G151:G155 G160:G166 G171:G179 G184:G187 G192:G201 G206:G208 G213:G216 G221:G224 G229:G238 G243:G245 G250:G252 G257:G262 G267:G270 G275:G282 G287:G289 G294:G300 G305:G310 G315:G326 G331 G336:G348 G353:G356 G361:G368 G373:G384 G389:G394 G399:G400 G405:G410 G415:G422 G427:G442 G448:G457 G462:G465 G470:G478 G483:G490 G495:G510 G515:G518 G523:G528 G533:G538 G543:G548 G553:G566 G571:G579 G584:G596 G601:G607 G612:G620 G625:G635 G640:G647 G652:G658 G663:G666 G671:G683 G688:G693 G698:G704 G709:G717 G722:G731 G736:G751 G756:G762 G767:G775 G780:G791 G796:G804 G809:G816 G821:G836 G841:G849 G854:G861 G866:G870 G875:G884 G889:G892 G897:G908 G913:G924 G929:G935 G940:G951 G956:G967 G972:G977 G982:G988 G993:G1018 G1023:G1040 G1046:G1053 G1058:G1062 G1067:G1076 G1081:G1105 G1109:G1120 G1125:G1134 G1139:G1147 G1152:G1163 G1168:G1179 G1184:G1196 G1201:G1206 G1211:G1216 G1221:G1224 G1229:G1240 G1245:G1257 G1262:G1270 G1275:G1278 G1283:G1299 G1304:G1319 G1324:G1337 G1342:G1355 G1360:G1365 G1370:G1379 G1384:G1400 G1405:G1416 G1421:G1427 G1432:G1437 G1442:G1445 G1450:G1461 G1466:G1474 G1479:G1481 G1486:G1498 G1503:G1508 G1513:G1527 G1532:G1542 G1547:G1559 G1564:G1570 G1575:G1582 G1587:G1599 G1604:G1610 G1615:G1616 G1621:G1628 G1633:G1641 G1646:G1664 G1669:G1677 G1682:G1691 G1696:G1708 G1713:G1714 G1719:G1726 G1731:G1741 G1746:G1752 G1757:G1774 G1779:G1796 G1801:G1818">
      <formula1>"Ebay (tekp07),Ebay (warehouse_101)"</formula1>
    </dataValidation>
    <dataValidation type="list" allowBlank="1" sqref="H625:H635 H663:H666 H671:H683 H688:H693 H698:H704 H709:H717 H722:H731 H736:H751 H756:H762 H767:H775 H780:H791 H796:H804 H809:H816 H821:H836 H841:H849 H854:H861 H866:H870 H875:H884 H889:H892 H897:H908 H913:H924 H929:H935 H956:H967 H972:H977 H982:H988 H993:H1018 H1023:H1040 H1046:H1053 H1058:H1062 H1067:H1076 H1125:H1134 H1139:H1147 H1152:H1163 H1168:H1179 H1184:H1196 H1201:H1206 H1211:H1216 H1221:H1224 H1229:H1240 H1245:H1257 H1262:H1270 H1275:H1278 H1283:H1299 H1304:H1319 H1324:H1337 H1342:H1355 H1360:H1365 H1370:H1379 H1384:H1400">
      <formula1>"MEMPHIS,NASHVILLE,CHATTANOOGA,TALLAHASSEE,ATLANTA,KNOXVILLE,COLUMBUS ,MOBILE,SANANNAH,JONESBORO,JACKSONVILLE ,RALEIGH"</formula1>
    </dataValidation>
    <dataValidation type="list" allowBlank="1" sqref="H495:H510 H515:H518 H543:H548 H553:H566 H584:H596 H601:H607 H640:H647">
      <formula1>"MEMPHIS,NASHVILLE,CHATTANOOGA,TALLAHASSEE,ATLANTA,KNOXVILLE,COLUMBUS ,MOBILE,SANANNAH,JONESBORO"</formula1>
    </dataValidation>
    <dataValidation type="list" allowBlank="1" sqref="D448:D457 D462:D465 D470:D478 D483:D490 D495:D510 D515:D518 D523:D528 D533:D538 D543:D548 D553:D566 D571:D579 D584:D596 D601:D607 D612:D620 D625:D635 D640:D647 D652:D658 D663:D666 D671:D683 D688:D693 D698:D704 D709:D717 D722:D731 D736:D751 D756:D762 D767:D775 D780:D791 D796:D804 D809:D816 D821:D836 D841:D849 D854:D861 D866:D870 D875:D884 D889:D892 D897:D908 D913:D924 D929:D935 D940:D951 D956:D967 D972:D977 D982:D988 D993:D1018 D1023:D1040 D1046:D1053 D1058:D1062 D1067:D1076 D1081:D1105 D1109:D1120 D1125:D1134 D1139:D1147 D1152:D1163 D1168:D1179 D1184:D1196 D1201:D1206 D1211:D1216 D1221:D1224 D1229:D1240 D1245:D1257 D1262:D1270 D1275:D1278 D1283:D1299 D1304:D1319 D1324:D1337 D1342:D1355 D1360:D1365 D1370:D1379 D1384:D1400 D1405:D1416 D1421:D1427 D1432:D1437 D1442:D1445 D1450:D1461 D1466:D1474 D1479:D1481 D1503:D1508 D1513:D1527 D1532:D1542 D1547:D1559 D1564:D1570 D1575:D1582 D1587:D1599 D1604:D1610 D1615:D1616 D1621:D1628 D1633:D1641 D1646:D1664 D1669:D1677 D1682:D1691 D1696:D1708 D1713:D1714 D1719:D1726 D1731:D1741 D1746:D1752 D1757:D1774 D1779:D1796 D1801:D1818">
      <formula1>"Pending,Cancelled,Shipped,Returned,Refunded"</formula1>
    </dataValidation>
    <dataValidation type="list" allowBlank="1" sqref="H652:H658">
      <formula1>"MEMPHIS,NASHVILLE,CHATTANOOGA,TALLAHASSEE,ATLANTA,KNOXVILLE,COLUMBUS ,MOBILE,SANANNAH,JONESBORO,Jackson TN ,JACKSONVILLE ,RALEIGH"</formula1>
    </dataValidation>
    <dataValidation type="list" allowBlank="1" sqref="D2:D5 D10:D12 D18:D29 D34:D39 D44:D57 D62:D63 D68:D69 D74:D80 D85:D90 D95:D96 D101:D105 D110:D111 D117:D126 D131:D135 D140:D146 D151:D155 D160:D166 D171:D179 D184:D187 D192:D201 D206:D208 D213:D216 D221:D224 D229:D238 D243:D245 D250:D252 D257:D262 D267:D270 D275:D282 D287:D289 D294:D300 D305:D310 D315:D326 D331 D336:D348 D353:D356 D361:D368 D373:D384 D389:D394 D399:D400 D405:D410 D415:D422">
      <formula1>"Pending,Cancelled,Shipped,Returned"</formula1>
    </dataValidation>
    <dataValidation type="custom" allowBlank="1" showDropDown="1" sqref="E2:E5 E10:E12 E18:E29 E34:E39 E44:E57 E62:E63 E68:E69 E74:E80 E85:E90 E95:E96 E101:E105 E110:E111 E117:E126 E131:E135 E140:E146 E151:E155 E160:E166 E171:E179 E184:E187 E192:E201 E206:E208 E213:E216 E221:E224 E229:E238 E243:E245 E250:E252 E257:E262 E267:E270 E275:E282 E287:E289 E294:E300 E305:E310 E315:E326 E331 E336:E348 E353:E356 E361:E368 E373:E384 E389:E394 E399:E400 E405:E410 E415:E422 E427:E442 E448:E457 E462:E465 E470:E478 E483:E490 E495:E510 E515:E518 E523:E528 E533:E538 E543:E548 E553:E566 E571:E579 E584:E596 E601:E607 E612:E620 E625:E635 E640:E647 E652:E658 E663:E666 E671:E683 E688:E693 E698:E704 E709:E717 E722:E731 E736:E751 E756:E762 E767:E775 E780:E791 E796:E804 E809:E816 E821:E836 E841:E849 E854:E861 E866:E870 E875:E884 E889:E892 E897:E908 E913:E924 E929:E935 E940:E951 E956:E967 E972:E977 E982:E988 E993:E1018 E1023:E1040 E1046:E1053 E1058:E1062 E1067:E1076 E1081:E1105 E1109:E1120 E1125:E1134 E1139:E1147 E1152:E1163 E1168:E1179 E1184:E1196 E1201:E1206 E1211:E1216 E1221:E1224 E1229:E1240 E1245:E1257 E1262:E1270 E1275:E1278 E1283:E1299 E1304:E1319 E1324:E1337 E1342:E1355 E1360:E1365 E1370:E1379 E1384:E1400 E1405:E1416 E1421:E1427 E1432:E1437 E1442:E1445 E1450:E1461 E1466:E1474 E1479:E1481 E1486:E1498 E1503:E1508 E1513:E1527 E1532:E1542 E1547:E1559 E1564:E1570 E1575:E1582 E1587:E1599 E1604:E1610 E1615:E1616 E1621:E1628 E1633:E1641 E1646:E1664 E1669:E1677 E1682:E1691 E1696:E1708 E1713:E1714 E1719:E1726 E1731:E1741 E1746:E1752 E1757:E1774 E1779:E1796 E1801:E1818">
      <formula1>AND(ISNUMBER(E2),(NOT(OR(NOT(ISERROR(DATEVALUE(E2))), AND(ISNUMBER(E2), LEFT(CELL("format", E2))="D")))))</formula1>
    </dataValidation>
    <dataValidation type="custom" allowBlank="1" showDropDown="1" sqref="F2:F5 F10:F12 F18:F29 F34:F39 F44:F57 F62:F63 F68:F69 F74:F80 F85:F90 F95:F96 F101:F105 F110:F111 F117:F126 F131:F135 F140:F146 F151:F155 F160:F166 F171:F179 F184:F187 F192:F201 F206:F208 F213:F216 F221:F224 F229:F238 F243:F245 F250:F252 F257:F262 F267:F270 F275:F282 F287:F289 F294:F300 F305:F310 F315:F326 F331 F336:F348 F353:F356 F361:F368 F373:F384 F389:F394 F399:F400 F405:F410 F415:F422 F427:F442 F448:F457 F462:F465 F470:F478 F483:F490 F495:F510 F515:F518 F523:F528 F533:F538 F543:F548 F553:F566 F571:F579 F584:F596 F601:F607 F612:F620 F625:F635 F640:F647 F652:F658 F663:F666 F671:F683 F688:F693 F698:F704 F709:F717 F722:F731 F736:F751 F756:F762 F767:F775 F780:F791 F796:F804 F809:F816 F821:F836 F841:F849 F854:F861 F866:F870 F875:F884 F889:F892 F897:F908 F913:F924 F929:F935 F940:F951 F956:F967 F972:F977 F982:F988 F993:F1018 F1023:F1040 F1046:F1053 F1058:F1062 F1067:F1076 F1081:F1105 F1109:F1120 F1125:F1134 F1139:F1147 F1152:F1163 F1168:F1179 F1184:F1196 F1201:F1206 F1211:F1216 F1221:F1224 F1229:F1240 F1245:F1257 F1262:F1270 F1275:F1278 F1283:F1299 F1304:F1319 F1324:F1337 F1342:F1355 F1360:F1365 F1370:F1379 F1384:F1400 F1405:F1416 F1421:F1427 F1432:F1437 F1442:F1445 F1450:F1461 F1466:F1474 F1479:F1481 F1486:F1498 F1503:F1508 F1513:F1527 F1532:F1542 F1547:F1559 F1564:F1570 F1575:F1582 F1587:F1599 F1604:F1610 F1615:F1616 F1621:F1628 F1633:F1641 F1646:F1664 F1669:F1677 F1682:F1691 F1696:F1708 F1713:F1714 F1719:F1726 F1731:F1741 F1746:F1752 F1757:F1774 F1779:F1796 F1801:F1818">
      <formula1>OR(NOT(ISERROR(DATEVALUE(F2))), AND(ISNUMBER(F2), LEFT(CELL("format", F2))="D"))</formula1>
    </dataValidation>
    <dataValidation type="list" allowBlank="1" sqref="H1109:H1120">
      <formula1>"MEMPHIS,NASHVILLE,CHATTANOOGA,TALLAHASSEE,ATLANTA,KNOXVILLE,COLUMBUS ,MOBILE,SANANNAH,JONESBORO,JACKSONVILLE ,RALEIGH,JACKSON, TN "</formula1>
    </dataValidation>
    <dataValidation type="list" allowBlank="1" showErrorMessage="1" sqref="H2:H5 H10:H12 H18:H29 H34:H39 H44:H57 H62:H63 H68:H69 H74:H80 H85:H90 H126 H134 H140 H142:H143 H151 H153:H154 H160 H162:H163 H171 H173:H174 H184 H187 H192 H195:H200 H206 H213:H214 H221:H224 H229:H230 H238 H243:H245 H250:H252 H257:H262 H267:H268 H270 H275:H282 H287:H289 H294:H295 H297:H300 H305:H306 H308:H310 H315:H323 H336:H341 H347:H348 H353:H355 H361:H368 H373:H383 H389:H394 H399 H405:H408">
      <formula1>"MEMPHIS,NASHVILLE,CHATTANOOGA,TALLAHASSEE,ATLANTA,KNOXVILLE"</formula1>
    </dataValidation>
    <dataValidation type="list" allowBlank="1" sqref="H345:H346">
      <formula1>"MEMPHIS,NASHVILLE,CHATTANOOGA,TALLAHASSEE,ATLANTA,KNOXVILLE,SAVANNAH"</formula1>
    </dataValidation>
    <dataValidation type="list" allowBlank="1" sqref="H415:H422 H427:H442 H448:H457 H462:H465 H470:H478">
      <formula1>"MEMPHIS,NASHVILLE,CHATTANOOGA,TALLAHASSEE,ATLANTA,KNOXVILLE,COLUMBUS ,MOBILE"</formula1>
    </dataValidation>
    <dataValidation type="list" allowBlank="1" sqref="H523:H528 H533:H538 H612:H620">
      <formula1>"MEMPHIS,NASHVILLE,CHATTANOOGA,TALLAHASSEE,ATLANTA,KNOXVILLE,COLUMBUS ,MOBILE,SANANNAH,JONESBORO,JACKSONVILLE "</formula1>
    </dataValidation>
    <dataValidation type="list" allowBlank="1" sqref="D427:D442">
      <formula1>"Pending,Cancelled,Shipped,Returned,Refunded"</formula1>
    </dataValidation>
  </dataValidations>
  <hyperlinks>
    <hyperlink r:id="rId1" ref="A2"/>
    <hyperlink r:id="rId2" ref="A3"/>
    <hyperlink r:id="rId3" ref="A4"/>
    <hyperlink r:id="rId4" ref="A5"/>
    <hyperlink r:id="rId5" ref="A10"/>
    <hyperlink r:id="rId6" ref="A11"/>
    <hyperlink r:id="rId7" ref="A12"/>
    <hyperlink r:id="rId8" ref="A18"/>
    <hyperlink r:id="rId9" ref="A19"/>
    <hyperlink r:id="rId10" ref="A20"/>
    <hyperlink r:id="rId11" ref="A21"/>
    <hyperlink r:id="rId12" ref="A22"/>
    <hyperlink r:id="rId13" ref="A23"/>
    <hyperlink r:id="rId14" ref="A24"/>
    <hyperlink r:id="rId15" ref="A25"/>
    <hyperlink r:id="rId16" ref="A26"/>
    <hyperlink r:id="rId17" ref="A27"/>
    <hyperlink r:id="rId18" ref="A28"/>
    <hyperlink r:id="rId19" ref="A29"/>
    <hyperlink r:id="rId20" ref="A34"/>
    <hyperlink r:id="rId21" ref="A35"/>
    <hyperlink r:id="rId22" ref="A36"/>
    <hyperlink r:id="rId23" ref="A37"/>
    <hyperlink r:id="rId24" ref="A38"/>
    <hyperlink r:id="rId25" ref="A39"/>
    <hyperlink r:id="rId26" ref="A44"/>
    <hyperlink r:id="rId27" ref="A45"/>
    <hyperlink r:id="rId28" ref="A46"/>
    <hyperlink r:id="rId29" ref="A47"/>
    <hyperlink r:id="rId30" ref="A48"/>
    <hyperlink r:id="rId31" ref="A49"/>
    <hyperlink r:id="rId32" ref="A50"/>
    <hyperlink r:id="rId33" ref="A51"/>
    <hyperlink r:id="rId34" ref="A52"/>
    <hyperlink r:id="rId35" ref="A53"/>
    <hyperlink r:id="rId36" ref="A54"/>
    <hyperlink r:id="rId37" ref="A55"/>
    <hyperlink r:id="rId38" ref="A56"/>
    <hyperlink r:id="rId39" ref="A57"/>
    <hyperlink r:id="rId40" ref="A62"/>
    <hyperlink r:id="rId41" ref="A63"/>
    <hyperlink r:id="rId42" ref="A68"/>
    <hyperlink r:id="rId43" ref="A69"/>
    <hyperlink r:id="rId44" ref="A74"/>
    <hyperlink r:id="rId45" ref="A75"/>
    <hyperlink r:id="rId46" ref="A76"/>
    <hyperlink r:id="rId47" ref="A77"/>
    <hyperlink r:id="rId48" ref="A78"/>
    <hyperlink r:id="rId49" ref="A79"/>
    <hyperlink r:id="rId50" ref="A80"/>
    <hyperlink r:id="rId51" ref="A85"/>
    <hyperlink r:id="rId52" ref="A86"/>
    <hyperlink r:id="rId53" ref="A87"/>
    <hyperlink r:id="rId54" ref="A88"/>
    <hyperlink r:id="rId55" ref="A89"/>
    <hyperlink r:id="rId56" ref="A90"/>
    <hyperlink r:id="rId57" ref="A95"/>
    <hyperlink r:id="rId58" ref="A96"/>
    <hyperlink r:id="rId59" ref="A101"/>
    <hyperlink r:id="rId60" ref="A102"/>
    <hyperlink r:id="rId61" ref="A103"/>
    <hyperlink r:id="rId62" ref="A104"/>
    <hyperlink r:id="rId63" ref="A105"/>
    <hyperlink r:id="rId64" ref="A110"/>
    <hyperlink r:id="rId65" ref="A111"/>
    <hyperlink r:id="rId66" ref="A117"/>
    <hyperlink r:id="rId67" ref="A118"/>
    <hyperlink r:id="rId68" ref="A119"/>
    <hyperlink r:id="rId69" ref="A120"/>
    <hyperlink r:id="rId70" ref="A121"/>
    <hyperlink r:id="rId71" ref="A122"/>
    <hyperlink r:id="rId72" ref="A123"/>
    <hyperlink r:id="rId73" ref="A124"/>
    <hyperlink r:id="rId74" ref="A125"/>
    <hyperlink r:id="rId75" ref="A126"/>
    <hyperlink r:id="rId76" ref="A131"/>
    <hyperlink r:id="rId77" ref="A132"/>
    <hyperlink r:id="rId78" ref="A133"/>
    <hyperlink r:id="rId79" ref="A134"/>
    <hyperlink r:id="rId80" ref="A135"/>
    <hyperlink r:id="rId81" ref="A140"/>
    <hyperlink r:id="rId82" ref="A141"/>
    <hyperlink r:id="rId83" ref="A142"/>
    <hyperlink r:id="rId84" ref="A143"/>
    <hyperlink r:id="rId85" ref="A144"/>
    <hyperlink r:id="rId86" ref="A145"/>
    <hyperlink r:id="rId87" ref="A146"/>
    <hyperlink r:id="rId88" ref="A151"/>
    <hyperlink r:id="rId89" ref="A152"/>
    <hyperlink r:id="rId90" ref="A153"/>
    <hyperlink r:id="rId91" ref="A154"/>
    <hyperlink r:id="rId92" ref="A155"/>
    <hyperlink r:id="rId93" ref="A160"/>
    <hyperlink r:id="rId94" ref="A161"/>
    <hyperlink r:id="rId95" ref="A162"/>
    <hyperlink r:id="rId96" ref="A163"/>
    <hyperlink r:id="rId97" ref="A164"/>
    <hyperlink r:id="rId98" ref="A165"/>
    <hyperlink r:id="rId99" ref="A166"/>
    <hyperlink r:id="rId100" ref="A171"/>
    <hyperlink r:id="rId101" ref="A172"/>
    <hyperlink r:id="rId102" ref="A173"/>
    <hyperlink r:id="rId103" ref="A174"/>
    <hyperlink r:id="rId104" ref="A175"/>
    <hyperlink r:id="rId105" ref="A176"/>
    <hyperlink r:id="rId106" ref="A177"/>
    <hyperlink r:id="rId107" ref="A178"/>
    <hyperlink r:id="rId108" ref="A179"/>
    <hyperlink r:id="rId109" ref="A184"/>
    <hyperlink r:id="rId110" ref="A185"/>
    <hyperlink r:id="rId111" ref="A186"/>
    <hyperlink r:id="rId112" ref="A187"/>
    <hyperlink r:id="rId113" ref="A192"/>
    <hyperlink r:id="rId114" ref="A193"/>
    <hyperlink r:id="rId115" ref="A194"/>
    <hyperlink r:id="rId116" ref="A195"/>
    <hyperlink r:id="rId117" ref="A196"/>
    <hyperlink r:id="rId118" ref="A197"/>
    <hyperlink r:id="rId119" ref="A198"/>
    <hyperlink r:id="rId120" ref="A199"/>
    <hyperlink r:id="rId121" ref="A200"/>
    <hyperlink r:id="rId122" ref="A201"/>
    <hyperlink r:id="rId123" ref="A206"/>
    <hyperlink r:id="rId124" ref="A207"/>
    <hyperlink r:id="rId125" ref="A208"/>
    <hyperlink r:id="rId126" ref="A213"/>
    <hyperlink r:id="rId127" ref="A214"/>
    <hyperlink r:id="rId128" ref="A215"/>
    <hyperlink r:id="rId129" ref="A216"/>
    <hyperlink r:id="rId130" ref="A221"/>
    <hyperlink r:id="rId131" ref="A222"/>
    <hyperlink r:id="rId132" ref="A223"/>
    <hyperlink r:id="rId133" ref="A224"/>
    <hyperlink r:id="rId134" ref="A229"/>
    <hyperlink r:id="rId135" ref="A230"/>
    <hyperlink r:id="rId136" ref="A231"/>
    <hyperlink r:id="rId137" ref="A232"/>
    <hyperlink r:id="rId138" ref="A233"/>
    <hyperlink r:id="rId139" ref="A234"/>
    <hyperlink r:id="rId140" ref="A235"/>
    <hyperlink r:id="rId141" ref="A236"/>
    <hyperlink r:id="rId142" ref="A237"/>
    <hyperlink r:id="rId143" ref="A243"/>
    <hyperlink r:id="rId144" ref="A244"/>
    <hyperlink r:id="rId145" ref="A245"/>
    <hyperlink r:id="rId146" ref="A250"/>
    <hyperlink r:id="rId147" ref="A251"/>
    <hyperlink r:id="rId148" ref="A252"/>
    <hyperlink r:id="rId149" ref="A257"/>
    <hyperlink r:id="rId150" ref="A258"/>
    <hyperlink r:id="rId151" ref="A259"/>
    <hyperlink r:id="rId152" ref="A260"/>
    <hyperlink r:id="rId153" ref="A261"/>
    <hyperlink r:id="rId154" ref="A262"/>
    <hyperlink r:id="rId155" ref="A275"/>
    <hyperlink r:id="rId156" ref="A276"/>
    <hyperlink r:id="rId157" ref="A277"/>
    <hyperlink r:id="rId158" ref="A278"/>
    <hyperlink r:id="rId159" ref="A279"/>
    <hyperlink r:id="rId160" ref="A287"/>
    <hyperlink r:id="rId161" ref="A296"/>
    <hyperlink r:id="rId162" ref="A297"/>
    <hyperlink r:id="rId163" ref="A305"/>
    <hyperlink r:id="rId164" ref="A315"/>
    <hyperlink r:id="rId165" ref="A316"/>
    <hyperlink r:id="rId166" ref="A317"/>
    <hyperlink r:id="rId167" ref="A318"/>
    <hyperlink r:id="rId168" ref="A319"/>
    <hyperlink r:id="rId169" ref="A320"/>
    <hyperlink r:id="rId170" ref="A321"/>
    <hyperlink r:id="rId171" ref="A336"/>
    <hyperlink r:id="rId172" ref="A337"/>
    <hyperlink r:id="rId173" ref="A338"/>
    <hyperlink r:id="rId174" ref="A339"/>
    <hyperlink r:id="rId175" ref="A345"/>
    <hyperlink r:id="rId176" ref="A355"/>
    <hyperlink r:id="rId177" ref="A361"/>
    <hyperlink r:id="rId178" ref="A362"/>
    <hyperlink r:id="rId179" ref="A363"/>
    <hyperlink r:id="rId180" ref="A364"/>
    <hyperlink r:id="rId181" ref="A365"/>
    <hyperlink r:id="rId182" ref="A366"/>
    <hyperlink r:id="rId183" ref="A373"/>
    <hyperlink r:id="rId184" ref="A374"/>
    <hyperlink r:id="rId185" ref="A375"/>
    <hyperlink r:id="rId186" ref="A376"/>
    <hyperlink r:id="rId187" ref="A377"/>
    <hyperlink r:id="rId188" ref="A378"/>
    <hyperlink r:id="rId189" ref="A379"/>
    <hyperlink r:id="rId190" ref="A389"/>
    <hyperlink r:id="rId191" ref="A390"/>
    <hyperlink r:id="rId192" ref="A391"/>
    <hyperlink r:id="rId193" ref="A399"/>
    <hyperlink r:id="rId194" ref="A415"/>
    <hyperlink r:id="rId195" ref="A419"/>
    <hyperlink r:id="rId196" ref="A422"/>
    <hyperlink r:id="rId197" ref="A427"/>
    <hyperlink r:id="rId198" ref="A428"/>
    <hyperlink r:id="rId199" ref="A429"/>
    <hyperlink r:id="rId200" ref="A430"/>
    <hyperlink r:id="rId201" ref="A431"/>
    <hyperlink r:id="rId202" ref="A432"/>
    <hyperlink r:id="rId203" ref="A433"/>
    <hyperlink r:id="rId204" ref="A434"/>
    <hyperlink r:id="rId205" ref="A435"/>
    <hyperlink r:id="rId206" ref="A436"/>
    <hyperlink r:id="rId207" ref="A437"/>
    <hyperlink r:id="rId208" ref="A438"/>
    <hyperlink r:id="rId209" ref="A439"/>
    <hyperlink r:id="rId210" ref="A440"/>
    <hyperlink r:id="rId211" ref="A441"/>
    <hyperlink r:id="rId212" ref="A442"/>
    <hyperlink r:id="rId213" ref="A448"/>
    <hyperlink r:id="rId214" ref="A449"/>
    <hyperlink r:id="rId215" ref="A450"/>
    <hyperlink r:id="rId216" ref="A451"/>
    <hyperlink r:id="rId217" ref="A452"/>
    <hyperlink r:id="rId218" ref="A453"/>
    <hyperlink r:id="rId219" ref="A454"/>
    <hyperlink r:id="rId220" ref="A455"/>
    <hyperlink r:id="rId221" ref="A456"/>
    <hyperlink r:id="rId222" ref="A457"/>
    <hyperlink r:id="rId223" ref="A462"/>
    <hyperlink r:id="rId224" ref="A463"/>
    <hyperlink r:id="rId225" ref="A464"/>
    <hyperlink r:id="rId226" ref="A465"/>
    <hyperlink r:id="rId227" ref="A470"/>
    <hyperlink r:id="rId228" ref="A471"/>
    <hyperlink r:id="rId229" ref="A472"/>
    <hyperlink r:id="rId230" ref="A473"/>
    <hyperlink r:id="rId231" ref="A474"/>
    <hyperlink r:id="rId232" ref="A475"/>
    <hyperlink r:id="rId233" ref="A476"/>
    <hyperlink r:id="rId234" ref="A477"/>
    <hyperlink r:id="rId235" ref="A478"/>
    <hyperlink r:id="rId236" ref="A483"/>
    <hyperlink r:id="rId237" ref="A484"/>
    <hyperlink r:id="rId238" ref="A485"/>
    <hyperlink r:id="rId239" ref="A486"/>
    <hyperlink r:id="rId240" ref="A487"/>
    <hyperlink r:id="rId241" ref="A488"/>
    <hyperlink r:id="rId242" ref="A489"/>
    <hyperlink r:id="rId243" ref="A490"/>
    <hyperlink r:id="rId244" ref="A495"/>
    <hyperlink r:id="rId245" ref="A496"/>
    <hyperlink r:id="rId246" ref="A497"/>
    <hyperlink r:id="rId247" ref="A498"/>
    <hyperlink r:id="rId248" ref="A499"/>
    <hyperlink r:id="rId249" ref="A500"/>
    <hyperlink r:id="rId250" ref="A501"/>
    <hyperlink r:id="rId251" ref="A502"/>
    <hyperlink r:id="rId252" ref="A503"/>
    <hyperlink r:id="rId253" ref="A504"/>
    <hyperlink r:id="rId254" ref="A505"/>
    <hyperlink r:id="rId255" ref="A506"/>
    <hyperlink r:id="rId256" ref="A507"/>
    <hyperlink r:id="rId257" ref="A508"/>
    <hyperlink r:id="rId258" ref="A509"/>
    <hyperlink r:id="rId259" ref="A510"/>
    <hyperlink r:id="rId260" ref="A515"/>
    <hyperlink r:id="rId261" ref="A516"/>
    <hyperlink r:id="rId262" ref="A517"/>
    <hyperlink r:id="rId263" ref="A518"/>
    <hyperlink r:id="rId264" ref="A523"/>
    <hyperlink r:id="rId265" ref="A524"/>
    <hyperlink r:id="rId266" ref="A525"/>
    <hyperlink r:id="rId267" ref="A526"/>
    <hyperlink r:id="rId268" ref="A527"/>
    <hyperlink r:id="rId269" ref="A528"/>
    <hyperlink r:id="rId270" ref="A533"/>
    <hyperlink r:id="rId271" ref="A534"/>
    <hyperlink r:id="rId272" ref="A535"/>
    <hyperlink r:id="rId273" ref="A536"/>
    <hyperlink r:id="rId274" ref="A537"/>
    <hyperlink r:id="rId275" ref="A538"/>
    <hyperlink r:id="rId276" ref="A543"/>
    <hyperlink r:id="rId277" ref="A544"/>
    <hyperlink r:id="rId278" ref="A545"/>
    <hyperlink r:id="rId279" ref="A546"/>
    <hyperlink r:id="rId280" ref="A547"/>
    <hyperlink r:id="rId281" ref="A548"/>
    <hyperlink r:id="rId282" ref="A553"/>
    <hyperlink r:id="rId283" ref="A554"/>
    <hyperlink r:id="rId284" ref="A555"/>
    <hyperlink r:id="rId285" ref="A556"/>
    <hyperlink r:id="rId286" ref="A557"/>
    <hyperlink r:id="rId287" ref="A558"/>
    <hyperlink r:id="rId288" ref="A559"/>
    <hyperlink r:id="rId289" ref="A560"/>
    <hyperlink r:id="rId290" ref="A561"/>
    <hyperlink r:id="rId291" ref="A562"/>
    <hyperlink r:id="rId292" ref="A563"/>
    <hyperlink r:id="rId293" ref="A564"/>
    <hyperlink r:id="rId294" ref="A565"/>
    <hyperlink r:id="rId295" ref="A566"/>
    <hyperlink r:id="rId296" ref="A571"/>
    <hyperlink r:id="rId297" ref="A572"/>
    <hyperlink r:id="rId298" ref="A573"/>
    <hyperlink r:id="rId299" ref="A574"/>
    <hyperlink r:id="rId300" ref="A575"/>
    <hyperlink r:id="rId301" ref="A576"/>
    <hyperlink r:id="rId302" ref="A577"/>
    <hyperlink r:id="rId303" ref="A578"/>
    <hyperlink r:id="rId304" ref="A579"/>
    <hyperlink r:id="rId305" ref="A584"/>
    <hyperlink r:id="rId306" ref="A585"/>
    <hyperlink r:id="rId307" ref="A586"/>
    <hyperlink r:id="rId308" ref="A587"/>
    <hyperlink r:id="rId309" ref="A588"/>
    <hyperlink r:id="rId310" ref="A589"/>
    <hyperlink r:id="rId311" ref="A590"/>
    <hyperlink r:id="rId312" ref="A591"/>
    <hyperlink r:id="rId313" ref="A592"/>
    <hyperlink r:id="rId314" ref="A593"/>
    <hyperlink r:id="rId315" ref="A594"/>
    <hyperlink r:id="rId316" ref="A595"/>
    <hyperlink r:id="rId317" ref="A596"/>
    <hyperlink r:id="rId318" ref="A601"/>
    <hyperlink r:id="rId319" ref="A602"/>
    <hyperlink r:id="rId320" ref="A603"/>
    <hyperlink r:id="rId321" ref="A604"/>
    <hyperlink r:id="rId322" ref="A605"/>
    <hyperlink r:id="rId323" ref="A606"/>
    <hyperlink r:id="rId324" ref="A607"/>
    <hyperlink r:id="rId325" ref="A612"/>
    <hyperlink r:id="rId326" ref="A613"/>
    <hyperlink r:id="rId327" ref="A614"/>
    <hyperlink r:id="rId328" ref="A615"/>
    <hyperlink r:id="rId329" ref="A616"/>
    <hyperlink r:id="rId330" ref="A617"/>
    <hyperlink r:id="rId331" ref="A618"/>
    <hyperlink r:id="rId332" ref="A619"/>
    <hyperlink r:id="rId333" ref="A620"/>
    <hyperlink r:id="rId334" ref="A625"/>
    <hyperlink r:id="rId335" ref="A626"/>
    <hyperlink r:id="rId336" ref="A627"/>
    <hyperlink r:id="rId337" ref="A628"/>
    <hyperlink r:id="rId338" ref="A629"/>
    <hyperlink r:id="rId339" ref="A630"/>
    <hyperlink r:id="rId340" ref="A631"/>
    <hyperlink r:id="rId341" ref="A632"/>
    <hyperlink r:id="rId342" ref="A633"/>
    <hyperlink r:id="rId343" ref="A634"/>
    <hyperlink r:id="rId344" ref="A635"/>
    <hyperlink r:id="rId345" ref="A640"/>
    <hyperlink r:id="rId346" ref="A641"/>
    <hyperlink r:id="rId347" ref="A642"/>
    <hyperlink r:id="rId348" ref="A643"/>
    <hyperlink r:id="rId349" ref="A644"/>
    <hyperlink r:id="rId350" ref="A645"/>
    <hyperlink r:id="rId351" ref="A646"/>
    <hyperlink r:id="rId352" ref="A647"/>
    <hyperlink r:id="rId353" ref="A652"/>
    <hyperlink r:id="rId354" ref="A653"/>
    <hyperlink r:id="rId355" ref="A654"/>
    <hyperlink r:id="rId356" ref="A655"/>
    <hyperlink r:id="rId357" ref="A656"/>
    <hyperlink r:id="rId358" ref="A657"/>
    <hyperlink r:id="rId359" ref="A658"/>
    <hyperlink r:id="rId360" ref="A663"/>
    <hyperlink r:id="rId361" ref="A664"/>
    <hyperlink r:id="rId362" ref="A665"/>
    <hyperlink r:id="rId363" ref="A666"/>
    <hyperlink r:id="rId364" ref="A671"/>
    <hyperlink r:id="rId365" ref="A672"/>
    <hyperlink r:id="rId366" ref="A673"/>
    <hyperlink r:id="rId367" ref="A674"/>
    <hyperlink r:id="rId368" ref="A675"/>
    <hyperlink r:id="rId369" ref="A676"/>
    <hyperlink r:id="rId370" ref="A677"/>
    <hyperlink r:id="rId371" ref="A678"/>
    <hyperlink r:id="rId372" ref="A679"/>
    <hyperlink r:id="rId373" ref="A680"/>
    <hyperlink r:id="rId374" ref="A681"/>
    <hyperlink r:id="rId375" ref="A682"/>
    <hyperlink r:id="rId376" ref="A683"/>
    <hyperlink r:id="rId377" ref="A688"/>
    <hyperlink r:id="rId378" ref="A689"/>
    <hyperlink r:id="rId379" ref="A690"/>
    <hyperlink r:id="rId380" ref="A691"/>
    <hyperlink r:id="rId381" ref="A692"/>
    <hyperlink r:id="rId382" ref="A693"/>
    <hyperlink r:id="rId383" ref="A698"/>
    <hyperlink r:id="rId384" ref="A699"/>
    <hyperlink r:id="rId385" ref="A700"/>
    <hyperlink r:id="rId386" ref="A701"/>
    <hyperlink r:id="rId387" ref="A702"/>
    <hyperlink r:id="rId388" ref="A703"/>
    <hyperlink r:id="rId389" ref="A704"/>
    <hyperlink r:id="rId390" ref="A709"/>
    <hyperlink r:id="rId391" ref="A710"/>
    <hyperlink r:id="rId392" ref="A711"/>
    <hyperlink r:id="rId393" ref="A712"/>
    <hyperlink r:id="rId394" ref="A713"/>
    <hyperlink r:id="rId395" ref="A714"/>
    <hyperlink r:id="rId396" ref="A715"/>
    <hyperlink r:id="rId397" ref="A716"/>
    <hyperlink r:id="rId398" ref="A717"/>
    <hyperlink r:id="rId399" ref="A722"/>
    <hyperlink r:id="rId400" ref="A723"/>
    <hyperlink r:id="rId401" ref="A724"/>
    <hyperlink r:id="rId402" ref="A725"/>
    <hyperlink r:id="rId403" ref="A726"/>
    <hyperlink r:id="rId404" ref="A727"/>
    <hyperlink r:id="rId405" ref="A728"/>
    <hyperlink r:id="rId406" ref="A729"/>
    <hyperlink r:id="rId407" ref="A730"/>
    <hyperlink r:id="rId408" ref="A731"/>
    <hyperlink r:id="rId409" ref="A736"/>
    <hyperlink r:id="rId410" ref="A737"/>
    <hyperlink r:id="rId411" ref="A738"/>
    <hyperlink r:id="rId412" ref="A739"/>
    <hyperlink r:id="rId413" ref="A740"/>
    <hyperlink r:id="rId414" ref="A741"/>
    <hyperlink r:id="rId415" ref="A742"/>
    <hyperlink r:id="rId416" ref="A743"/>
    <hyperlink r:id="rId417" ref="A744"/>
    <hyperlink r:id="rId418" ref="A745"/>
    <hyperlink r:id="rId419" ref="A746"/>
    <hyperlink r:id="rId420" ref="A747"/>
    <hyperlink r:id="rId421" ref="A748"/>
    <hyperlink r:id="rId422" ref="A749"/>
    <hyperlink r:id="rId423" ref="A750"/>
    <hyperlink r:id="rId424" ref="A751"/>
    <hyperlink r:id="rId425" ref="A756"/>
    <hyperlink r:id="rId426" ref="A757"/>
    <hyperlink r:id="rId427" ref="A758"/>
    <hyperlink r:id="rId428" ref="A759"/>
    <hyperlink r:id="rId429" ref="A760"/>
    <hyperlink r:id="rId430" ref="A761"/>
    <hyperlink r:id="rId431" ref="A762"/>
    <hyperlink r:id="rId432" ref="A767"/>
    <hyperlink r:id="rId433" ref="A768"/>
    <hyperlink r:id="rId434" ref="A769"/>
    <hyperlink r:id="rId435" ref="A770"/>
    <hyperlink r:id="rId436" ref="A771"/>
    <hyperlink r:id="rId437" ref="A772"/>
    <hyperlink r:id="rId438" ref="A773"/>
    <hyperlink r:id="rId439" ref="A774"/>
    <hyperlink r:id="rId440" ref="A775"/>
    <hyperlink r:id="rId441" ref="A780"/>
    <hyperlink r:id="rId442" ref="A781"/>
    <hyperlink r:id="rId443" ref="A782"/>
    <hyperlink r:id="rId444" ref="A783"/>
    <hyperlink r:id="rId445" ref="A784"/>
    <hyperlink r:id="rId446" ref="A785"/>
    <hyperlink r:id="rId447" ref="A786"/>
    <hyperlink r:id="rId448" ref="A787"/>
    <hyperlink r:id="rId449" ref="A788"/>
    <hyperlink r:id="rId450" ref="A789"/>
    <hyperlink r:id="rId451" ref="A790"/>
    <hyperlink r:id="rId452" ref="A791"/>
    <hyperlink r:id="rId453" ref="A796"/>
    <hyperlink r:id="rId454" ref="A797"/>
    <hyperlink r:id="rId455" ref="A798"/>
    <hyperlink r:id="rId456" ref="A799"/>
    <hyperlink r:id="rId457" ref="A800"/>
    <hyperlink r:id="rId458" ref="A801"/>
    <hyperlink r:id="rId459" ref="A802"/>
    <hyperlink r:id="rId460" ref="A803"/>
    <hyperlink r:id="rId461" ref="A804"/>
    <hyperlink r:id="rId462" ref="A809"/>
    <hyperlink r:id="rId463" ref="A810"/>
    <hyperlink r:id="rId464" ref="A811"/>
    <hyperlink r:id="rId465" ref="A812"/>
    <hyperlink r:id="rId466" ref="A813"/>
    <hyperlink r:id="rId467" ref="A814"/>
    <hyperlink r:id="rId468" ref="A815"/>
    <hyperlink r:id="rId469" ref="A816"/>
    <hyperlink r:id="rId470" ref="A821"/>
    <hyperlink r:id="rId471" ref="A822"/>
    <hyperlink r:id="rId472" ref="A823"/>
    <hyperlink r:id="rId473" ref="A824"/>
    <hyperlink r:id="rId474" ref="A825"/>
    <hyperlink r:id="rId475" ref="A826"/>
    <hyperlink r:id="rId476" ref="A827"/>
    <hyperlink r:id="rId477" ref="A828"/>
    <hyperlink r:id="rId478" ref="A829"/>
    <hyperlink r:id="rId479" ref="A830"/>
    <hyperlink r:id="rId480" ref="A831"/>
    <hyperlink r:id="rId481" ref="A832"/>
    <hyperlink r:id="rId482" ref="A833"/>
    <hyperlink r:id="rId483" ref="A834"/>
    <hyperlink r:id="rId484" ref="A835"/>
    <hyperlink r:id="rId485" ref="A836"/>
    <hyperlink r:id="rId486" ref="A841"/>
    <hyperlink r:id="rId487" ref="A842"/>
    <hyperlink r:id="rId488" ref="A843"/>
    <hyperlink r:id="rId489" ref="A844"/>
    <hyperlink r:id="rId490" ref="A845"/>
    <hyperlink r:id="rId491" ref="A846"/>
    <hyperlink r:id="rId492" ref="A847"/>
    <hyperlink r:id="rId493" ref="A848"/>
    <hyperlink r:id="rId494" ref="A849"/>
    <hyperlink r:id="rId495" ref="A854"/>
    <hyperlink r:id="rId496" ref="A855"/>
    <hyperlink r:id="rId497" ref="A856"/>
    <hyperlink r:id="rId498" ref="A857"/>
    <hyperlink r:id="rId499" ref="A858"/>
    <hyperlink r:id="rId500" ref="A859"/>
    <hyperlink r:id="rId501" ref="A860"/>
    <hyperlink r:id="rId502" ref="A861"/>
    <hyperlink r:id="rId503" ref="A866"/>
    <hyperlink r:id="rId504" ref="A867"/>
    <hyperlink r:id="rId505" ref="A869"/>
    <hyperlink r:id="rId506" ref="A870"/>
    <hyperlink r:id="rId507" ref="A875"/>
    <hyperlink r:id="rId508" ref="A876"/>
    <hyperlink r:id="rId509" ref="A877"/>
    <hyperlink r:id="rId510" ref="A878"/>
    <hyperlink r:id="rId511" ref="A879"/>
    <hyperlink r:id="rId512" ref="A880"/>
    <hyperlink r:id="rId513" ref="A881"/>
    <hyperlink r:id="rId514" ref="A882"/>
    <hyperlink r:id="rId515" ref="A883"/>
    <hyperlink r:id="rId516" ref="A884"/>
    <hyperlink r:id="rId517" ref="A889"/>
    <hyperlink r:id="rId518" ref="A890"/>
    <hyperlink r:id="rId519" ref="A891"/>
    <hyperlink r:id="rId520" ref="A892"/>
    <hyperlink r:id="rId521" ref="A897"/>
    <hyperlink r:id="rId522" ref="A898"/>
    <hyperlink r:id="rId523" ref="A899"/>
    <hyperlink r:id="rId524" ref="A900"/>
    <hyperlink r:id="rId525" ref="A901"/>
    <hyperlink r:id="rId526" ref="A902"/>
    <hyperlink r:id="rId527" ref="A903"/>
    <hyperlink r:id="rId528" ref="A904"/>
    <hyperlink r:id="rId529" ref="A905"/>
    <hyperlink r:id="rId530" ref="A906"/>
    <hyperlink r:id="rId531" ref="A907"/>
    <hyperlink r:id="rId532" ref="A908"/>
    <hyperlink r:id="rId533" ref="A913"/>
    <hyperlink r:id="rId534" ref="A914"/>
    <hyperlink r:id="rId535" ref="A915"/>
    <hyperlink r:id="rId536" ref="A916"/>
    <hyperlink r:id="rId537" ref="A917"/>
    <hyperlink r:id="rId538" ref="A918"/>
    <hyperlink r:id="rId539" ref="A919"/>
    <hyperlink r:id="rId540" ref="A920"/>
    <hyperlink r:id="rId541" ref="A921"/>
    <hyperlink r:id="rId542" ref="A922"/>
    <hyperlink r:id="rId543" ref="A923"/>
    <hyperlink r:id="rId544" ref="A924"/>
    <hyperlink r:id="rId545" ref="A929"/>
    <hyperlink r:id="rId546" ref="A930"/>
    <hyperlink r:id="rId547" ref="A931"/>
    <hyperlink r:id="rId548" ref="A932"/>
    <hyperlink r:id="rId549" ref="A933"/>
    <hyperlink r:id="rId550" ref="A934"/>
    <hyperlink r:id="rId551" ref="A935"/>
    <hyperlink r:id="rId552" ref="A940"/>
    <hyperlink r:id="rId553" ref="A941"/>
    <hyperlink r:id="rId554" ref="A942"/>
    <hyperlink r:id="rId555" ref="A943"/>
    <hyperlink r:id="rId556" ref="A944"/>
    <hyperlink r:id="rId557" ref="A945"/>
    <hyperlink r:id="rId558" ref="A946"/>
    <hyperlink r:id="rId559" ref="A947"/>
    <hyperlink r:id="rId560" ref="A948"/>
    <hyperlink r:id="rId561" ref="A949"/>
    <hyperlink r:id="rId562" ref="A950"/>
    <hyperlink r:id="rId563" ref="A951"/>
    <hyperlink r:id="rId564" ref="A956"/>
    <hyperlink r:id="rId565" ref="A957"/>
    <hyperlink r:id="rId566" ref="A958"/>
    <hyperlink r:id="rId567" ref="A959"/>
    <hyperlink r:id="rId568" ref="A960"/>
    <hyperlink r:id="rId569" ref="A961"/>
    <hyperlink r:id="rId570" ref="A962"/>
    <hyperlink r:id="rId571" ref="A963"/>
    <hyperlink r:id="rId572" ref="A964"/>
    <hyperlink r:id="rId573" ref="A965"/>
    <hyperlink r:id="rId574" ref="A966"/>
    <hyperlink r:id="rId575" ref="A967"/>
    <hyperlink r:id="rId576" ref="A972"/>
    <hyperlink r:id="rId577" ref="A973"/>
    <hyperlink r:id="rId578" ref="A974"/>
    <hyperlink r:id="rId579" ref="A975"/>
    <hyperlink r:id="rId580" ref="A976"/>
    <hyperlink r:id="rId581" ref="A977"/>
    <hyperlink r:id="rId582" ref="A982"/>
    <hyperlink r:id="rId583" ref="A983"/>
    <hyperlink r:id="rId584" ref="A984"/>
    <hyperlink r:id="rId585" ref="A985"/>
    <hyperlink r:id="rId586" ref="A986"/>
    <hyperlink r:id="rId587" ref="A987"/>
    <hyperlink r:id="rId588" ref="A988"/>
    <hyperlink r:id="rId589" ref="A993"/>
    <hyperlink r:id="rId590" ref="A994"/>
    <hyperlink r:id="rId591" ref="A995"/>
    <hyperlink r:id="rId592" ref="A996"/>
    <hyperlink r:id="rId593" ref="A997"/>
    <hyperlink r:id="rId594" ref="A998"/>
    <hyperlink r:id="rId595" ref="A999"/>
    <hyperlink r:id="rId596" ref="A1000"/>
    <hyperlink r:id="rId597" ref="A1001"/>
    <hyperlink r:id="rId598" ref="A1002"/>
    <hyperlink r:id="rId599" ref="A1003"/>
    <hyperlink r:id="rId600" ref="A1004"/>
    <hyperlink r:id="rId601" ref="A1005"/>
    <hyperlink r:id="rId602" ref="A1006"/>
    <hyperlink r:id="rId603" ref="A1007"/>
    <hyperlink r:id="rId604" ref="A1008"/>
    <hyperlink r:id="rId605" ref="A1009"/>
    <hyperlink r:id="rId606" ref="A1010"/>
    <hyperlink r:id="rId607" ref="A1011"/>
    <hyperlink r:id="rId608" ref="A1012"/>
    <hyperlink r:id="rId609" ref="A1013"/>
    <hyperlink r:id="rId610" ref="A1014"/>
    <hyperlink r:id="rId611" ref="A1015"/>
    <hyperlink r:id="rId612" ref="A1016"/>
    <hyperlink r:id="rId613" ref="A1017"/>
    <hyperlink r:id="rId614" ref="A1018"/>
    <hyperlink r:id="rId615" ref="A1023"/>
    <hyperlink r:id="rId616" ref="A1024"/>
    <hyperlink r:id="rId617" ref="A1025"/>
    <hyperlink r:id="rId618" ref="A1026"/>
    <hyperlink r:id="rId619" ref="A1027"/>
    <hyperlink r:id="rId620" ref="A1028"/>
    <hyperlink r:id="rId621" ref="A1029"/>
    <hyperlink r:id="rId622" ref="A1030"/>
    <hyperlink r:id="rId623" ref="A1031"/>
    <hyperlink r:id="rId624" ref="A1032"/>
    <hyperlink r:id="rId625" ref="A1033"/>
    <hyperlink r:id="rId626" ref="A1034"/>
    <hyperlink r:id="rId627" ref="A1035"/>
    <hyperlink r:id="rId628" ref="A1036"/>
    <hyperlink r:id="rId629" ref="A1037"/>
    <hyperlink r:id="rId630" ref="A1038"/>
    <hyperlink r:id="rId631" ref="A1039"/>
    <hyperlink r:id="rId632" ref="A1040"/>
    <hyperlink r:id="rId633" ref="A1046"/>
    <hyperlink r:id="rId634" ref="A1047"/>
    <hyperlink r:id="rId635" ref="A1048"/>
    <hyperlink r:id="rId636" ref="A1049"/>
    <hyperlink r:id="rId637" ref="A1050"/>
    <hyperlink r:id="rId638" ref="A1051"/>
    <hyperlink r:id="rId639" ref="A1052"/>
    <hyperlink r:id="rId640" ref="A1053"/>
    <hyperlink r:id="rId641" ref="A1058"/>
    <hyperlink r:id="rId642" ref="A1059"/>
    <hyperlink r:id="rId643" ref="A1060"/>
    <hyperlink r:id="rId644" ref="A1061"/>
    <hyperlink r:id="rId645" ref="A1062"/>
    <hyperlink r:id="rId646" ref="A1067"/>
    <hyperlink r:id="rId647" ref="A1068"/>
    <hyperlink r:id="rId648" ref="A1069"/>
    <hyperlink r:id="rId649" ref="A1070"/>
    <hyperlink r:id="rId650" ref="A1071"/>
    <hyperlink r:id="rId651" ref="A1072"/>
    <hyperlink r:id="rId652" ref="A1073"/>
    <hyperlink r:id="rId653" ref="A1074"/>
    <hyperlink r:id="rId654" ref="A1075"/>
    <hyperlink r:id="rId655" ref="A1076"/>
    <hyperlink r:id="rId656" ref="A1081"/>
    <hyperlink r:id="rId657" ref="A1082"/>
    <hyperlink r:id="rId658" ref="A1083"/>
    <hyperlink r:id="rId659" ref="A1084"/>
    <hyperlink r:id="rId660" ref="A1085"/>
    <hyperlink r:id="rId661" ref="A1086"/>
    <hyperlink r:id="rId662" ref="A1087"/>
    <hyperlink r:id="rId663" ref="A1088"/>
    <hyperlink r:id="rId664" ref="A1089"/>
    <hyperlink r:id="rId665" ref="A1090"/>
    <hyperlink r:id="rId666" ref="A1091"/>
    <hyperlink r:id="rId667" ref="A1092"/>
    <hyperlink r:id="rId668" ref="A1093"/>
    <hyperlink r:id="rId669" ref="A1094"/>
    <hyperlink r:id="rId670" ref="A1095"/>
    <hyperlink r:id="rId671" ref="A1096"/>
    <hyperlink r:id="rId672" ref="A1097"/>
    <hyperlink r:id="rId673" ref="A1098"/>
    <hyperlink r:id="rId674" ref="A1099"/>
    <hyperlink r:id="rId675" ref="A1100"/>
    <hyperlink r:id="rId676" ref="A1101"/>
    <hyperlink r:id="rId677" ref="A1102"/>
    <hyperlink r:id="rId678" ref="A1103"/>
    <hyperlink r:id="rId679" ref="A1104"/>
    <hyperlink r:id="rId680" ref="A1105"/>
    <hyperlink r:id="rId681" ref="A1109"/>
    <hyperlink r:id="rId682" ref="A1110"/>
    <hyperlink r:id="rId683" ref="A1111"/>
    <hyperlink r:id="rId684" ref="A1112"/>
    <hyperlink r:id="rId685" ref="A1113"/>
    <hyperlink r:id="rId686" ref="A1114"/>
    <hyperlink r:id="rId687" ref="A1115"/>
    <hyperlink r:id="rId688" ref="A1116"/>
    <hyperlink r:id="rId689" ref="A1117"/>
    <hyperlink r:id="rId690" ref="A1118"/>
    <hyperlink r:id="rId691" ref="A1119"/>
    <hyperlink r:id="rId692" ref="A1120"/>
    <hyperlink r:id="rId693" ref="A1125"/>
    <hyperlink r:id="rId694" ref="A1126"/>
    <hyperlink r:id="rId695" ref="A1127"/>
    <hyperlink r:id="rId696" ref="A1128"/>
    <hyperlink r:id="rId697" ref="A1129"/>
    <hyperlink r:id="rId698" ref="A1130"/>
    <hyperlink r:id="rId699" ref="A1131"/>
    <hyperlink r:id="rId700" ref="A1132"/>
    <hyperlink r:id="rId701" ref="A1133"/>
    <hyperlink r:id="rId702" ref="A1134"/>
    <hyperlink r:id="rId703" ref="A1139"/>
    <hyperlink r:id="rId704" ref="A1140"/>
    <hyperlink r:id="rId705" ref="A1141"/>
    <hyperlink r:id="rId706" ref="A1142"/>
    <hyperlink r:id="rId707" ref="A1143"/>
    <hyperlink r:id="rId708" ref="A1144"/>
    <hyperlink r:id="rId709" ref="A1145"/>
    <hyperlink r:id="rId710" ref="A1146"/>
    <hyperlink r:id="rId711" ref="A1147"/>
    <hyperlink r:id="rId712" ref="A1152"/>
    <hyperlink r:id="rId713" ref="A1153"/>
    <hyperlink r:id="rId714" ref="A1154"/>
    <hyperlink r:id="rId715" ref="A1155"/>
    <hyperlink r:id="rId716" ref="A1156"/>
    <hyperlink r:id="rId717" ref="A1157"/>
    <hyperlink r:id="rId718" ref="A1158"/>
    <hyperlink r:id="rId719" ref="A1159"/>
    <hyperlink r:id="rId720" ref="A1160"/>
    <hyperlink r:id="rId721" ref="A1161"/>
    <hyperlink r:id="rId722" ref="A1162"/>
    <hyperlink r:id="rId723" ref="A1163"/>
    <hyperlink r:id="rId724" ref="A1168"/>
    <hyperlink r:id="rId725" ref="A1169"/>
    <hyperlink r:id="rId726" ref="A1170"/>
    <hyperlink r:id="rId727" ref="A1171"/>
    <hyperlink r:id="rId728" ref="A1172"/>
    <hyperlink r:id="rId729" ref="A1173"/>
    <hyperlink r:id="rId730" ref="A1174"/>
    <hyperlink r:id="rId731" ref="A1175"/>
    <hyperlink r:id="rId732" ref="A1176"/>
    <hyperlink r:id="rId733" ref="A1177"/>
    <hyperlink r:id="rId734" ref="A1178"/>
    <hyperlink r:id="rId735" ref="A1184"/>
    <hyperlink r:id="rId736" ref="A1185"/>
    <hyperlink r:id="rId737" ref="A1186"/>
    <hyperlink r:id="rId738" ref="A1187"/>
    <hyperlink r:id="rId739" ref="A1188"/>
    <hyperlink r:id="rId740" ref="A1189"/>
    <hyperlink r:id="rId741" ref="A1190"/>
    <hyperlink r:id="rId742" ref="A1191"/>
    <hyperlink r:id="rId743" ref="A1192"/>
    <hyperlink r:id="rId744" ref="A1193"/>
    <hyperlink r:id="rId745" ref="A1194"/>
    <hyperlink r:id="rId746" ref="A1195"/>
    <hyperlink r:id="rId747" ref="A1196"/>
    <hyperlink r:id="rId748" ref="A1201"/>
    <hyperlink r:id="rId749" ref="A1202"/>
    <hyperlink r:id="rId750" ref="A1203"/>
    <hyperlink r:id="rId751" ref="A1204"/>
    <hyperlink r:id="rId752" ref="A1205"/>
    <hyperlink r:id="rId753" ref="A1206"/>
    <hyperlink r:id="rId754" ref="A1211"/>
    <hyperlink r:id="rId755" ref="A1212"/>
    <hyperlink r:id="rId756" ref="A1213"/>
    <hyperlink r:id="rId757" ref="A1214"/>
    <hyperlink r:id="rId758" ref="A1215"/>
    <hyperlink r:id="rId759" ref="A1216"/>
    <hyperlink r:id="rId760" ref="A1221"/>
    <hyperlink r:id="rId761" ref="A1222"/>
    <hyperlink r:id="rId762" ref="A1223"/>
    <hyperlink r:id="rId763" ref="A1224"/>
    <hyperlink r:id="rId764" ref="A1229"/>
    <hyperlink r:id="rId765" ref="A1230"/>
    <hyperlink r:id="rId766" ref="A1231"/>
    <hyperlink r:id="rId767" ref="A1232"/>
    <hyperlink r:id="rId768" ref="A1233"/>
    <hyperlink r:id="rId769" ref="A1234"/>
    <hyperlink r:id="rId770" ref="A1235"/>
    <hyperlink r:id="rId771" ref="A1236"/>
    <hyperlink r:id="rId772" ref="A1237"/>
    <hyperlink r:id="rId773" ref="A1238"/>
    <hyperlink r:id="rId774" ref="A1239"/>
    <hyperlink r:id="rId775" ref="A1240"/>
    <hyperlink r:id="rId776" ref="A1245"/>
    <hyperlink r:id="rId777" ref="A1246"/>
    <hyperlink r:id="rId778" ref="A1247"/>
    <hyperlink r:id="rId779" ref="A1248"/>
    <hyperlink r:id="rId780" ref="A1249"/>
    <hyperlink r:id="rId781" ref="A1250"/>
    <hyperlink r:id="rId782" ref="A1251"/>
    <hyperlink r:id="rId783" ref="A1252"/>
    <hyperlink r:id="rId784" ref="A1253"/>
    <hyperlink r:id="rId785" ref="A1254"/>
    <hyperlink r:id="rId786" ref="A1255"/>
    <hyperlink r:id="rId787" ref="A1256"/>
    <hyperlink r:id="rId788" ref="A1257"/>
    <hyperlink r:id="rId789" ref="A1262"/>
    <hyperlink r:id="rId790" ref="A1263"/>
    <hyperlink r:id="rId791" ref="A1264"/>
    <hyperlink r:id="rId792" ref="A1268"/>
    <hyperlink r:id="rId793" ref="A1269"/>
    <hyperlink r:id="rId794" ref="A1270"/>
    <hyperlink r:id="rId795" ref="A1275"/>
    <hyperlink r:id="rId796" ref="A1276"/>
    <hyperlink r:id="rId797" ref="A1277"/>
    <hyperlink r:id="rId798" ref="A1278"/>
    <hyperlink r:id="rId799" ref="A1283"/>
    <hyperlink r:id="rId800" ref="A1284"/>
    <hyperlink r:id="rId801" ref="A1285"/>
    <hyperlink r:id="rId802" ref="A1286"/>
    <hyperlink r:id="rId803" ref="A1287"/>
    <hyperlink r:id="rId804" ref="A1288"/>
    <hyperlink r:id="rId805" ref="A1289"/>
    <hyperlink r:id="rId806" ref="A1290"/>
    <hyperlink r:id="rId807" ref="A1291"/>
    <hyperlink r:id="rId808" ref="A1292"/>
    <hyperlink r:id="rId809" ref="A1293"/>
    <hyperlink r:id="rId810" ref="A1294"/>
    <hyperlink r:id="rId811" ref="A1295"/>
    <hyperlink r:id="rId812" ref="A1296"/>
    <hyperlink r:id="rId813" ref="A1297"/>
    <hyperlink r:id="rId814" ref="A1298"/>
    <hyperlink r:id="rId815" ref="A1299"/>
    <hyperlink r:id="rId816" ref="A1304"/>
    <hyperlink r:id="rId817" ref="A1305"/>
    <hyperlink r:id="rId818" ref="A1306"/>
    <hyperlink r:id="rId819" ref="A1307"/>
    <hyperlink r:id="rId820" ref="A1308"/>
    <hyperlink r:id="rId821" ref="A1309"/>
    <hyperlink r:id="rId822" ref="A1310"/>
    <hyperlink r:id="rId823" ref="A1311"/>
    <hyperlink r:id="rId824" ref="A1312"/>
    <hyperlink r:id="rId825" ref="A1313"/>
    <hyperlink r:id="rId826" ref="A1314"/>
    <hyperlink r:id="rId827" ref="A1315"/>
    <hyperlink r:id="rId828" ref="A1316"/>
    <hyperlink r:id="rId829" ref="A1317"/>
    <hyperlink r:id="rId830" ref="A1318"/>
    <hyperlink r:id="rId831" ref="A1319"/>
    <hyperlink r:id="rId832" ref="A1324"/>
    <hyperlink r:id="rId833" ref="A1325"/>
    <hyperlink r:id="rId834" ref="A1326"/>
    <hyperlink r:id="rId835" ref="A1327"/>
    <hyperlink r:id="rId836" ref="A1328"/>
    <hyperlink r:id="rId837" ref="A1329"/>
    <hyperlink r:id="rId838" ref="A1330"/>
    <hyperlink r:id="rId839" ref="A1331"/>
    <hyperlink r:id="rId840" ref="A1332"/>
    <hyperlink r:id="rId841" ref="A1333"/>
    <hyperlink r:id="rId842" ref="A1334"/>
    <hyperlink r:id="rId843" ref="A1335"/>
    <hyperlink r:id="rId844" ref="A1336"/>
    <hyperlink r:id="rId845" ref="A1337"/>
    <hyperlink r:id="rId846" ref="A1342"/>
    <hyperlink r:id="rId847" ref="A1343"/>
    <hyperlink r:id="rId848" ref="A1344"/>
    <hyperlink r:id="rId849" ref="A1345"/>
    <hyperlink r:id="rId850" ref="A1346"/>
    <hyperlink r:id="rId851" ref="A1347"/>
    <hyperlink r:id="rId852" ref="A1348"/>
    <hyperlink r:id="rId853" ref="A1349"/>
    <hyperlink r:id="rId854" ref="A1350"/>
    <hyperlink r:id="rId855" ref="A1351"/>
    <hyperlink r:id="rId856" ref="A1352"/>
    <hyperlink r:id="rId857" ref="A1354"/>
    <hyperlink r:id="rId858" ref="A1355"/>
    <hyperlink r:id="rId859" ref="A1360"/>
    <hyperlink r:id="rId860" ref="A1361"/>
    <hyperlink r:id="rId861" ref="A1362"/>
    <hyperlink r:id="rId862" ref="A1363"/>
    <hyperlink r:id="rId863" ref="A1364"/>
    <hyperlink r:id="rId864" ref="A1365"/>
    <hyperlink r:id="rId865" ref="A1370"/>
    <hyperlink r:id="rId866" ref="A1371"/>
    <hyperlink r:id="rId867" ref="A1372"/>
    <hyperlink r:id="rId868" ref="A1373"/>
    <hyperlink r:id="rId869" ref="A1374"/>
    <hyperlink r:id="rId870" ref="A1375"/>
    <hyperlink r:id="rId871" ref="A1376"/>
    <hyperlink r:id="rId872" ref="A1377"/>
    <hyperlink r:id="rId873" ref="A1378"/>
    <hyperlink r:id="rId874" ref="A1379"/>
    <hyperlink r:id="rId875" ref="A1384"/>
    <hyperlink r:id="rId876" ref="A1385"/>
    <hyperlink r:id="rId877" ref="A1386"/>
    <hyperlink r:id="rId878" ref="A1387"/>
    <hyperlink r:id="rId879" ref="A1388"/>
    <hyperlink r:id="rId880" ref="A1389"/>
    <hyperlink r:id="rId881" ref="A1390"/>
    <hyperlink r:id="rId882" ref="A1391"/>
    <hyperlink r:id="rId883" ref="A1392"/>
    <hyperlink r:id="rId884" ref="A1393"/>
    <hyperlink r:id="rId885" ref="A1394"/>
    <hyperlink r:id="rId886" ref="A1395"/>
    <hyperlink r:id="rId887" ref="A1396"/>
    <hyperlink r:id="rId888" ref="A1397"/>
    <hyperlink r:id="rId889" ref="A1398"/>
    <hyperlink r:id="rId890" ref="A1399"/>
    <hyperlink r:id="rId891" ref="A1400"/>
    <hyperlink r:id="rId892" ref="A1405"/>
    <hyperlink r:id="rId893" ref="A1406"/>
    <hyperlink r:id="rId894" ref="A1407"/>
    <hyperlink r:id="rId895" ref="A1408"/>
    <hyperlink r:id="rId896" ref="A1409"/>
    <hyperlink r:id="rId897" ref="A1410"/>
    <hyperlink r:id="rId898" ref="A1411"/>
    <hyperlink r:id="rId899" ref="A1412"/>
    <hyperlink r:id="rId900" ref="A1413"/>
    <hyperlink r:id="rId901" ref="A1414"/>
    <hyperlink r:id="rId902" ref="A1415"/>
    <hyperlink r:id="rId903" ref="A1416"/>
    <hyperlink r:id="rId904" ref="A1421"/>
    <hyperlink r:id="rId905" ref="A1422"/>
    <hyperlink r:id="rId906" ref="A1423"/>
    <hyperlink r:id="rId907" ref="A1424"/>
    <hyperlink r:id="rId908" ref="A1425"/>
    <hyperlink r:id="rId909" ref="A1426"/>
    <hyperlink r:id="rId910" ref="A1427"/>
    <hyperlink r:id="rId911" ref="A1432"/>
    <hyperlink r:id="rId912" ref="A1433"/>
    <hyperlink r:id="rId913" ref="A1434"/>
    <hyperlink r:id="rId914" ref="A1435"/>
    <hyperlink r:id="rId915" ref="A1436"/>
    <hyperlink r:id="rId916" ref="A1437"/>
    <hyperlink r:id="rId917" ref="A1442"/>
    <hyperlink r:id="rId918" ref="A1443"/>
    <hyperlink r:id="rId919" ref="A1444"/>
    <hyperlink r:id="rId920" ref="A1445"/>
    <hyperlink r:id="rId921" ref="A1450"/>
    <hyperlink r:id="rId922" ref="A1451"/>
    <hyperlink r:id="rId923" ref="A1452"/>
    <hyperlink r:id="rId924" ref="A1453"/>
    <hyperlink r:id="rId925" ref="A1454"/>
    <hyperlink r:id="rId926" ref="A1455"/>
    <hyperlink r:id="rId927" ref="A1456"/>
    <hyperlink r:id="rId928" ref="A1457"/>
    <hyperlink r:id="rId929" ref="A1458"/>
    <hyperlink r:id="rId930" ref="A1459"/>
    <hyperlink r:id="rId931" ref="A1460"/>
    <hyperlink r:id="rId932" ref="A1461"/>
    <hyperlink r:id="rId933" ref="A1466"/>
    <hyperlink r:id="rId934" ref="A1467"/>
    <hyperlink r:id="rId935" ref="A1468"/>
    <hyperlink r:id="rId936" ref="A1469"/>
    <hyperlink r:id="rId937" ref="A1470"/>
    <hyperlink r:id="rId938" ref="A1471"/>
    <hyperlink r:id="rId939" ref="A1472"/>
    <hyperlink r:id="rId940" ref="A1473"/>
    <hyperlink r:id="rId941" ref="A1474"/>
    <hyperlink r:id="rId942" ref="A1479"/>
    <hyperlink r:id="rId943" ref="A1480"/>
    <hyperlink r:id="rId944" ref="A1481"/>
    <hyperlink r:id="rId945" ref="A1486"/>
    <hyperlink r:id="rId946" ref="A1487"/>
    <hyperlink r:id="rId947" ref="A1488"/>
    <hyperlink r:id="rId948" ref="A1489"/>
    <hyperlink r:id="rId949" ref="A1490"/>
    <hyperlink r:id="rId950" ref="A1491"/>
    <hyperlink r:id="rId951" ref="A1492"/>
    <hyperlink r:id="rId952" ref="A1493"/>
    <hyperlink r:id="rId953" ref="A1494"/>
    <hyperlink r:id="rId954" ref="A1495"/>
    <hyperlink r:id="rId955" ref="A1496"/>
    <hyperlink r:id="rId956" ref="A1497"/>
    <hyperlink r:id="rId957" ref="A1498"/>
    <hyperlink r:id="rId958" ref="A1503"/>
    <hyperlink r:id="rId959" ref="A1504"/>
    <hyperlink r:id="rId960" ref="A1505"/>
    <hyperlink r:id="rId961" ref="A1506"/>
    <hyperlink r:id="rId962" ref="A1507"/>
    <hyperlink r:id="rId963" ref="A1508"/>
    <hyperlink r:id="rId964" ref="A1513"/>
    <hyperlink r:id="rId965" ref="A1514"/>
    <hyperlink r:id="rId966" ref="A1515"/>
    <hyperlink r:id="rId967" ref="A1516"/>
    <hyperlink r:id="rId968" ref="A1517"/>
    <hyperlink r:id="rId969" ref="A1518"/>
    <hyperlink r:id="rId970" ref="A1519"/>
    <hyperlink r:id="rId971" ref="A1520"/>
    <hyperlink r:id="rId972" ref="A1521"/>
    <hyperlink r:id="rId973" ref="A1522"/>
    <hyperlink r:id="rId974" ref="A1523"/>
    <hyperlink r:id="rId975" ref="A1524"/>
    <hyperlink r:id="rId976" ref="A1525"/>
    <hyperlink r:id="rId977" ref="A1526"/>
    <hyperlink r:id="rId978" ref="A1527"/>
    <hyperlink r:id="rId979" ref="A1532"/>
    <hyperlink r:id="rId980" ref="A1533"/>
    <hyperlink r:id="rId981" ref="A1534"/>
    <hyperlink r:id="rId982" ref="A1535"/>
    <hyperlink r:id="rId983" ref="A1536"/>
    <hyperlink r:id="rId984" ref="A1537"/>
    <hyperlink r:id="rId985" ref="A1538"/>
    <hyperlink r:id="rId986" ref="A1539"/>
    <hyperlink r:id="rId987" ref="A1540"/>
    <hyperlink r:id="rId988" ref="A1541"/>
    <hyperlink r:id="rId989" ref="A1542"/>
    <hyperlink r:id="rId990" ref="A1547"/>
    <hyperlink r:id="rId991" ref="A1548"/>
    <hyperlink r:id="rId992" ref="A1549"/>
    <hyperlink r:id="rId993" ref="A1550"/>
    <hyperlink r:id="rId994" ref="A1551"/>
    <hyperlink r:id="rId995" ref="A1552"/>
    <hyperlink r:id="rId996" ref="A1553"/>
    <hyperlink r:id="rId997" ref="A1555"/>
    <hyperlink r:id="rId998" ref="A1556"/>
    <hyperlink r:id="rId999" ref="A1557"/>
    <hyperlink r:id="rId1000" ref="A1558"/>
    <hyperlink r:id="rId1001" ref="A1559"/>
    <hyperlink r:id="rId1002" ref="A1564"/>
    <hyperlink r:id="rId1003" ref="A1565"/>
    <hyperlink r:id="rId1004" ref="A1566"/>
    <hyperlink r:id="rId1005" ref="A1567"/>
    <hyperlink r:id="rId1006" ref="A1568"/>
    <hyperlink r:id="rId1007" ref="A1569"/>
    <hyperlink r:id="rId1008" ref="A1570"/>
    <hyperlink r:id="rId1009" ref="A1575"/>
    <hyperlink r:id="rId1010" ref="A1576"/>
    <hyperlink r:id="rId1011" ref="A1577"/>
    <hyperlink r:id="rId1012" ref="A1578"/>
    <hyperlink r:id="rId1013" ref="A1579"/>
    <hyperlink r:id="rId1014" ref="A1580"/>
    <hyperlink r:id="rId1015" ref="A1581"/>
    <hyperlink r:id="rId1016" ref="A1582"/>
    <hyperlink r:id="rId1017" ref="A1587"/>
    <hyperlink r:id="rId1018" ref="A1588"/>
    <hyperlink r:id="rId1019" ref="A1589"/>
    <hyperlink r:id="rId1020" ref="A1590"/>
    <hyperlink r:id="rId1021" ref="A1591"/>
    <hyperlink r:id="rId1022" ref="A1592"/>
    <hyperlink r:id="rId1023" ref="A1593"/>
    <hyperlink r:id="rId1024" ref="A1594"/>
    <hyperlink r:id="rId1025" ref="A1595"/>
    <hyperlink r:id="rId1026" ref="A1596"/>
    <hyperlink r:id="rId1027" ref="A1597"/>
    <hyperlink r:id="rId1028" ref="A1598"/>
    <hyperlink r:id="rId1029" ref="A1599"/>
    <hyperlink r:id="rId1030" ref="A1604"/>
    <hyperlink r:id="rId1031" ref="A1605"/>
    <hyperlink r:id="rId1032" ref="A1606"/>
    <hyperlink r:id="rId1033" ref="A1607"/>
    <hyperlink r:id="rId1034" ref="A1608"/>
    <hyperlink r:id="rId1035" ref="A1609"/>
    <hyperlink r:id="rId1036" ref="A1610"/>
    <hyperlink r:id="rId1037" ref="A1615"/>
    <hyperlink r:id="rId1038" ref="A1616"/>
    <hyperlink r:id="rId1039" ref="A1621"/>
    <hyperlink r:id="rId1040" ref="A1622"/>
    <hyperlink r:id="rId1041" ref="A1623"/>
    <hyperlink r:id="rId1042" ref="A1624"/>
    <hyperlink r:id="rId1043" ref="A1625"/>
    <hyperlink r:id="rId1044" ref="A1626"/>
    <hyperlink r:id="rId1045" ref="A1627"/>
    <hyperlink r:id="rId1046" ref="A1628"/>
    <hyperlink r:id="rId1047" ref="A1633"/>
    <hyperlink r:id="rId1048" ref="A1634"/>
    <hyperlink r:id="rId1049" ref="A1635"/>
    <hyperlink r:id="rId1050" ref="A1636"/>
    <hyperlink r:id="rId1051" ref="A1637"/>
    <hyperlink r:id="rId1052" ref="A1638"/>
    <hyperlink r:id="rId1053" ref="A1639"/>
    <hyperlink r:id="rId1054" ref="A1640"/>
    <hyperlink r:id="rId1055" ref="A1641"/>
    <hyperlink r:id="rId1056" ref="A1646"/>
    <hyperlink r:id="rId1057" ref="A1647"/>
    <hyperlink r:id="rId1058" ref="A1648"/>
    <hyperlink r:id="rId1059" ref="A1649"/>
    <hyperlink r:id="rId1060" ref="A1650"/>
    <hyperlink r:id="rId1061" ref="A1651"/>
    <hyperlink r:id="rId1062" ref="A1652"/>
    <hyperlink r:id="rId1063" ref="A1653"/>
    <hyperlink r:id="rId1064" ref="A1654"/>
    <hyperlink r:id="rId1065" ref="A1655"/>
    <hyperlink r:id="rId1066" ref="A1656"/>
    <hyperlink r:id="rId1067" ref="A1657"/>
    <hyperlink r:id="rId1068" ref="A1658"/>
    <hyperlink r:id="rId1069" ref="A1659"/>
    <hyperlink r:id="rId1070" ref="A1660"/>
    <hyperlink r:id="rId1071" ref="A1661"/>
    <hyperlink r:id="rId1072" ref="A1662"/>
    <hyperlink r:id="rId1073" ref="A1663"/>
    <hyperlink r:id="rId1074" ref="A1664"/>
    <hyperlink r:id="rId1075" ref="A1669"/>
    <hyperlink r:id="rId1076" ref="A1670"/>
    <hyperlink r:id="rId1077" ref="A1671"/>
    <hyperlink r:id="rId1078" ref="A1672"/>
    <hyperlink r:id="rId1079" ref="A1673"/>
    <hyperlink r:id="rId1080" ref="A1674"/>
    <hyperlink r:id="rId1081" ref="A1675"/>
    <hyperlink r:id="rId1082" ref="A1676"/>
    <hyperlink r:id="rId1083" ref="A1677"/>
    <hyperlink r:id="rId1084" ref="A1682"/>
    <hyperlink r:id="rId1085" ref="A1683"/>
    <hyperlink r:id="rId1086" ref="A1684"/>
    <hyperlink r:id="rId1087" ref="A1685"/>
    <hyperlink r:id="rId1088" ref="A1686"/>
    <hyperlink r:id="rId1089" ref="A1687"/>
    <hyperlink r:id="rId1090" ref="A1688"/>
    <hyperlink r:id="rId1091" ref="A1689"/>
    <hyperlink r:id="rId1092" ref="A1690"/>
    <hyperlink r:id="rId1093" ref="A1691"/>
    <hyperlink r:id="rId1094" ref="A1696"/>
    <hyperlink r:id="rId1095" ref="A1697"/>
    <hyperlink r:id="rId1096" ref="A1698"/>
    <hyperlink r:id="rId1097" ref="A1699"/>
    <hyperlink r:id="rId1098" ref="A1700"/>
    <hyperlink r:id="rId1099" ref="A1701"/>
    <hyperlink r:id="rId1100" ref="A1702"/>
    <hyperlink r:id="rId1101" ref="A1703"/>
    <hyperlink r:id="rId1102" ref="A1704"/>
    <hyperlink r:id="rId1103" ref="A1705"/>
    <hyperlink r:id="rId1104" ref="A1706"/>
    <hyperlink r:id="rId1105" ref="A1707"/>
    <hyperlink r:id="rId1106" ref="A1708"/>
    <hyperlink r:id="rId1107" ref="A1713"/>
    <hyperlink r:id="rId1108" ref="A1714"/>
    <hyperlink r:id="rId1109" ref="A1719"/>
    <hyperlink r:id="rId1110" ref="A1720"/>
    <hyperlink r:id="rId1111" ref="A1721"/>
    <hyperlink r:id="rId1112" ref="A1722"/>
    <hyperlink r:id="rId1113" ref="A1723"/>
    <hyperlink r:id="rId1114" ref="A1724"/>
    <hyperlink r:id="rId1115" ref="A1725"/>
    <hyperlink r:id="rId1116" ref="A1726"/>
    <hyperlink r:id="rId1117" ref="A1731"/>
    <hyperlink r:id="rId1118" ref="A1732"/>
    <hyperlink r:id="rId1119" ref="A1733"/>
    <hyperlink r:id="rId1120" ref="A1734"/>
    <hyperlink r:id="rId1121" ref="A1735"/>
    <hyperlink r:id="rId1122" ref="A1736"/>
    <hyperlink r:id="rId1123" ref="A1737"/>
    <hyperlink r:id="rId1124" ref="A1738"/>
    <hyperlink r:id="rId1125" ref="A1739"/>
    <hyperlink r:id="rId1126" ref="A1740"/>
    <hyperlink r:id="rId1127" ref="A1741"/>
    <hyperlink r:id="rId1128" ref="A1746"/>
    <hyperlink r:id="rId1129" ref="A1747"/>
    <hyperlink r:id="rId1130" ref="A1748"/>
    <hyperlink r:id="rId1131" ref="A1749"/>
    <hyperlink r:id="rId1132" ref="A1750"/>
    <hyperlink r:id="rId1133" ref="A1751"/>
    <hyperlink r:id="rId1134" ref="A1752"/>
    <hyperlink r:id="rId1135" ref="A1757"/>
    <hyperlink r:id="rId1136" ref="A175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37"/>
  <tableParts count="141">
    <tablePart r:id="rId1279"/>
    <tablePart r:id="rId1280"/>
    <tablePart r:id="rId1281"/>
    <tablePart r:id="rId1282"/>
    <tablePart r:id="rId1283"/>
    <tablePart r:id="rId1284"/>
    <tablePart r:id="rId1285"/>
    <tablePart r:id="rId1286"/>
    <tablePart r:id="rId1287"/>
    <tablePart r:id="rId1288"/>
    <tablePart r:id="rId1289"/>
    <tablePart r:id="rId1290"/>
    <tablePart r:id="rId1291"/>
    <tablePart r:id="rId1292"/>
    <tablePart r:id="rId1293"/>
    <tablePart r:id="rId1294"/>
    <tablePart r:id="rId1295"/>
    <tablePart r:id="rId1296"/>
    <tablePart r:id="rId1297"/>
    <tablePart r:id="rId1298"/>
    <tablePart r:id="rId1299"/>
    <tablePart r:id="rId1300"/>
    <tablePart r:id="rId1301"/>
    <tablePart r:id="rId1302"/>
    <tablePart r:id="rId1303"/>
    <tablePart r:id="rId1304"/>
    <tablePart r:id="rId1305"/>
    <tablePart r:id="rId1306"/>
    <tablePart r:id="rId1307"/>
    <tablePart r:id="rId1308"/>
    <tablePart r:id="rId1309"/>
    <tablePart r:id="rId1310"/>
    <tablePart r:id="rId1311"/>
    <tablePart r:id="rId1312"/>
    <tablePart r:id="rId1313"/>
    <tablePart r:id="rId1314"/>
    <tablePart r:id="rId1315"/>
    <tablePart r:id="rId1316"/>
    <tablePart r:id="rId1317"/>
    <tablePart r:id="rId1318"/>
    <tablePart r:id="rId1319"/>
    <tablePart r:id="rId1320"/>
    <tablePart r:id="rId1321"/>
    <tablePart r:id="rId1322"/>
    <tablePart r:id="rId1323"/>
    <tablePart r:id="rId1324"/>
    <tablePart r:id="rId1325"/>
    <tablePart r:id="rId1326"/>
    <tablePart r:id="rId1327"/>
    <tablePart r:id="rId1328"/>
    <tablePart r:id="rId1329"/>
    <tablePart r:id="rId1330"/>
    <tablePart r:id="rId1331"/>
    <tablePart r:id="rId1332"/>
    <tablePart r:id="rId1333"/>
    <tablePart r:id="rId1334"/>
    <tablePart r:id="rId1335"/>
    <tablePart r:id="rId1336"/>
    <tablePart r:id="rId1337"/>
    <tablePart r:id="rId1338"/>
    <tablePart r:id="rId1339"/>
    <tablePart r:id="rId1340"/>
    <tablePart r:id="rId1341"/>
    <tablePart r:id="rId1342"/>
    <tablePart r:id="rId1343"/>
    <tablePart r:id="rId1344"/>
    <tablePart r:id="rId1345"/>
    <tablePart r:id="rId1346"/>
    <tablePart r:id="rId1347"/>
    <tablePart r:id="rId1348"/>
    <tablePart r:id="rId1349"/>
    <tablePart r:id="rId1350"/>
    <tablePart r:id="rId1351"/>
    <tablePart r:id="rId1352"/>
    <tablePart r:id="rId1353"/>
    <tablePart r:id="rId1354"/>
    <tablePart r:id="rId1355"/>
    <tablePart r:id="rId1356"/>
    <tablePart r:id="rId1357"/>
    <tablePart r:id="rId1358"/>
    <tablePart r:id="rId1359"/>
    <tablePart r:id="rId1360"/>
    <tablePart r:id="rId1361"/>
    <tablePart r:id="rId1362"/>
    <tablePart r:id="rId1363"/>
    <tablePart r:id="rId1364"/>
    <tablePart r:id="rId1365"/>
    <tablePart r:id="rId1366"/>
    <tablePart r:id="rId1367"/>
    <tablePart r:id="rId1368"/>
    <tablePart r:id="rId1369"/>
    <tablePart r:id="rId1370"/>
    <tablePart r:id="rId1371"/>
    <tablePart r:id="rId1372"/>
    <tablePart r:id="rId1373"/>
    <tablePart r:id="rId1374"/>
    <tablePart r:id="rId1375"/>
    <tablePart r:id="rId1376"/>
    <tablePart r:id="rId1377"/>
    <tablePart r:id="rId1378"/>
    <tablePart r:id="rId1379"/>
    <tablePart r:id="rId1380"/>
    <tablePart r:id="rId1381"/>
    <tablePart r:id="rId1382"/>
    <tablePart r:id="rId1383"/>
    <tablePart r:id="rId1384"/>
    <tablePart r:id="rId1385"/>
    <tablePart r:id="rId1386"/>
    <tablePart r:id="rId1387"/>
    <tablePart r:id="rId1388"/>
    <tablePart r:id="rId1389"/>
    <tablePart r:id="rId1390"/>
    <tablePart r:id="rId1391"/>
    <tablePart r:id="rId1392"/>
    <tablePart r:id="rId1393"/>
    <tablePart r:id="rId1394"/>
    <tablePart r:id="rId1395"/>
    <tablePart r:id="rId1396"/>
    <tablePart r:id="rId1397"/>
    <tablePart r:id="rId1398"/>
    <tablePart r:id="rId1399"/>
    <tablePart r:id="rId1400"/>
    <tablePart r:id="rId1401"/>
    <tablePart r:id="rId1402"/>
    <tablePart r:id="rId1403"/>
    <tablePart r:id="rId1404"/>
    <tablePart r:id="rId1405"/>
    <tablePart r:id="rId1406"/>
    <tablePart r:id="rId1407"/>
    <tablePart r:id="rId1408"/>
    <tablePart r:id="rId1409"/>
    <tablePart r:id="rId1410"/>
    <tablePart r:id="rId1411"/>
    <tablePart r:id="rId1412"/>
    <tablePart r:id="rId1413"/>
    <tablePart r:id="rId1414"/>
    <tablePart r:id="rId1415"/>
    <tablePart r:id="rId1416"/>
    <tablePart r:id="rId1417"/>
    <tablePart r:id="rId1418"/>
    <tablePart r:id="rId14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7.13"/>
    <col customWidth="1" min="5" max="5" width="17.75"/>
  </cols>
  <sheetData>
    <row r="1">
      <c r="A1" s="1" t="s">
        <v>0</v>
      </c>
      <c r="B1" s="1"/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idden="1">
      <c r="A2" s="5">
        <v>46118.0</v>
      </c>
      <c r="B2" s="6"/>
      <c r="C2" s="6" t="s">
        <v>6</v>
      </c>
      <c r="D2" s="10" t="s">
        <v>9</v>
      </c>
      <c r="E2" s="13" t="s">
        <v>12</v>
      </c>
      <c r="F2" s="14">
        <v>30.97</v>
      </c>
      <c r="G2" s="12">
        <v>1.0</v>
      </c>
    </row>
    <row r="3" hidden="1">
      <c r="A3" s="5">
        <v>46118.0</v>
      </c>
      <c r="B3" s="15"/>
      <c r="C3" s="15" t="s">
        <v>14</v>
      </c>
      <c r="D3" s="10" t="s">
        <v>9</v>
      </c>
      <c r="E3" s="13" t="s">
        <v>12</v>
      </c>
      <c r="F3" s="14">
        <v>68.97</v>
      </c>
      <c r="G3" s="12">
        <v>2.0</v>
      </c>
    </row>
    <row r="4" hidden="1">
      <c r="A4" s="5">
        <v>46118.0</v>
      </c>
      <c r="B4" s="17"/>
      <c r="C4" s="17" t="s">
        <v>17</v>
      </c>
      <c r="D4" s="10" t="s">
        <v>9</v>
      </c>
      <c r="E4" s="13" t="s">
        <v>12</v>
      </c>
      <c r="F4" s="14">
        <v>82.97</v>
      </c>
      <c r="G4" s="12">
        <v>1.0</v>
      </c>
    </row>
    <row r="5" hidden="1">
      <c r="A5" s="5">
        <v>46118.0</v>
      </c>
      <c r="B5" s="19"/>
      <c r="C5" s="19" t="s">
        <v>21</v>
      </c>
      <c r="D5" s="10" t="s">
        <v>9</v>
      </c>
      <c r="E5" s="13" t="s">
        <v>12</v>
      </c>
      <c r="F5" s="14">
        <v>70.97</v>
      </c>
      <c r="G5" s="12">
        <v>1.0</v>
      </c>
    </row>
    <row r="6" hidden="1">
      <c r="A6" s="5">
        <v>46118.0</v>
      </c>
      <c r="B6" s="17"/>
      <c r="C6" s="17" t="s">
        <v>24</v>
      </c>
      <c r="D6" s="10" t="s">
        <v>9</v>
      </c>
      <c r="E6" s="13" t="s">
        <v>12</v>
      </c>
      <c r="F6" s="14">
        <v>83.97</v>
      </c>
      <c r="G6" s="12">
        <v>1.0</v>
      </c>
    </row>
    <row r="7" hidden="1">
      <c r="A7" s="5">
        <v>46118.0</v>
      </c>
      <c r="B7" s="20"/>
      <c r="C7" s="20" t="s">
        <v>28</v>
      </c>
      <c r="D7" s="10" t="s">
        <v>9</v>
      </c>
      <c r="E7" s="13" t="s">
        <v>12</v>
      </c>
      <c r="F7" s="14">
        <v>60.97</v>
      </c>
      <c r="G7" s="12">
        <v>1.0</v>
      </c>
    </row>
    <row r="8" hidden="1">
      <c r="A8" s="5">
        <v>46118.0</v>
      </c>
      <c r="B8" s="20"/>
      <c r="C8" s="20" t="s">
        <v>31</v>
      </c>
      <c r="D8" s="10" t="s">
        <v>9</v>
      </c>
      <c r="E8" s="13" t="s">
        <v>12</v>
      </c>
      <c r="F8" s="14">
        <v>56.97</v>
      </c>
      <c r="G8" s="12">
        <v>1.0</v>
      </c>
    </row>
    <row r="9" hidden="1">
      <c r="A9" s="5">
        <v>46118.0</v>
      </c>
      <c r="B9" s="20"/>
      <c r="C9" s="20" t="s">
        <v>35</v>
      </c>
      <c r="D9" s="10" t="s">
        <v>9</v>
      </c>
      <c r="E9" s="13" t="s">
        <v>12</v>
      </c>
      <c r="F9" s="14">
        <v>24.97</v>
      </c>
      <c r="G9" s="12">
        <v>1.0</v>
      </c>
    </row>
    <row r="10" hidden="1">
      <c r="A10" s="5">
        <v>46118.0</v>
      </c>
      <c r="B10" s="20"/>
      <c r="C10" s="20" t="s">
        <v>38</v>
      </c>
      <c r="D10" s="10" t="s">
        <v>9</v>
      </c>
      <c r="E10" s="13" t="s">
        <v>12</v>
      </c>
      <c r="F10" s="14">
        <v>33.97</v>
      </c>
      <c r="G10" s="12">
        <v>1.0</v>
      </c>
    </row>
    <row r="11" hidden="1">
      <c r="A11" s="5">
        <v>46118.0</v>
      </c>
      <c r="B11" s="20"/>
      <c r="C11" s="20" t="s">
        <v>41</v>
      </c>
      <c r="D11" s="10" t="s">
        <v>9</v>
      </c>
      <c r="E11" s="13" t="s">
        <v>12</v>
      </c>
      <c r="F11" s="14">
        <v>63.97</v>
      </c>
      <c r="G11" s="12">
        <v>1.0</v>
      </c>
    </row>
    <row r="12" hidden="1">
      <c r="A12" s="5">
        <v>46118.0</v>
      </c>
      <c r="B12" s="20"/>
      <c r="C12" s="20" t="s">
        <v>43</v>
      </c>
      <c r="D12" s="10" t="s">
        <v>9</v>
      </c>
      <c r="E12" s="13" t="s">
        <v>12</v>
      </c>
      <c r="F12" s="14">
        <v>158.97</v>
      </c>
      <c r="G12" s="12">
        <v>1.0</v>
      </c>
    </row>
    <row r="13" hidden="1">
      <c r="A13" s="5">
        <v>46118.0</v>
      </c>
      <c r="B13" s="20"/>
      <c r="C13" s="20" t="s">
        <v>44</v>
      </c>
      <c r="D13" s="10" t="s">
        <v>9</v>
      </c>
      <c r="E13" s="13" t="s">
        <v>12</v>
      </c>
      <c r="F13" s="14">
        <v>34.97</v>
      </c>
      <c r="G13" s="12">
        <v>1.0</v>
      </c>
    </row>
    <row r="14" hidden="1">
      <c r="A14" s="5">
        <v>46118.0</v>
      </c>
      <c r="B14" s="20"/>
      <c r="C14" s="20" t="s">
        <v>46</v>
      </c>
      <c r="D14" s="10" t="s">
        <v>9</v>
      </c>
      <c r="E14" s="13" t="s">
        <v>12</v>
      </c>
      <c r="F14" s="14">
        <v>64.97</v>
      </c>
      <c r="G14" s="12">
        <v>1.0</v>
      </c>
    </row>
    <row r="15" hidden="1">
      <c r="A15" s="5">
        <v>46118.0</v>
      </c>
      <c r="B15" s="20"/>
      <c r="C15" s="20" t="s">
        <v>47</v>
      </c>
      <c r="D15" s="10" t="s">
        <v>9</v>
      </c>
      <c r="E15" s="13" t="s">
        <v>12</v>
      </c>
      <c r="F15" s="14">
        <v>115.97</v>
      </c>
      <c r="G15" s="12">
        <v>1.0</v>
      </c>
    </row>
    <row r="16" hidden="1">
      <c r="A16" s="5">
        <v>46118.0</v>
      </c>
      <c r="B16" s="20"/>
      <c r="C16" s="20" t="s">
        <v>49</v>
      </c>
      <c r="D16" s="10" t="s">
        <v>9</v>
      </c>
      <c r="E16" s="13" t="s">
        <v>12</v>
      </c>
      <c r="F16" s="14">
        <v>95.97</v>
      </c>
      <c r="G16" s="12">
        <v>1.0</v>
      </c>
    </row>
    <row r="17" hidden="1">
      <c r="A17" s="5">
        <v>46118.0</v>
      </c>
      <c r="B17" s="20"/>
      <c r="C17" s="20" t="s">
        <v>50</v>
      </c>
      <c r="D17" s="10" t="s">
        <v>9</v>
      </c>
      <c r="E17" s="13" t="s">
        <v>12</v>
      </c>
      <c r="F17" s="14">
        <v>75.97</v>
      </c>
      <c r="G17" s="12">
        <v>1.0</v>
      </c>
    </row>
    <row r="18" hidden="1">
      <c r="A18" s="5">
        <v>46118.0</v>
      </c>
      <c r="B18" s="32"/>
      <c r="C18" s="32" t="s">
        <v>54</v>
      </c>
      <c r="D18" s="10" t="s">
        <v>9</v>
      </c>
      <c r="E18" s="13" t="s">
        <v>12</v>
      </c>
      <c r="F18" s="14">
        <v>25.97</v>
      </c>
      <c r="G18" s="12">
        <v>1.0</v>
      </c>
    </row>
    <row r="19" hidden="1">
      <c r="A19" s="5">
        <v>46118.0</v>
      </c>
      <c r="B19" s="20"/>
      <c r="C19" s="20" t="s">
        <v>57</v>
      </c>
      <c r="D19" s="10" t="s">
        <v>9</v>
      </c>
      <c r="E19" s="13" t="s">
        <v>12</v>
      </c>
      <c r="F19" s="14">
        <v>30.97</v>
      </c>
      <c r="G19" s="12">
        <v>1.0</v>
      </c>
    </row>
    <row r="20" hidden="1">
      <c r="A20" s="5">
        <v>46118.0</v>
      </c>
      <c r="B20" s="20"/>
      <c r="C20" s="20" t="s">
        <v>59</v>
      </c>
      <c r="D20" s="10" t="s">
        <v>9</v>
      </c>
      <c r="E20" s="13" t="s">
        <v>12</v>
      </c>
      <c r="F20" s="14">
        <v>64.97</v>
      </c>
      <c r="G20" s="12">
        <v>1.0</v>
      </c>
    </row>
    <row r="21" hidden="1">
      <c r="A21" s="5">
        <v>46118.0</v>
      </c>
      <c r="B21" s="35"/>
      <c r="C21" s="35" t="s">
        <v>62</v>
      </c>
      <c r="D21" s="10" t="s">
        <v>9</v>
      </c>
      <c r="E21" s="13" t="s">
        <v>12</v>
      </c>
      <c r="F21" s="14">
        <v>0.0</v>
      </c>
      <c r="G21" s="12">
        <v>0.0</v>
      </c>
    </row>
    <row r="22" hidden="1">
      <c r="A22" s="5">
        <v>46118.0</v>
      </c>
      <c r="B22" s="35"/>
      <c r="C22" s="35" t="s">
        <v>64</v>
      </c>
      <c r="D22" s="10" t="s">
        <v>9</v>
      </c>
      <c r="E22" s="13" t="s">
        <v>12</v>
      </c>
      <c r="F22" s="14">
        <v>0.0</v>
      </c>
      <c r="G22" s="12">
        <v>0.0</v>
      </c>
    </row>
    <row r="23" hidden="1">
      <c r="A23" s="5">
        <v>46118.0</v>
      </c>
      <c r="B23" s="36"/>
      <c r="C23" s="36" t="s">
        <v>66</v>
      </c>
      <c r="D23" s="10" t="s">
        <v>9</v>
      </c>
      <c r="E23" s="13" t="s">
        <v>12</v>
      </c>
      <c r="F23" s="14">
        <v>0.0</v>
      </c>
      <c r="G23" s="12">
        <v>0.0</v>
      </c>
    </row>
    <row r="24" hidden="1">
      <c r="A24" s="5">
        <v>46118.0</v>
      </c>
      <c r="B24" s="36"/>
      <c r="C24" s="36"/>
      <c r="D24" s="10" t="s">
        <v>9</v>
      </c>
      <c r="E24" s="13" t="s">
        <v>12</v>
      </c>
      <c r="F24" s="14">
        <v>0.0</v>
      </c>
      <c r="G24" s="12">
        <v>0.0</v>
      </c>
    </row>
    <row r="25" hidden="1">
      <c r="A25" s="5">
        <v>46118.0</v>
      </c>
      <c r="B25" s="37"/>
      <c r="C25" s="37"/>
      <c r="D25" s="10" t="s">
        <v>9</v>
      </c>
      <c r="E25" s="13" t="s">
        <v>12</v>
      </c>
      <c r="F25" s="14">
        <v>0.0</v>
      </c>
      <c r="G25" s="12">
        <v>0.0</v>
      </c>
    </row>
    <row r="26" ht="10.5" hidden="1" customHeight="1">
      <c r="A26" s="38"/>
      <c r="B26" s="39"/>
      <c r="C26" s="39"/>
      <c r="D26" s="40"/>
      <c r="E26" s="41"/>
      <c r="F26" s="42"/>
      <c r="G26" s="43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hidden="1">
      <c r="A27" s="5">
        <v>46119.0</v>
      </c>
      <c r="B27" s="35"/>
      <c r="C27" s="35" t="s">
        <v>62</v>
      </c>
      <c r="D27" s="10" t="s">
        <v>9</v>
      </c>
      <c r="E27" s="13" t="s">
        <v>12</v>
      </c>
      <c r="F27" s="14">
        <v>22.97</v>
      </c>
      <c r="G27" s="12">
        <v>1.0</v>
      </c>
    </row>
    <row r="28" hidden="1">
      <c r="A28" s="5">
        <v>46119.0</v>
      </c>
      <c r="B28" s="35"/>
      <c r="C28" s="35" t="s">
        <v>64</v>
      </c>
      <c r="D28" s="10" t="s">
        <v>9</v>
      </c>
      <c r="E28" s="13" t="s">
        <v>12</v>
      </c>
      <c r="F28" s="14">
        <v>42.97</v>
      </c>
      <c r="G28" s="12">
        <v>1.0</v>
      </c>
    </row>
    <row r="29" hidden="1">
      <c r="A29" s="5">
        <v>46119.0</v>
      </c>
      <c r="B29" s="36"/>
      <c r="C29" s="36" t="s">
        <v>66</v>
      </c>
      <c r="D29" s="10" t="s">
        <v>9</v>
      </c>
      <c r="E29" s="13" t="s">
        <v>12</v>
      </c>
      <c r="F29" s="14">
        <v>89.97</v>
      </c>
      <c r="G29" s="12">
        <v>1.0</v>
      </c>
    </row>
    <row r="30" hidden="1">
      <c r="A30" s="5">
        <v>46119.0</v>
      </c>
      <c r="B30" s="36"/>
      <c r="C30" s="36" t="s">
        <v>81</v>
      </c>
      <c r="D30" s="10" t="s">
        <v>9</v>
      </c>
      <c r="E30" s="13" t="s">
        <v>12</v>
      </c>
      <c r="F30" s="14">
        <v>24.97</v>
      </c>
      <c r="G30" s="12">
        <v>1.0</v>
      </c>
    </row>
    <row r="31" hidden="1">
      <c r="A31" s="5">
        <v>46119.0</v>
      </c>
      <c r="B31" s="36"/>
      <c r="C31" s="36" t="s">
        <v>83</v>
      </c>
      <c r="D31" s="10" t="s">
        <v>9</v>
      </c>
      <c r="E31" s="13" t="s">
        <v>12</v>
      </c>
      <c r="F31" s="14">
        <v>41.97</v>
      </c>
      <c r="G31" s="12">
        <v>1.0</v>
      </c>
    </row>
    <row r="32" hidden="1">
      <c r="A32" s="5">
        <v>46119.0</v>
      </c>
      <c r="B32" s="36"/>
      <c r="C32" s="36" t="s">
        <v>84</v>
      </c>
      <c r="D32" s="10" t="s">
        <v>9</v>
      </c>
      <c r="E32" s="13" t="s">
        <v>12</v>
      </c>
      <c r="F32" s="14">
        <v>75.97</v>
      </c>
      <c r="G32" s="12">
        <v>1.0</v>
      </c>
    </row>
    <row r="33" hidden="1">
      <c r="A33" s="5">
        <v>46119.0</v>
      </c>
      <c r="B33" s="36"/>
      <c r="C33" s="36" t="s">
        <v>87</v>
      </c>
      <c r="D33" s="10" t="s">
        <v>9</v>
      </c>
      <c r="E33" s="13" t="s">
        <v>12</v>
      </c>
      <c r="F33" s="14">
        <v>24.97</v>
      </c>
      <c r="G33" s="12">
        <v>1.0</v>
      </c>
    </row>
    <row r="34" hidden="1">
      <c r="A34" s="5">
        <v>46119.0</v>
      </c>
      <c r="B34" s="36"/>
      <c r="C34" s="36" t="s">
        <v>90</v>
      </c>
      <c r="D34" s="10" t="s">
        <v>9</v>
      </c>
      <c r="E34" s="13" t="s">
        <v>12</v>
      </c>
      <c r="F34" s="14">
        <v>47.97</v>
      </c>
      <c r="G34" s="12">
        <v>1.0</v>
      </c>
    </row>
    <row r="35" hidden="1">
      <c r="A35" s="5">
        <v>46119.0</v>
      </c>
      <c r="B35" s="46"/>
      <c r="C35" s="46" t="s">
        <v>93</v>
      </c>
      <c r="D35" s="10" t="s">
        <v>9</v>
      </c>
      <c r="E35" s="13" t="s">
        <v>12</v>
      </c>
      <c r="F35" s="14">
        <v>30.97</v>
      </c>
      <c r="G35" s="12">
        <v>1.0</v>
      </c>
    </row>
    <row r="36" hidden="1">
      <c r="A36" s="5">
        <v>46119.0</v>
      </c>
      <c r="B36" s="36"/>
      <c r="C36" s="36" t="s">
        <v>95</v>
      </c>
      <c r="D36" s="10" t="s">
        <v>9</v>
      </c>
      <c r="E36" s="13" t="s">
        <v>12</v>
      </c>
      <c r="F36" s="14">
        <v>36.97</v>
      </c>
      <c r="G36" s="12">
        <v>1.0</v>
      </c>
    </row>
    <row r="37" hidden="1">
      <c r="A37" s="5">
        <v>46119.0</v>
      </c>
      <c r="B37" s="36"/>
      <c r="C37" s="36" t="s">
        <v>97</v>
      </c>
      <c r="D37" s="10" t="s">
        <v>9</v>
      </c>
      <c r="E37" s="13" t="s">
        <v>12</v>
      </c>
      <c r="F37" s="14">
        <v>30.97</v>
      </c>
      <c r="G37" s="12">
        <v>1.0</v>
      </c>
    </row>
    <row r="38" hidden="1">
      <c r="A38" s="5">
        <v>46119.0</v>
      </c>
      <c r="B38" s="36"/>
      <c r="C38" s="36" t="s">
        <v>99</v>
      </c>
      <c r="D38" s="10" t="s">
        <v>9</v>
      </c>
      <c r="E38" s="13" t="s">
        <v>12</v>
      </c>
      <c r="F38" s="14">
        <v>75.97</v>
      </c>
      <c r="G38" s="12">
        <v>1.0</v>
      </c>
    </row>
    <row r="39" hidden="1">
      <c r="A39" s="5">
        <v>46119.0</v>
      </c>
      <c r="B39" s="36"/>
      <c r="C39" s="36" t="s">
        <v>101</v>
      </c>
      <c r="D39" s="10" t="s">
        <v>9</v>
      </c>
      <c r="E39" s="13" t="s">
        <v>12</v>
      </c>
      <c r="F39" s="14">
        <v>41.97</v>
      </c>
      <c r="G39" s="12">
        <v>1.0</v>
      </c>
    </row>
    <row r="40" hidden="1">
      <c r="A40" s="5">
        <v>46119.0</v>
      </c>
      <c r="B40" s="36"/>
      <c r="C40" s="36" t="s">
        <v>103</v>
      </c>
      <c r="D40" s="10" t="s">
        <v>9</v>
      </c>
      <c r="E40" s="13" t="s">
        <v>12</v>
      </c>
      <c r="F40" s="14">
        <v>114.97</v>
      </c>
      <c r="G40" s="12">
        <v>1.0</v>
      </c>
    </row>
    <row r="41" hidden="1">
      <c r="A41" s="5">
        <v>46119.0</v>
      </c>
      <c r="B41" s="36"/>
      <c r="C41" s="36" t="s">
        <v>104</v>
      </c>
      <c r="D41" s="10" t="s">
        <v>9</v>
      </c>
      <c r="E41" s="13" t="s">
        <v>12</v>
      </c>
      <c r="F41" s="14">
        <v>26.97</v>
      </c>
      <c r="G41" s="12">
        <v>1.0</v>
      </c>
    </row>
    <row r="42" hidden="1">
      <c r="A42" s="5">
        <v>46119.0</v>
      </c>
      <c r="B42" s="36"/>
      <c r="C42" s="36" t="s">
        <v>106</v>
      </c>
      <c r="D42" s="10" t="s">
        <v>9</v>
      </c>
      <c r="E42" s="13" t="s">
        <v>12</v>
      </c>
      <c r="F42" s="14">
        <v>43.97</v>
      </c>
      <c r="G42" s="12">
        <v>1.0</v>
      </c>
    </row>
    <row r="43" hidden="1">
      <c r="A43" s="5">
        <v>46119.0</v>
      </c>
      <c r="B43" s="36"/>
      <c r="C43" s="36" t="s">
        <v>108</v>
      </c>
      <c r="D43" s="10" t="s">
        <v>9</v>
      </c>
      <c r="E43" s="13" t="s">
        <v>12</v>
      </c>
      <c r="F43" s="14">
        <v>22.97</v>
      </c>
      <c r="G43" s="12">
        <v>1.0</v>
      </c>
    </row>
    <row r="44" hidden="1">
      <c r="A44" s="5">
        <v>46119.0</v>
      </c>
      <c r="B44" s="13"/>
      <c r="C44" s="13" t="s">
        <v>111</v>
      </c>
      <c r="D44" s="10" t="s">
        <v>9</v>
      </c>
      <c r="E44" s="13" t="s">
        <v>12</v>
      </c>
      <c r="F44" s="14">
        <v>40.97</v>
      </c>
      <c r="G44" s="12">
        <v>1.0</v>
      </c>
    </row>
    <row r="45" hidden="1">
      <c r="A45" s="5">
        <v>46119.0</v>
      </c>
      <c r="B45" s="36"/>
      <c r="C45" s="36" t="s">
        <v>114</v>
      </c>
      <c r="D45" s="10" t="s">
        <v>9</v>
      </c>
      <c r="E45" s="13" t="s">
        <v>12</v>
      </c>
      <c r="F45" s="14">
        <v>32.97</v>
      </c>
      <c r="G45" s="12">
        <v>1.0</v>
      </c>
    </row>
    <row r="46" hidden="1">
      <c r="A46" s="5">
        <v>46119.0</v>
      </c>
      <c r="B46" s="36"/>
      <c r="C46" s="36" t="s">
        <v>116</v>
      </c>
      <c r="D46" s="10" t="s">
        <v>9</v>
      </c>
      <c r="E46" s="13" t="s">
        <v>12</v>
      </c>
      <c r="F46" s="14">
        <v>76.97</v>
      </c>
      <c r="G46" s="12">
        <v>1.0</v>
      </c>
    </row>
    <row r="47" hidden="1">
      <c r="A47" s="5">
        <v>46119.0</v>
      </c>
      <c r="B47" s="36"/>
      <c r="C47" s="36" t="s">
        <v>118</v>
      </c>
      <c r="D47" s="10" t="s">
        <v>9</v>
      </c>
      <c r="E47" s="13" t="s">
        <v>12</v>
      </c>
      <c r="F47" s="14">
        <v>146.97</v>
      </c>
      <c r="G47" s="12">
        <v>1.0</v>
      </c>
    </row>
    <row r="48" hidden="1">
      <c r="A48" s="5">
        <v>46119.0</v>
      </c>
      <c r="B48" s="36"/>
      <c r="C48" s="36" t="s">
        <v>120</v>
      </c>
      <c r="D48" s="10" t="s">
        <v>9</v>
      </c>
      <c r="E48" s="13" t="s">
        <v>12</v>
      </c>
      <c r="F48" s="14">
        <v>21.97</v>
      </c>
      <c r="G48" s="12">
        <v>1.0</v>
      </c>
    </row>
    <row r="49" hidden="1">
      <c r="A49" s="5">
        <v>46119.0</v>
      </c>
      <c r="B49" s="36"/>
      <c r="C49" s="36" t="s">
        <v>123</v>
      </c>
      <c r="D49" s="10" t="s">
        <v>9</v>
      </c>
      <c r="E49" s="13" t="s">
        <v>12</v>
      </c>
      <c r="F49" s="14">
        <v>25.97</v>
      </c>
      <c r="G49" s="12">
        <v>1.0</v>
      </c>
    </row>
    <row r="50" hidden="1">
      <c r="A50" s="5">
        <v>46119.0</v>
      </c>
      <c r="B50" s="36"/>
      <c r="C50" s="36" t="s">
        <v>126</v>
      </c>
      <c r="D50" s="10" t="s">
        <v>9</v>
      </c>
      <c r="E50" s="13" t="s">
        <v>12</v>
      </c>
      <c r="F50" s="14">
        <v>24.97</v>
      </c>
      <c r="G50" s="12">
        <v>1.0</v>
      </c>
    </row>
    <row r="51" hidden="1">
      <c r="A51" s="5">
        <v>46119.0</v>
      </c>
      <c r="B51" s="36"/>
      <c r="C51" s="36" t="s">
        <v>129</v>
      </c>
      <c r="D51" s="10" t="s">
        <v>9</v>
      </c>
      <c r="E51" s="13" t="s">
        <v>12</v>
      </c>
      <c r="F51" s="14">
        <v>46.97</v>
      </c>
      <c r="G51" s="12">
        <v>1.0</v>
      </c>
    </row>
    <row r="52" hidden="1">
      <c r="B52" s="37"/>
      <c r="C52" s="37"/>
      <c r="D52" s="49"/>
    </row>
    <row r="53" hidden="1">
      <c r="B53" s="37"/>
      <c r="C53" s="37"/>
      <c r="D53" s="49"/>
    </row>
    <row r="54" hidden="1">
      <c r="A54" s="5">
        <v>46120.0</v>
      </c>
      <c r="B54" s="36"/>
      <c r="C54" s="36" t="s">
        <v>132</v>
      </c>
      <c r="D54" s="10" t="s">
        <v>9</v>
      </c>
      <c r="E54" s="13" t="s">
        <v>12</v>
      </c>
      <c r="F54" s="14">
        <v>47.97</v>
      </c>
      <c r="G54" s="12">
        <v>1.0</v>
      </c>
    </row>
    <row r="55" hidden="1">
      <c r="A55" s="5">
        <v>46120.0</v>
      </c>
      <c r="B55" s="36"/>
      <c r="C55" s="36" t="s">
        <v>135</v>
      </c>
      <c r="D55" s="10" t="s">
        <v>9</v>
      </c>
      <c r="E55" s="13" t="s">
        <v>12</v>
      </c>
      <c r="F55" s="14">
        <v>38.97</v>
      </c>
      <c r="G55" s="12">
        <v>1.0</v>
      </c>
    </row>
    <row r="56" hidden="1">
      <c r="A56" s="5">
        <v>46120.0</v>
      </c>
      <c r="B56" s="36"/>
      <c r="C56" s="36" t="s">
        <v>137</v>
      </c>
      <c r="D56" s="10" t="s">
        <v>9</v>
      </c>
      <c r="E56" s="13" t="s">
        <v>12</v>
      </c>
      <c r="F56" s="14">
        <v>38.97</v>
      </c>
      <c r="G56" s="12">
        <v>1.0</v>
      </c>
    </row>
    <row r="57" hidden="1">
      <c r="A57" s="5">
        <v>46120.0</v>
      </c>
      <c r="B57" s="36"/>
      <c r="C57" s="36" t="s">
        <v>139</v>
      </c>
      <c r="D57" s="10" t="s">
        <v>9</v>
      </c>
      <c r="E57" s="13" t="s">
        <v>12</v>
      </c>
      <c r="F57" s="14">
        <v>129.97</v>
      </c>
      <c r="G57" s="12">
        <v>1.0</v>
      </c>
    </row>
    <row r="58" hidden="1">
      <c r="A58" s="5">
        <v>46120.0</v>
      </c>
      <c r="B58" s="36"/>
      <c r="C58" s="36" t="s">
        <v>142</v>
      </c>
      <c r="D58" s="10" t="s">
        <v>9</v>
      </c>
      <c r="E58" s="13" t="s">
        <v>12</v>
      </c>
      <c r="F58" s="14">
        <v>38.97</v>
      </c>
      <c r="G58" s="12">
        <v>1.0</v>
      </c>
    </row>
    <row r="59" hidden="1">
      <c r="A59" s="5">
        <v>46120.0</v>
      </c>
      <c r="B59" s="36"/>
      <c r="C59" s="36" t="s">
        <v>143</v>
      </c>
      <c r="D59" s="10" t="s">
        <v>9</v>
      </c>
      <c r="E59" s="13" t="s">
        <v>12</v>
      </c>
      <c r="F59" s="14">
        <v>24.97</v>
      </c>
      <c r="G59" s="12">
        <v>1.0</v>
      </c>
    </row>
    <row r="60" hidden="1">
      <c r="A60" s="5">
        <v>46120.0</v>
      </c>
      <c r="B60" s="36"/>
      <c r="C60" s="36" t="s">
        <v>147</v>
      </c>
      <c r="D60" s="10" t="s">
        <v>9</v>
      </c>
      <c r="E60" s="13" t="s">
        <v>12</v>
      </c>
      <c r="F60" s="14">
        <v>21.97</v>
      </c>
      <c r="G60" s="12">
        <v>1.0</v>
      </c>
    </row>
    <row r="61" hidden="1">
      <c r="A61" s="5">
        <v>46120.0</v>
      </c>
      <c r="B61" s="36"/>
      <c r="C61" s="36" t="s">
        <v>150</v>
      </c>
      <c r="D61" s="10" t="s">
        <v>9</v>
      </c>
      <c r="E61" s="13" t="s">
        <v>12</v>
      </c>
      <c r="F61" s="14">
        <v>25.97</v>
      </c>
      <c r="G61" s="12">
        <v>1.0</v>
      </c>
    </row>
    <row r="62" hidden="1">
      <c r="A62" s="5">
        <v>46120.0</v>
      </c>
      <c r="B62" s="36"/>
      <c r="C62" s="36" t="s">
        <v>153</v>
      </c>
      <c r="D62" s="10" t="s">
        <v>9</v>
      </c>
      <c r="E62" s="13" t="s">
        <v>12</v>
      </c>
      <c r="F62" s="14">
        <v>22.97</v>
      </c>
      <c r="G62" s="12">
        <v>1.0</v>
      </c>
    </row>
    <row r="63" hidden="1">
      <c r="A63" s="5">
        <v>46120.0</v>
      </c>
      <c r="B63" s="36"/>
      <c r="C63" s="36" t="s">
        <v>156</v>
      </c>
      <c r="D63" s="10" t="s">
        <v>9</v>
      </c>
      <c r="E63" s="13" t="s">
        <v>12</v>
      </c>
      <c r="F63" s="14">
        <v>23.97</v>
      </c>
      <c r="G63" s="12">
        <v>1.0</v>
      </c>
    </row>
    <row r="64" hidden="1">
      <c r="A64" s="5">
        <v>46120.0</v>
      </c>
      <c r="B64" s="36"/>
      <c r="C64" s="36" t="s">
        <v>158</v>
      </c>
      <c r="D64" s="10" t="s">
        <v>9</v>
      </c>
      <c r="E64" s="13" t="s">
        <v>12</v>
      </c>
      <c r="F64" s="14">
        <v>81.97</v>
      </c>
      <c r="G64" s="12">
        <v>1.0</v>
      </c>
    </row>
    <row r="65" hidden="1">
      <c r="A65" s="5">
        <v>46120.0</v>
      </c>
      <c r="B65" s="36"/>
      <c r="C65" s="36" t="s">
        <v>160</v>
      </c>
      <c r="D65" s="10" t="s">
        <v>9</v>
      </c>
      <c r="E65" s="13" t="s">
        <v>12</v>
      </c>
      <c r="F65" s="14">
        <v>22.97</v>
      </c>
      <c r="G65" s="12">
        <v>1.0</v>
      </c>
    </row>
    <row r="66" hidden="1">
      <c r="A66" s="5">
        <v>46120.0</v>
      </c>
      <c r="B66" s="36"/>
      <c r="C66" s="36" t="s">
        <v>162</v>
      </c>
      <c r="D66" s="10" t="s">
        <v>9</v>
      </c>
      <c r="E66" s="13" t="s">
        <v>12</v>
      </c>
      <c r="F66" s="14">
        <v>25.97</v>
      </c>
      <c r="G66" s="12">
        <v>1.0</v>
      </c>
    </row>
    <row r="67" hidden="1">
      <c r="A67" s="5">
        <v>46120.0</v>
      </c>
      <c r="B67" s="36"/>
      <c r="C67" s="36" t="s">
        <v>165</v>
      </c>
      <c r="D67" s="10" t="s">
        <v>9</v>
      </c>
      <c r="E67" s="13" t="s">
        <v>12</v>
      </c>
      <c r="F67" s="14">
        <v>21.97</v>
      </c>
      <c r="G67" s="12">
        <v>1.0</v>
      </c>
    </row>
    <row r="68" hidden="1">
      <c r="A68" s="5">
        <v>46120.0</v>
      </c>
      <c r="B68" s="36"/>
      <c r="C68" s="36" t="s">
        <v>168</v>
      </c>
      <c r="D68" s="10" t="s">
        <v>9</v>
      </c>
      <c r="E68" s="13" t="s">
        <v>12</v>
      </c>
      <c r="F68" s="14">
        <v>22.97</v>
      </c>
      <c r="G68" s="12">
        <v>1.0</v>
      </c>
    </row>
    <row r="69" hidden="1">
      <c r="A69" s="5">
        <v>46120.0</v>
      </c>
      <c r="B69" s="36"/>
      <c r="C69" s="36" t="s">
        <v>171</v>
      </c>
      <c r="D69" s="10" t="s">
        <v>9</v>
      </c>
      <c r="E69" s="13" t="s">
        <v>12</v>
      </c>
      <c r="F69" s="14">
        <v>37.97</v>
      </c>
      <c r="G69" s="12">
        <v>1.0</v>
      </c>
    </row>
    <row r="70" hidden="1">
      <c r="A70" s="5">
        <v>46120.0</v>
      </c>
      <c r="B70" s="36"/>
      <c r="C70" s="36" t="s">
        <v>174</v>
      </c>
      <c r="D70" s="10" t="s">
        <v>9</v>
      </c>
      <c r="E70" s="13" t="s">
        <v>12</v>
      </c>
      <c r="F70" s="14">
        <v>30.97</v>
      </c>
      <c r="G70" s="12">
        <v>1.0</v>
      </c>
    </row>
    <row r="71" hidden="1">
      <c r="A71" s="5">
        <v>46120.0</v>
      </c>
      <c r="B71" s="36"/>
      <c r="C71" s="36" t="s">
        <v>177</v>
      </c>
      <c r="D71" s="10" t="s">
        <v>9</v>
      </c>
      <c r="E71" s="13" t="s">
        <v>12</v>
      </c>
      <c r="F71" s="14">
        <v>25.97</v>
      </c>
      <c r="G71" s="12">
        <v>1.0</v>
      </c>
    </row>
    <row r="72" hidden="1">
      <c r="A72" s="5">
        <v>46120.0</v>
      </c>
      <c r="B72" s="36"/>
      <c r="C72" s="36" t="s">
        <v>179</v>
      </c>
      <c r="D72" s="10" t="s">
        <v>9</v>
      </c>
      <c r="E72" s="13" t="s">
        <v>12</v>
      </c>
      <c r="F72" s="14">
        <v>30.97</v>
      </c>
      <c r="G72" s="12">
        <v>1.0</v>
      </c>
    </row>
    <row r="73" hidden="1">
      <c r="A73" s="5">
        <v>46120.0</v>
      </c>
      <c r="B73" s="36"/>
      <c r="C73" s="36" t="s">
        <v>182</v>
      </c>
      <c r="D73" s="10" t="s">
        <v>9</v>
      </c>
      <c r="E73" s="13" t="s">
        <v>12</v>
      </c>
      <c r="F73" s="14">
        <v>33.97</v>
      </c>
      <c r="G73" s="12">
        <v>1.0</v>
      </c>
    </row>
    <row r="74" hidden="1">
      <c r="A74" s="5">
        <v>46120.0</v>
      </c>
      <c r="B74" s="36"/>
      <c r="C74" s="36" t="s">
        <v>185</v>
      </c>
      <c r="D74" s="10" t="s">
        <v>9</v>
      </c>
      <c r="E74" s="13" t="s">
        <v>12</v>
      </c>
      <c r="F74" s="14">
        <v>25.97</v>
      </c>
      <c r="G74" s="12">
        <v>1.0</v>
      </c>
    </row>
    <row r="75" hidden="1">
      <c r="A75" s="5">
        <v>46120.0</v>
      </c>
      <c r="B75" s="36"/>
      <c r="C75" s="36" t="s">
        <v>188</v>
      </c>
      <c r="D75" s="10" t="s">
        <v>9</v>
      </c>
      <c r="E75" s="13" t="s">
        <v>12</v>
      </c>
      <c r="F75" s="14">
        <v>35.97</v>
      </c>
      <c r="G75" s="12">
        <v>1.0</v>
      </c>
    </row>
    <row r="76" hidden="1">
      <c r="A76" s="5">
        <v>46120.0</v>
      </c>
      <c r="B76" s="36"/>
      <c r="C76" s="36" t="s">
        <v>190</v>
      </c>
      <c r="D76" s="10" t="s">
        <v>9</v>
      </c>
      <c r="E76" s="13" t="s">
        <v>12</v>
      </c>
      <c r="F76" s="14">
        <v>30.97</v>
      </c>
      <c r="G76" s="12">
        <v>1.0</v>
      </c>
    </row>
    <row r="77" hidden="1">
      <c r="A77" s="5">
        <v>46120.0</v>
      </c>
      <c r="B77" s="36"/>
      <c r="C77" s="36" t="s">
        <v>193</v>
      </c>
      <c r="D77" s="10" t="s">
        <v>9</v>
      </c>
      <c r="E77" s="13" t="s">
        <v>12</v>
      </c>
      <c r="F77" s="14">
        <v>33.97</v>
      </c>
      <c r="G77" s="12">
        <v>1.0</v>
      </c>
    </row>
    <row r="78" hidden="1">
      <c r="A78" s="5">
        <v>46120.0</v>
      </c>
      <c r="B78" s="36"/>
      <c r="C78" s="36" t="s">
        <v>196</v>
      </c>
      <c r="D78" s="10" t="s">
        <v>9</v>
      </c>
      <c r="E78" s="13" t="s">
        <v>12</v>
      </c>
      <c r="F78" s="14">
        <v>24.87</v>
      </c>
      <c r="G78" s="12">
        <v>1.0</v>
      </c>
    </row>
    <row r="79" hidden="1">
      <c r="B79" s="37"/>
      <c r="C79" s="37"/>
      <c r="D79" s="49"/>
    </row>
    <row r="80" hidden="1">
      <c r="A80" s="5">
        <v>46121.0</v>
      </c>
      <c r="B80" s="36"/>
      <c r="C80" s="36" t="s">
        <v>200</v>
      </c>
      <c r="D80" s="10" t="s">
        <v>9</v>
      </c>
      <c r="E80" s="13" t="s">
        <v>12</v>
      </c>
      <c r="F80" s="14">
        <v>63.97</v>
      </c>
      <c r="G80" s="12">
        <v>1.0</v>
      </c>
    </row>
    <row r="81" hidden="1">
      <c r="A81" s="5">
        <v>46121.0</v>
      </c>
      <c r="B81" s="36"/>
      <c r="C81" s="36" t="s">
        <v>203</v>
      </c>
      <c r="D81" s="10" t="s">
        <v>9</v>
      </c>
      <c r="E81" s="13" t="s">
        <v>12</v>
      </c>
      <c r="F81" s="14">
        <v>42.97</v>
      </c>
      <c r="G81" s="12">
        <v>1.0</v>
      </c>
    </row>
    <row r="82" hidden="1">
      <c r="A82" s="5">
        <v>46121.0</v>
      </c>
      <c r="B82" s="36"/>
      <c r="C82" s="36" t="s">
        <v>204</v>
      </c>
      <c r="D82" s="10" t="s">
        <v>9</v>
      </c>
      <c r="E82" s="13" t="s">
        <v>12</v>
      </c>
      <c r="F82" s="14">
        <v>20.97</v>
      </c>
      <c r="G82" s="12">
        <v>1.0</v>
      </c>
    </row>
    <row r="83" hidden="1">
      <c r="A83" s="5">
        <v>46121.0</v>
      </c>
      <c r="B83" s="36"/>
      <c r="C83" s="36" t="s">
        <v>206</v>
      </c>
      <c r="D83" s="10" t="s">
        <v>9</v>
      </c>
      <c r="E83" s="13" t="s">
        <v>12</v>
      </c>
      <c r="F83" s="14">
        <v>20.97</v>
      </c>
      <c r="G83" s="12">
        <v>1.0</v>
      </c>
    </row>
    <row r="84" hidden="1">
      <c r="A84" s="5">
        <v>46121.0</v>
      </c>
      <c r="B84" s="36"/>
      <c r="C84" s="36" t="s">
        <v>208</v>
      </c>
      <c r="D84" s="10" t="s">
        <v>9</v>
      </c>
      <c r="E84" s="13" t="s">
        <v>12</v>
      </c>
      <c r="F84" s="14">
        <v>42.97</v>
      </c>
      <c r="G84" s="12">
        <v>1.0</v>
      </c>
    </row>
    <row r="85" hidden="1">
      <c r="A85" s="5">
        <v>46121.0</v>
      </c>
      <c r="B85" s="36"/>
      <c r="C85" s="36" t="s">
        <v>209</v>
      </c>
      <c r="D85" s="10" t="s">
        <v>9</v>
      </c>
      <c r="E85" s="13" t="s">
        <v>12</v>
      </c>
      <c r="F85" s="14">
        <v>20.97</v>
      </c>
      <c r="G85" s="12">
        <v>1.0</v>
      </c>
    </row>
    <row r="86" hidden="1">
      <c r="A86" s="5">
        <v>46121.0</v>
      </c>
      <c r="B86" s="36"/>
      <c r="C86" s="36" t="s">
        <v>212</v>
      </c>
      <c r="D86" s="10" t="s">
        <v>9</v>
      </c>
      <c r="E86" s="13" t="s">
        <v>12</v>
      </c>
      <c r="F86" s="14">
        <v>21.97</v>
      </c>
      <c r="G86" s="12">
        <v>1.0</v>
      </c>
    </row>
    <row r="87" hidden="1">
      <c r="A87" s="5">
        <v>46121.0</v>
      </c>
      <c r="B87" s="36"/>
      <c r="C87" s="36" t="s">
        <v>213</v>
      </c>
      <c r="D87" s="10" t="s">
        <v>9</v>
      </c>
      <c r="E87" s="13" t="s">
        <v>12</v>
      </c>
      <c r="F87" s="14">
        <v>22.97</v>
      </c>
      <c r="G87" s="12">
        <v>1.0</v>
      </c>
    </row>
    <row r="88" hidden="1">
      <c r="A88" s="5">
        <v>46121.0</v>
      </c>
      <c r="B88" s="36"/>
      <c r="C88" s="36" t="s">
        <v>216</v>
      </c>
      <c r="D88" s="10" t="s">
        <v>9</v>
      </c>
      <c r="E88" s="13" t="s">
        <v>12</v>
      </c>
      <c r="F88" s="14">
        <v>24.97</v>
      </c>
      <c r="G88" s="12">
        <v>1.0</v>
      </c>
    </row>
    <row r="89" hidden="1">
      <c r="A89" s="5">
        <v>46121.0</v>
      </c>
      <c r="B89" s="36"/>
      <c r="C89" s="36" t="s">
        <v>218</v>
      </c>
      <c r="D89" s="10" t="s">
        <v>9</v>
      </c>
      <c r="E89" s="13" t="s">
        <v>12</v>
      </c>
      <c r="F89" s="14">
        <v>20.97</v>
      </c>
      <c r="G89" s="12">
        <v>1.0</v>
      </c>
    </row>
    <row r="90" hidden="1">
      <c r="A90" s="5">
        <v>46121.0</v>
      </c>
      <c r="B90" s="36"/>
      <c r="C90" s="36" t="s">
        <v>219</v>
      </c>
      <c r="D90" s="10" t="s">
        <v>9</v>
      </c>
      <c r="E90" s="13" t="s">
        <v>12</v>
      </c>
      <c r="F90" s="14">
        <v>35.97</v>
      </c>
      <c r="G90" s="12">
        <v>1.0</v>
      </c>
    </row>
    <row r="91" hidden="1">
      <c r="A91" s="5">
        <v>46121.0</v>
      </c>
      <c r="B91" s="20"/>
      <c r="C91" s="20" t="s">
        <v>222</v>
      </c>
      <c r="D91" s="10" t="s">
        <v>9</v>
      </c>
      <c r="E91" s="13" t="s">
        <v>12</v>
      </c>
      <c r="F91" s="14">
        <v>51.97</v>
      </c>
      <c r="G91" s="12">
        <v>1.0</v>
      </c>
    </row>
    <row r="92" hidden="1">
      <c r="A92" s="5">
        <v>46121.0</v>
      </c>
      <c r="B92" s="36"/>
      <c r="C92" s="36" t="s">
        <v>224</v>
      </c>
      <c r="D92" s="10" t="s">
        <v>9</v>
      </c>
      <c r="E92" s="13" t="s">
        <v>12</v>
      </c>
      <c r="F92" s="14">
        <v>51.97</v>
      </c>
      <c r="G92" s="12">
        <v>1.0</v>
      </c>
    </row>
    <row r="93" hidden="1">
      <c r="A93" s="5">
        <v>46121.0</v>
      </c>
      <c r="B93" s="36"/>
      <c r="C93" s="36" t="s">
        <v>226</v>
      </c>
      <c r="D93" s="10" t="s">
        <v>9</v>
      </c>
      <c r="E93" s="13" t="s">
        <v>12</v>
      </c>
      <c r="F93" s="14">
        <v>20.97</v>
      </c>
      <c r="G93" s="12">
        <v>1.0</v>
      </c>
    </row>
    <row r="94" hidden="1">
      <c r="A94" s="5">
        <v>46121.0</v>
      </c>
      <c r="B94" s="36"/>
      <c r="C94" s="36" t="s">
        <v>229</v>
      </c>
      <c r="D94" s="10" t="s">
        <v>9</v>
      </c>
      <c r="E94" s="13" t="s">
        <v>12</v>
      </c>
      <c r="F94" s="14">
        <v>20.97</v>
      </c>
      <c r="G94" s="12">
        <v>1.0</v>
      </c>
    </row>
    <row r="95" hidden="1">
      <c r="A95" s="5">
        <v>46121.0</v>
      </c>
      <c r="B95" s="36"/>
      <c r="C95" s="36" t="s">
        <v>231</v>
      </c>
      <c r="D95" s="10" t="s">
        <v>9</v>
      </c>
      <c r="E95" s="13" t="s">
        <v>12</v>
      </c>
      <c r="F95" s="14">
        <v>20.97</v>
      </c>
      <c r="G95" s="12">
        <v>1.0</v>
      </c>
    </row>
    <row r="96" hidden="1">
      <c r="A96" s="5">
        <v>46121.0</v>
      </c>
      <c r="B96" s="36"/>
      <c r="C96" s="36" t="s">
        <v>235</v>
      </c>
      <c r="D96" s="10" t="s">
        <v>9</v>
      </c>
      <c r="E96" s="13" t="s">
        <v>12</v>
      </c>
      <c r="F96" s="14">
        <v>20.97</v>
      </c>
      <c r="G96" s="12">
        <v>1.0</v>
      </c>
    </row>
    <row r="97" hidden="1">
      <c r="A97" s="5">
        <v>46121.0</v>
      </c>
      <c r="B97" s="36"/>
      <c r="C97" s="36" t="s">
        <v>238</v>
      </c>
      <c r="D97" s="10" t="s">
        <v>9</v>
      </c>
      <c r="E97" s="13" t="s">
        <v>12</v>
      </c>
      <c r="F97" s="14">
        <v>25.97</v>
      </c>
      <c r="G97" s="12">
        <v>1.0</v>
      </c>
    </row>
    <row r="98" hidden="1">
      <c r="A98" s="5">
        <v>46121.0</v>
      </c>
      <c r="B98" s="36"/>
      <c r="C98" s="36" t="s">
        <v>241</v>
      </c>
      <c r="D98" s="10" t="s">
        <v>9</v>
      </c>
      <c r="E98" s="13" t="s">
        <v>12</v>
      </c>
      <c r="F98" s="14">
        <v>40.97</v>
      </c>
      <c r="G98" s="12">
        <v>1.0</v>
      </c>
    </row>
    <row r="99" hidden="1">
      <c r="A99" s="5">
        <v>46121.0</v>
      </c>
      <c r="B99" s="36"/>
      <c r="C99" s="36" t="s">
        <v>243</v>
      </c>
      <c r="D99" s="10" t="s">
        <v>9</v>
      </c>
      <c r="E99" s="13" t="s">
        <v>12</v>
      </c>
      <c r="F99" s="14">
        <v>20.97</v>
      </c>
      <c r="G99" s="12">
        <v>1.0</v>
      </c>
    </row>
    <row r="100" hidden="1">
      <c r="B100" s="37"/>
      <c r="C100" s="37"/>
      <c r="D100" s="49"/>
    </row>
    <row r="101" hidden="1">
      <c r="B101" s="37"/>
      <c r="C101" s="37"/>
      <c r="D101" s="49"/>
    </row>
    <row r="102" hidden="1">
      <c r="A102" s="5">
        <v>46122.0</v>
      </c>
      <c r="B102" s="36"/>
      <c r="C102" s="36" t="s">
        <v>247</v>
      </c>
      <c r="D102" s="10" t="s">
        <v>9</v>
      </c>
      <c r="E102" s="13" t="s">
        <v>12</v>
      </c>
      <c r="F102" s="14">
        <v>20.97</v>
      </c>
      <c r="G102" s="12">
        <v>1.0</v>
      </c>
    </row>
    <row r="103" hidden="1">
      <c r="A103" s="5">
        <v>46122.0</v>
      </c>
      <c r="B103" s="36"/>
      <c r="C103" s="36" t="s">
        <v>250</v>
      </c>
      <c r="D103" s="10" t="s">
        <v>9</v>
      </c>
      <c r="E103" s="13" t="s">
        <v>12</v>
      </c>
      <c r="F103" s="14">
        <v>28.97</v>
      </c>
      <c r="G103" s="12">
        <v>1.0</v>
      </c>
    </row>
    <row r="104" hidden="1">
      <c r="A104" s="5">
        <v>46122.0</v>
      </c>
      <c r="B104" s="36"/>
      <c r="C104" s="36" t="s">
        <v>253</v>
      </c>
      <c r="D104" s="10" t="s">
        <v>9</v>
      </c>
      <c r="E104" s="13" t="s">
        <v>12</v>
      </c>
      <c r="F104" s="14">
        <v>25.97</v>
      </c>
      <c r="G104" s="12">
        <v>1.0</v>
      </c>
    </row>
    <row r="105" hidden="1">
      <c r="A105" s="5">
        <v>46122.0</v>
      </c>
      <c r="B105" s="36"/>
      <c r="C105" s="36" t="s">
        <v>259</v>
      </c>
      <c r="D105" s="10" t="s">
        <v>9</v>
      </c>
      <c r="E105" s="13" t="s">
        <v>12</v>
      </c>
      <c r="F105" s="14">
        <v>23.97</v>
      </c>
      <c r="G105" s="12">
        <v>1.0</v>
      </c>
    </row>
    <row r="106" hidden="1">
      <c r="A106" s="5">
        <v>46122.0</v>
      </c>
      <c r="B106" s="36"/>
      <c r="C106" s="36" t="s">
        <v>262</v>
      </c>
      <c r="D106" s="10" t="s">
        <v>9</v>
      </c>
      <c r="E106" s="13" t="s">
        <v>12</v>
      </c>
      <c r="F106" s="14">
        <v>23.97</v>
      </c>
      <c r="G106" s="12">
        <v>1.0</v>
      </c>
    </row>
    <row r="107" hidden="1">
      <c r="A107" s="5">
        <v>46122.0</v>
      </c>
      <c r="B107" s="36"/>
      <c r="C107" s="36" t="s">
        <v>265</v>
      </c>
      <c r="D107" s="10" t="s">
        <v>9</v>
      </c>
      <c r="E107" s="13" t="s">
        <v>12</v>
      </c>
      <c r="F107" s="14">
        <v>24.97</v>
      </c>
      <c r="G107" s="12">
        <v>1.0</v>
      </c>
    </row>
    <row r="108" hidden="1">
      <c r="A108" s="5">
        <v>46122.0</v>
      </c>
      <c r="B108" s="36"/>
      <c r="C108" s="36" t="s">
        <v>267</v>
      </c>
      <c r="D108" s="10" t="s">
        <v>9</v>
      </c>
      <c r="E108" s="13" t="s">
        <v>12</v>
      </c>
      <c r="F108" s="14">
        <v>22.97</v>
      </c>
      <c r="G108" s="12">
        <v>1.0</v>
      </c>
    </row>
    <row r="109" hidden="1">
      <c r="A109" s="5">
        <v>46122.0</v>
      </c>
      <c r="B109" s="36"/>
      <c r="C109" s="36" t="s">
        <v>268</v>
      </c>
      <c r="D109" s="10" t="s">
        <v>9</v>
      </c>
      <c r="E109" s="13" t="s">
        <v>12</v>
      </c>
      <c r="F109" s="14">
        <v>30.97</v>
      </c>
      <c r="G109" s="12">
        <v>1.0</v>
      </c>
    </row>
    <row r="110" hidden="1">
      <c r="A110" s="5">
        <v>46122.0</v>
      </c>
      <c r="B110" s="36"/>
      <c r="C110" s="36" t="s">
        <v>271</v>
      </c>
      <c r="D110" s="10" t="s">
        <v>9</v>
      </c>
      <c r="E110" s="13" t="s">
        <v>12</v>
      </c>
      <c r="F110" s="14">
        <v>25.97</v>
      </c>
      <c r="G110" s="12">
        <v>1.0</v>
      </c>
    </row>
    <row r="111" hidden="1">
      <c r="A111" s="5">
        <v>46122.0</v>
      </c>
      <c r="B111" s="36"/>
      <c r="C111" s="36" t="s">
        <v>272</v>
      </c>
      <c r="D111" s="10" t="s">
        <v>9</v>
      </c>
      <c r="E111" s="13" t="s">
        <v>12</v>
      </c>
      <c r="F111" s="14">
        <v>20.97</v>
      </c>
      <c r="G111" s="12">
        <v>1.0</v>
      </c>
    </row>
    <row r="112" hidden="1">
      <c r="A112" s="5">
        <v>46122.0</v>
      </c>
      <c r="B112" s="36"/>
      <c r="C112" s="36" t="s">
        <v>275</v>
      </c>
      <c r="D112" s="10" t="s">
        <v>9</v>
      </c>
      <c r="E112" s="13" t="s">
        <v>12</v>
      </c>
      <c r="F112" s="14">
        <v>20.97</v>
      </c>
      <c r="G112" s="12">
        <v>1.0</v>
      </c>
    </row>
    <row r="113" hidden="1">
      <c r="A113" s="5">
        <v>46122.0</v>
      </c>
      <c r="B113" s="36"/>
      <c r="C113" s="36" t="s">
        <v>276</v>
      </c>
      <c r="D113" s="10" t="s">
        <v>9</v>
      </c>
      <c r="E113" s="13" t="s">
        <v>12</v>
      </c>
      <c r="F113" s="14">
        <v>20.97</v>
      </c>
      <c r="G113" s="12">
        <v>1.0</v>
      </c>
    </row>
    <row r="114" hidden="1">
      <c r="A114" s="5">
        <v>46122.0</v>
      </c>
      <c r="B114" s="36"/>
      <c r="C114" s="36" t="s">
        <v>279</v>
      </c>
      <c r="D114" s="10" t="s">
        <v>9</v>
      </c>
      <c r="E114" s="13" t="s">
        <v>12</v>
      </c>
      <c r="F114" s="14">
        <v>72.97</v>
      </c>
      <c r="G114" s="12">
        <v>1.0</v>
      </c>
    </row>
    <row r="115" hidden="1">
      <c r="A115" s="5">
        <v>46122.0</v>
      </c>
      <c r="B115" s="36"/>
      <c r="C115" s="36" t="s">
        <v>281</v>
      </c>
      <c r="D115" s="10" t="s">
        <v>9</v>
      </c>
      <c r="E115" s="13" t="s">
        <v>12</v>
      </c>
      <c r="F115" s="14">
        <v>20.97</v>
      </c>
      <c r="G115" s="12">
        <v>1.0</v>
      </c>
    </row>
    <row r="116" hidden="1">
      <c r="A116" s="5">
        <v>46122.0</v>
      </c>
      <c r="B116" s="36"/>
      <c r="C116" s="36" t="s">
        <v>230</v>
      </c>
      <c r="D116" s="10" t="s">
        <v>9</v>
      </c>
      <c r="E116" s="13" t="s">
        <v>12</v>
      </c>
      <c r="F116" s="14">
        <v>21.97</v>
      </c>
      <c r="G116" s="12">
        <v>1.0</v>
      </c>
    </row>
    <row r="117" hidden="1">
      <c r="A117" s="5">
        <v>46122.0</v>
      </c>
      <c r="B117" s="36"/>
      <c r="C117" s="36" t="s">
        <v>285</v>
      </c>
      <c r="D117" s="10" t="s">
        <v>9</v>
      </c>
      <c r="E117" s="13" t="s">
        <v>12</v>
      </c>
      <c r="F117" s="14">
        <v>31.97</v>
      </c>
      <c r="G117" s="12">
        <v>1.0</v>
      </c>
    </row>
    <row r="118" hidden="1">
      <c r="A118" s="5">
        <v>46122.0</v>
      </c>
      <c r="B118" s="36"/>
      <c r="C118" s="36" t="s">
        <v>288</v>
      </c>
      <c r="D118" s="10" t="s">
        <v>9</v>
      </c>
      <c r="E118" s="13" t="s">
        <v>12</v>
      </c>
      <c r="F118" s="14">
        <v>20.97</v>
      </c>
      <c r="G118" s="12">
        <v>1.0</v>
      </c>
    </row>
    <row r="119" hidden="1">
      <c r="A119" s="5">
        <v>46122.0</v>
      </c>
      <c r="B119" s="36"/>
      <c r="C119" s="36" t="s">
        <v>291</v>
      </c>
      <c r="D119" s="10" t="s">
        <v>9</v>
      </c>
      <c r="E119" s="13" t="s">
        <v>12</v>
      </c>
      <c r="F119" s="14">
        <v>20.97</v>
      </c>
      <c r="G119" s="12">
        <v>1.0</v>
      </c>
    </row>
    <row r="120" hidden="1">
      <c r="A120" s="5">
        <v>46122.0</v>
      </c>
      <c r="B120" s="36"/>
      <c r="C120" s="36" t="s">
        <v>294</v>
      </c>
      <c r="D120" s="10" t="s">
        <v>9</v>
      </c>
      <c r="E120" s="13" t="s">
        <v>12</v>
      </c>
      <c r="F120" s="14">
        <v>63.97</v>
      </c>
      <c r="G120" s="12">
        <v>1.0</v>
      </c>
    </row>
    <row r="121" hidden="1">
      <c r="A121" s="5">
        <v>46122.0</v>
      </c>
      <c r="B121" s="36"/>
      <c r="C121" s="36" t="s">
        <v>297</v>
      </c>
      <c r="D121" s="10" t="s">
        <v>9</v>
      </c>
      <c r="E121" s="13" t="s">
        <v>12</v>
      </c>
      <c r="F121" s="14">
        <v>23.97</v>
      </c>
      <c r="G121" s="12">
        <v>1.0</v>
      </c>
    </row>
    <row r="122" hidden="1">
      <c r="B122" s="37"/>
      <c r="C122" s="37"/>
      <c r="D122" s="49"/>
    </row>
    <row r="123" hidden="1">
      <c r="B123" s="37"/>
      <c r="C123" s="37"/>
      <c r="D123" s="49"/>
    </row>
    <row r="124" hidden="1">
      <c r="A124" s="5">
        <v>46123.0</v>
      </c>
      <c r="B124" s="36"/>
      <c r="C124" s="36" t="s">
        <v>304</v>
      </c>
      <c r="D124" s="10" t="s">
        <v>9</v>
      </c>
      <c r="E124" s="13" t="s">
        <v>12</v>
      </c>
      <c r="F124" s="14">
        <v>32.97</v>
      </c>
      <c r="G124" s="12">
        <v>1.0</v>
      </c>
    </row>
    <row r="125" hidden="1">
      <c r="A125" s="5">
        <v>46123.0</v>
      </c>
      <c r="B125" s="36"/>
      <c r="C125" s="36" t="s">
        <v>306</v>
      </c>
      <c r="D125" s="10" t="s">
        <v>9</v>
      </c>
      <c r="E125" s="13" t="s">
        <v>12</v>
      </c>
      <c r="F125" s="14">
        <v>20.97</v>
      </c>
      <c r="G125" s="12">
        <v>1.0</v>
      </c>
    </row>
    <row r="126" hidden="1">
      <c r="A126" s="5">
        <v>46123.0</v>
      </c>
      <c r="B126" s="36"/>
      <c r="C126" s="36" t="s">
        <v>308</v>
      </c>
      <c r="D126" s="10" t="s">
        <v>9</v>
      </c>
      <c r="E126" s="13" t="s">
        <v>12</v>
      </c>
      <c r="F126" s="14">
        <v>32.97</v>
      </c>
      <c r="G126" s="12">
        <v>1.0</v>
      </c>
    </row>
    <row r="127" hidden="1">
      <c r="A127" s="5">
        <v>46123.0</v>
      </c>
      <c r="B127" s="36"/>
      <c r="C127" s="36" t="s">
        <v>310</v>
      </c>
      <c r="D127" s="10" t="s">
        <v>9</v>
      </c>
      <c r="E127" s="13" t="s">
        <v>12</v>
      </c>
      <c r="F127" s="14">
        <v>26.97</v>
      </c>
      <c r="G127" s="12">
        <v>1.0</v>
      </c>
    </row>
    <row r="128" hidden="1">
      <c r="A128" s="5">
        <v>46123.0</v>
      </c>
      <c r="B128" s="36"/>
      <c r="C128" s="36" t="s">
        <v>314</v>
      </c>
      <c r="D128" s="10" t="s">
        <v>9</v>
      </c>
      <c r="E128" s="13" t="s">
        <v>12</v>
      </c>
      <c r="F128" s="14">
        <v>22.97</v>
      </c>
      <c r="G128" s="12">
        <v>1.0</v>
      </c>
    </row>
    <row r="129" hidden="1">
      <c r="A129" s="5">
        <v>46123.0</v>
      </c>
      <c r="B129" s="36"/>
      <c r="C129" s="36" t="s">
        <v>316</v>
      </c>
      <c r="D129" s="10" t="s">
        <v>9</v>
      </c>
      <c r="E129" s="13" t="s">
        <v>12</v>
      </c>
      <c r="F129" s="14">
        <v>24.97</v>
      </c>
      <c r="G129" s="12">
        <v>1.0</v>
      </c>
    </row>
    <row r="130" hidden="1">
      <c r="A130" s="5">
        <v>46123.0</v>
      </c>
      <c r="B130" s="36"/>
      <c r="C130" s="36" t="s">
        <v>318</v>
      </c>
      <c r="D130" s="10" t="s">
        <v>9</v>
      </c>
      <c r="E130" s="13" t="s">
        <v>12</v>
      </c>
      <c r="F130" s="14">
        <v>30.97</v>
      </c>
      <c r="G130" s="12">
        <v>1.0</v>
      </c>
    </row>
    <row r="131" hidden="1">
      <c r="A131" s="5">
        <v>46123.0</v>
      </c>
      <c r="B131" s="36"/>
      <c r="C131" s="36" t="s">
        <v>320</v>
      </c>
      <c r="D131" s="10" t="s">
        <v>9</v>
      </c>
      <c r="E131" s="13" t="s">
        <v>12</v>
      </c>
      <c r="F131" s="14">
        <v>31.97</v>
      </c>
      <c r="G131" s="12">
        <v>1.0</v>
      </c>
    </row>
    <row r="132" hidden="1">
      <c r="A132" s="5">
        <v>46123.0</v>
      </c>
      <c r="B132" s="36"/>
      <c r="C132" s="36" t="s">
        <v>321</v>
      </c>
      <c r="D132" s="10" t="s">
        <v>9</v>
      </c>
      <c r="E132" s="13" t="s">
        <v>12</v>
      </c>
      <c r="F132" s="14">
        <v>30.97</v>
      </c>
      <c r="G132" s="12">
        <v>1.0</v>
      </c>
    </row>
    <row r="133" hidden="1">
      <c r="A133" s="5">
        <v>46123.0</v>
      </c>
      <c r="B133" s="36"/>
      <c r="C133" s="36" t="s">
        <v>322</v>
      </c>
      <c r="D133" s="10" t="s">
        <v>9</v>
      </c>
      <c r="E133" s="13" t="s">
        <v>12</v>
      </c>
      <c r="F133" s="14">
        <v>25.97</v>
      </c>
      <c r="G133" s="12">
        <v>1.0</v>
      </c>
    </row>
    <row r="134" hidden="1">
      <c r="A134" s="5">
        <v>46123.0</v>
      </c>
      <c r="B134" s="36"/>
      <c r="C134" s="36" t="s">
        <v>324</v>
      </c>
      <c r="D134" s="10" t="s">
        <v>9</v>
      </c>
      <c r="E134" s="13" t="s">
        <v>12</v>
      </c>
      <c r="F134" s="14">
        <v>22.97</v>
      </c>
      <c r="G134" s="12">
        <v>1.0</v>
      </c>
    </row>
    <row r="135" hidden="1">
      <c r="A135" s="5">
        <v>46123.0</v>
      </c>
      <c r="B135" s="36"/>
      <c r="C135" s="36" t="s">
        <v>327</v>
      </c>
      <c r="D135" s="10" t="s">
        <v>9</v>
      </c>
      <c r="E135" s="13" t="s">
        <v>12</v>
      </c>
      <c r="F135" s="14">
        <v>30.97</v>
      </c>
      <c r="G135" s="12">
        <v>1.0</v>
      </c>
    </row>
    <row r="136" hidden="1">
      <c r="A136" s="5">
        <v>46123.0</v>
      </c>
      <c r="B136" s="36"/>
      <c r="C136" s="36" t="s">
        <v>332</v>
      </c>
      <c r="D136" s="10" t="s">
        <v>9</v>
      </c>
      <c r="E136" s="13" t="s">
        <v>12</v>
      </c>
      <c r="F136" s="14">
        <v>40.97</v>
      </c>
      <c r="G136" s="12">
        <v>1.0</v>
      </c>
    </row>
    <row r="137" hidden="1">
      <c r="A137" s="5">
        <v>46123.0</v>
      </c>
      <c r="B137" s="36"/>
      <c r="C137" s="36" t="s">
        <v>335</v>
      </c>
      <c r="D137" s="10" t="s">
        <v>9</v>
      </c>
      <c r="E137" s="13" t="s">
        <v>12</v>
      </c>
      <c r="F137" s="14">
        <v>30.97</v>
      </c>
      <c r="G137" s="12">
        <v>1.0</v>
      </c>
    </row>
    <row r="138" hidden="1">
      <c r="A138" s="5">
        <v>46123.0</v>
      </c>
      <c r="B138" s="36"/>
      <c r="C138" s="36" t="s">
        <v>338</v>
      </c>
      <c r="D138" s="10" t="s">
        <v>9</v>
      </c>
      <c r="E138" s="13" t="s">
        <v>12</v>
      </c>
      <c r="F138" s="14">
        <v>28.97</v>
      </c>
      <c r="G138" s="12">
        <v>1.0</v>
      </c>
    </row>
    <row r="139" hidden="1">
      <c r="A139" s="5">
        <v>46123.0</v>
      </c>
      <c r="B139" s="36"/>
      <c r="C139" s="36" t="s">
        <v>341</v>
      </c>
      <c r="D139" s="10" t="s">
        <v>9</v>
      </c>
      <c r="E139" s="13" t="s">
        <v>12</v>
      </c>
      <c r="F139" s="14">
        <v>35.97</v>
      </c>
      <c r="G139" s="12">
        <v>1.0</v>
      </c>
    </row>
    <row r="140" hidden="1">
      <c r="A140" s="5">
        <v>46123.0</v>
      </c>
      <c r="B140" s="20"/>
      <c r="C140" s="20" t="s">
        <v>344</v>
      </c>
      <c r="D140" s="10" t="s">
        <v>9</v>
      </c>
      <c r="E140" s="13" t="s">
        <v>12</v>
      </c>
      <c r="F140" s="14">
        <v>20.97</v>
      </c>
      <c r="G140" s="12">
        <v>1.0</v>
      </c>
    </row>
    <row r="141" hidden="1">
      <c r="A141" s="5">
        <v>46123.0</v>
      </c>
      <c r="B141" s="36"/>
      <c r="C141" s="36" t="s">
        <v>197</v>
      </c>
      <c r="D141" s="10" t="s">
        <v>9</v>
      </c>
      <c r="E141" s="13" t="s">
        <v>12</v>
      </c>
      <c r="F141" s="14">
        <v>25.97</v>
      </c>
      <c r="G141" s="12">
        <v>1.0</v>
      </c>
    </row>
    <row r="142" hidden="1">
      <c r="A142" s="5">
        <v>46123.0</v>
      </c>
      <c r="B142" s="20"/>
      <c r="C142" s="20" t="s">
        <v>148</v>
      </c>
      <c r="D142" s="10" t="s">
        <v>9</v>
      </c>
      <c r="E142" s="13" t="s">
        <v>12</v>
      </c>
      <c r="F142" s="14">
        <v>25.97</v>
      </c>
      <c r="G142" s="12">
        <v>1.0</v>
      </c>
    </row>
    <row r="143" hidden="1">
      <c r="A143" s="5">
        <v>46123.0</v>
      </c>
      <c r="B143" s="36"/>
      <c r="C143" s="36" t="s">
        <v>325</v>
      </c>
      <c r="D143" s="10" t="s">
        <v>9</v>
      </c>
      <c r="E143" s="13" t="s">
        <v>12</v>
      </c>
      <c r="F143" s="14">
        <v>84.97</v>
      </c>
      <c r="G143" s="12">
        <v>1.0</v>
      </c>
    </row>
    <row r="144" hidden="1">
      <c r="A144" s="58"/>
      <c r="B144" s="59"/>
      <c r="C144" s="59"/>
      <c r="D144" s="62"/>
      <c r="E144" s="23"/>
      <c r="F144" s="23"/>
      <c r="G144" s="23"/>
    </row>
    <row r="145" hidden="1">
      <c r="A145" s="5">
        <v>46158.0</v>
      </c>
      <c r="B145" s="65"/>
      <c r="C145" s="65" t="s">
        <v>347</v>
      </c>
      <c r="D145" s="10" t="s">
        <v>9</v>
      </c>
      <c r="E145" s="13" t="s">
        <v>12</v>
      </c>
      <c r="F145" s="29">
        <v>29.97</v>
      </c>
    </row>
    <row r="146" hidden="1">
      <c r="A146" s="5">
        <v>46158.0</v>
      </c>
      <c r="B146" s="65"/>
      <c r="C146" s="65" t="s">
        <v>350</v>
      </c>
      <c r="D146" s="10" t="s">
        <v>9</v>
      </c>
      <c r="E146" s="13" t="s">
        <v>12</v>
      </c>
      <c r="F146" s="29">
        <v>21.97</v>
      </c>
    </row>
    <row r="147" hidden="1">
      <c r="A147" s="5">
        <v>46158.0</v>
      </c>
      <c r="B147" s="65"/>
      <c r="C147" s="65" t="s">
        <v>352</v>
      </c>
      <c r="D147" s="10" t="s">
        <v>9</v>
      </c>
      <c r="E147" s="13" t="s">
        <v>12</v>
      </c>
      <c r="F147" s="29">
        <v>25.97</v>
      </c>
      <c r="G147" s="29">
        <v>2.0</v>
      </c>
    </row>
    <row r="148" hidden="1">
      <c r="A148" s="5">
        <v>46158.0</v>
      </c>
      <c r="B148" s="66"/>
      <c r="C148" s="66" t="s">
        <v>355</v>
      </c>
      <c r="D148" s="10" t="s">
        <v>9</v>
      </c>
      <c r="E148" s="13" t="s">
        <v>12</v>
      </c>
      <c r="F148" s="29">
        <v>30.97</v>
      </c>
    </row>
    <row r="149" hidden="1">
      <c r="A149" s="5">
        <v>46158.0</v>
      </c>
      <c r="B149" s="67"/>
      <c r="C149" s="67" t="s">
        <v>357</v>
      </c>
      <c r="D149" s="10" t="s">
        <v>9</v>
      </c>
      <c r="E149" s="13" t="s">
        <v>12</v>
      </c>
      <c r="F149" s="29">
        <v>30.97</v>
      </c>
    </row>
    <row r="150" hidden="1">
      <c r="A150" s="5">
        <v>46158.0</v>
      </c>
      <c r="B150" s="65"/>
      <c r="C150" s="65" t="s">
        <v>360</v>
      </c>
      <c r="D150" s="10" t="s">
        <v>9</v>
      </c>
      <c r="E150" s="13" t="s">
        <v>12</v>
      </c>
      <c r="F150" s="29">
        <v>40.97</v>
      </c>
    </row>
    <row r="151" hidden="1">
      <c r="A151" s="5">
        <v>46158.0</v>
      </c>
      <c r="B151" s="65"/>
      <c r="C151" s="65" t="s">
        <v>366</v>
      </c>
      <c r="D151" s="10" t="s">
        <v>9</v>
      </c>
      <c r="E151" s="13" t="s">
        <v>12</v>
      </c>
      <c r="F151" s="29">
        <v>68.97</v>
      </c>
    </row>
    <row r="152" hidden="1">
      <c r="A152" s="5">
        <v>46158.0</v>
      </c>
      <c r="B152" s="65"/>
      <c r="C152" s="65" t="s">
        <v>369</v>
      </c>
      <c r="D152" s="10" t="s">
        <v>9</v>
      </c>
      <c r="E152" s="13" t="s">
        <v>12</v>
      </c>
      <c r="F152" s="29">
        <v>30.97</v>
      </c>
    </row>
    <row r="153" hidden="1">
      <c r="A153" s="5">
        <v>46158.0</v>
      </c>
      <c r="B153" s="68"/>
      <c r="C153" s="68" t="s">
        <v>373</v>
      </c>
      <c r="D153" s="10" t="s">
        <v>9</v>
      </c>
      <c r="E153" s="13" t="s">
        <v>12</v>
      </c>
      <c r="F153" s="29">
        <v>45.97</v>
      </c>
    </row>
    <row r="154" hidden="1">
      <c r="A154" s="5">
        <v>46158.0</v>
      </c>
      <c r="B154" s="65"/>
      <c r="C154" s="65" t="s">
        <v>376</v>
      </c>
      <c r="D154" s="10" t="s">
        <v>9</v>
      </c>
      <c r="E154" s="13" t="s">
        <v>12</v>
      </c>
      <c r="F154" s="29">
        <v>98.97</v>
      </c>
    </row>
    <row r="155" hidden="1">
      <c r="A155" s="5">
        <v>46158.0</v>
      </c>
      <c r="B155" s="65"/>
      <c r="C155" s="65" t="s">
        <v>379</v>
      </c>
      <c r="D155" s="10" t="s">
        <v>9</v>
      </c>
      <c r="E155" s="13" t="s">
        <v>12</v>
      </c>
      <c r="F155" s="29">
        <v>55.97</v>
      </c>
    </row>
    <row r="156" hidden="1">
      <c r="A156" s="5">
        <v>46158.0</v>
      </c>
      <c r="B156" s="65"/>
      <c r="C156" s="65" t="s">
        <v>382</v>
      </c>
      <c r="D156" s="10" t="s">
        <v>9</v>
      </c>
      <c r="E156" s="13" t="s">
        <v>12</v>
      </c>
      <c r="F156" s="29">
        <v>55.97</v>
      </c>
    </row>
    <row r="157" hidden="1">
      <c r="A157" s="5">
        <v>46158.0</v>
      </c>
      <c r="B157" s="65"/>
      <c r="C157" s="65" t="s">
        <v>384</v>
      </c>
      <c r="D157" s="10" t="s">
        <v>9</v>
      </c>
      <c r="E157" s="13" t="s">
        <v>12</v>
      </c>
      <c r="F157" s="29">
        <v>57.97</v>
      </c>
    </row>
    <row r="158" hidden="1">
      <c r="A158" s="5">
        <v>46158.0</v>
      </c>
      <c r="B158" s="66"/>
      <c r="C158" s="66" t="s">
        <v>386</v>
      </c>
      <c r="D158" s="10" t="s">
        <v>9</v>
      </c>
      <c r="E158" s="13" t="s">
        <v>12</v>
      </c>
      <c r="F158" s="29">
        <v>130.97</v>
      </c>
    </row>
    <row r="159" hidden="1">
      <c r="A159" s="5">
        <v>46158.0</v>
      </c>
      <c r="B159" s="65"/>
      <c r="C159" s="65" t="s">
        <v>388</v>
      </c>
      <c r="D159" s="10" t="s">
        <v>9</v>
      </c>
      <c r="E159" s="13" t="s">
        <v>12</v>
      </c>
      <c r="F159" s="29">
        <v>35.97</v>
      </c>
      <c r="G159" s="29">
        <v>2.0</v>
      </c>
    </row>
    <row r="160" hidden="1">
      <c r="A160" s="58"/>
      <c r="B160" s="59"/>
      <c r="C160" s="59"/>
      <c r="D160" s="62"/>
      <c r="E160" s="69"/>
      <c r="F160" s="23"/>
      <c r="G160" s="23"/>
      <c r="H160" s="23"/>
    </row>
    <row r="161" hidden="1">
      <c r="A161" s="70">
        <v>46160.0</v>
      </c>
      <c r="B161" s="71"/>
      <c r="C161" s="71" t="s">
        <v>103</v>
      </c>
      <c r="D161" s="10" t="s">
        <v>9</v>
      </c>
      <c r="E161" s="13" t="s">
        <v>12</v>
      </c>
      <c r="F161" s="29">
        <v>100.97</v>
      </c>
    </row>
    <row r="162" hidden="1">
      <c r="A162" s="70">
        <v>46160.0</v>
      </c>
      <c r="B162" s="65"/>
      <c r="C162" s="65" t="s">
        <v>393</v>
      </c>
      <c r="D162" s="10" t="s">
        <v>9</v>
      </c>
      <c r="E162" s="13" t="s">
        <v>12</v>
      </c>
      <c r="F162" s="29">
        <v>35.97</v>
      </c>
      <c r="G162" s="29">
        <v>4.0</v>
      </c>
    </row>
    <row r="163" hidden="1">
      <c r="A163" s="70">
        <v>46160.0</v>
      </c>
      <c r="B163" s="74"/>
      <c r="C163" s="74" t="s">
        <v>394</v>
      </c>
      <c r="D163" s="10" t="s">
        <v>9</v>
      </c>
      <c r="E163" s="13" t="s">
        <v>12</v>
      </c>
      <c r="F163" s="29">
        <v>48.97</v>
      </c>
    </row>
    <row r="164" hidden="1">
      <c r="A164" s="70">
        <v>46160.0</v>
      </c>
      <c r="B164" s="74"/>
      <c r="C164" s="74" t="s">
        <v>395</v>
      </c>
      <c r="D164" s="10" t="s">
        <v>9</v>
      </c>
      <c r="E164" s="13" t="s">
        <v>12</v>
      </c>
      <c r="F164" s="29">
        <v>29.97</v>
      </c>
    </row>
    <row r="165" hidden="1">
      <c r="A165" s="70">
        <v>46160.0</v>
      </c>
      <c r="B165" s="74"/>
      <c r="C165" s="74" t="s">
        <v>396</v>
      </c>
      <c r="D165" s="10" t="s">
        <v>9</v>
      </c>
      <c r="E165" s="13" t="s">
        <v>12</v>
      </c>
      <c r="F165" s="29">
        <v>70.97</v>
      </c>
    </row>
    <row r="166" hidden="1">
      <c r="A166" s="70">
        <v>46160.0</v>
      </c>
      <c r="B166" s="74"/>
      <c r="C166" s="74" t="s">
        <v>397</v>
      </c>
      <c r="D166" s="10" t="s">
        <v>9</v>
      </c>
      <c r="E166" s="13" t="s">
        <v>12</v>
      </c>
      <c r="F166" s="29">
        <v>65.97</v>
      </c>
      <c r="G166" s="29">
        <v>2.0</v>
      </c>
    </row>
    <row r="167" hidden="1">
      <c r="A167" s="70">
        <v>46160.0</v>
      </c>
      <c r="B167" s="74"/>
      <c r="C167" s="74" t="s">
        <v>399</v>
      </c>
      <c r="D167" s="10" t="s">
        <v>9</v>
      </c>
      <c r="E167" s="13" t="s">
        <v>12</v>
      </c>
      <c r="F167" s="29">
        <v>80.97</v>
      </c>
    </row>
    <row r="168" hidden="1">
      <c r="A168" s="70">
        <v>46160.0</v>
      </c>
      <c r="B168" s="74"/>
      <c r="C168" s="74" t="s">
        <v>401</v>
      </c>
      <c r="D168" s="10" t="s">
        <v>9</v>
      </c>
      <c r="E168" s="13" t="s">
        <v>12</v>
      </c>
      <c r="F168" s="29">
        <v>40.97</v>
      </c>
    </row>
    <row r="169" hidden="1">
      <c r="A169" s="70">
        <v>46160.0</v>
      </c>
      <c r="B169" s="74"/>
      <c r="C169" s="74" t="s">
        <v>407</v>
      </c>
      <c r="D169" s="10" t="s">
        <v>9</v>
      </c>
      <c r="E169" s="13" t="s">
        <v>12</v>
      </c>
      <c r="F169" s="29">
        <v>36.97</v>
      </c>
      <c r="G169" s="29">
        <v>2.0</v>
      </c>
    </row>
    <row r="170" hidden="1">
      <c r="A170" s="70">
        <v>46160.0</v>
      </c>
      <c r="B170" s="74"/>
      <c r="C170" s="74" t="s">
        <v>410</v>
      </c>
      <c r="D170" s="10" t="s">
        <v>9</v>
      </c>
      <c r="E170" s="13" t="s">
        <v>12</v>
      </c>
      <c r="F170" s="29">
        <v>44.97</v>
      </c>
    </row>
    <row r="171" hidden="1">
      <c r="A171" s="70">
        <v>46160.0</v>
      </c>
      <c r="B171" s="74"/>
      <c r="C171" s="74" t="s">
        <v>413</v>
      </c>
      <c r="D171" s="10" t="s">
        <v>9</v>
      </c>
      <c r="E171" s="13" t="s">
        <v>12</v>
      </c>
      <c r="F171" s="29">
        <v>21.97</v>
      </c>
    </row>
    <row r="172" hidden="1">
      <c r="A172" s="70">
        <v>46160.0</v>
      </c>
      <c r="B172" s="74"/>
      <c r="C172" s="74" t="s">
        <v>416</v>
      </c>
      <c r="D172" s="10" t="s">
        <v>9</v>
      </c>
      <c r="E172" s="13" t="s">
        <v>12</v>
      </c>
      <c r="F172" s="29">
        <v>43.97</v>
      </c>
    </row>
    <row r="173" hidden="1">
      <c r="A173" s="70">
        <v>46160.0</v>
      </c>
      <c r="B173" s="20"/>
      <c r="C173" s="20" t="s">
        <v>419</v>
      </c>
      <c r="D173" s="10" t="s">
        <v>9</v>
      </c>
      <c r="E173" s="13" t="s">
        <v>12</v>
      </c>
      <c r="F173" s="29">
        <v>58.97</v>
      </c>
    </row>
    <row r="174" hidden="1">
      <c r="A174" s="70">
        <v>46160.0</v>
      </c>
      <c r="B174" s="20"/>
      <c r="C174" s="20" t="s">
        <v>423</v>
      </c>
      <c r="D174" s="10" t="s">
        <v>9</v>
      </c>
      <c r="E174" s="13" t="s">
        <v>12</v>
      </c>
      <c r="F174" s="29">
        <v>65.97</v>
      </c>
    </row>
    <row r="175" hidden="1">
      <c r="A175" s="70">
        <v>46160.0</v>
      </c>
      <c r="B175" s="74"/>
      <c r="C175" s="74" t="s">
        <v>426</v>
      </c>
      <c r="D175" s="10" t="s">
        <v>9</v>
      </c>
      <c r="E175" s="13" t="s">
        <v>12</v>
      </c>
      <c r="F175" s="29">
        <v>35.97</v>
      </c>
    </row>
    <row r="176" hidden="1">
      <c r="A176" s="23"/>
      <c r="B176" s="59"/>
      <c r="C176" s="59"/>
      <c r="D176" s="62"/>
      <c r="E176" s="23"/>
      <c r="F176" s="23"/>
      <c r="G176" s="23"/>
      <c r="H176" s="23"/>
    </row>
    <row r="177" hidden="1">
      <c r="A177" s="70">
        <v>46161.0</v>
      </c>
      <c r="B177" s="74"/>
      <c r="C177" s="74" t="s">
        <v>430</v>
      </c>
      <c r="D177" s="10" t="s">
        <v>9</v>
      </c>
      <c r="E177" s="13" t="s">
        <v>12</v>
      </c>
      <c r="F177" s="29">
        <v>78.97</v>
      </c>
    </row>
    <row r="178" hidden="1">
      <c r="A178" s="70">
        <v>46161.0</v>
      </c>
      <c r="B178" s="74"/>
      <c r="C178" s="74" t="s">
        <v>433</v>
      </c>
      <c r="D178" s="10" t="s">
        <v>9</v>
      </c>
      <c r="E178" s="13" t="s">
        <v>12</v>
      </c>
      <c r="F178" s="29">
        <v>21.97</v>
      </c>
    </row>
    <row r="179" hidden="1">
      <c r="A179" s="70">
        <v>46161.0</v>
      </c>
      <c r="B179" s="20"/>
      <c r="C179" s="20" t="s">
        <v>437</v>
      </c>
      <c r="D179" s="10" t="s">
        <v>9</v>
      </c>
      <c r="E179" s="13" t="s">
        <v>12</v>
      </c>
      <c r="F179" s="29">
        <v>21.97</v>
      </c>
    </row>
    <row r="180" hidden="1">
      <c r="A180" s="70">
        <v>46161.0</v>
      </c>
      <c r="B180" s="74"/>
      <c r="C180" s="74" t="s">
        <v>439</v>
      </c>
      <c r="D180" s="10" t="s">
        <v>9</v>
      </c>
      <c r="E180" s="13" t="s">
        <v>12</v>
      </c>
      <c r="F180" s="29">
        <v>21.97</v>
      </c>
    </row>
    <row r="181" hidden="1">
      <c r="A181" s="70">
        <v>46161.0</v>
      </c>
      <c r="B181" s="65"/>
      <c r="C181" s="65" t="s">
        <v>441</v>
      </c>
      <c r="D181" s="10" t="s">
        <v>9</v>
      </c>
      <c r="E181" s="13" t="s">
        <v>12</v>
      </c>
      <c r="F181" s="29">
        <v>21.97</v>
      </c>
      <c r="G181" s="29">
        <v>4.0</v>
      </c>
    </row>
    <row r="182" hidden="1">
      <c r="A182" s="70">
        <v>46161.0</v>
      </c>
      <c r="B182" s="20"/>
      <c r="C182" s="20" t="s">
        <v>442</v>
      </c>
      <c r="D182" s="10" t="s">
        <v>9</v>
      </c>
      <c r="E182" s="13" t="s">
        <v>12</v>
      </c>
      <c r="F182" s="29">
        <v>21.97</v>
      </c>
      <c r="G182" s="29">
        <v>6.0</v>
      </c>
    </row>
    <row r="183" hidden="1">
      <c r="A183" s="70">
        <v>46161.0</v>
      </c>
      <c r="B183" s="65"/>
      <c r="C183" s="65" t="s">
        <v>444</v>
      </c>
      <c r="D183" s="10" t="s">
        <v>9</v>
      </c>
      <c r="E183" s="13" t="s">
        <v>12</v>
      </c>
      <c r="F183" s="29">
        <v>21.97</v>
      </c>
      <c r="G183" s="29">
        <v>4.0</v>
      </c>
    </row>
    <row r="184" hidden="1">
      <c r="A184" s="70">
        <v>46161.0</v>
      </c>
      <c r="B184" s="74"/>
      <c r="C184" s="74" t="s">
        <v>447</v>
      </c>
      <c r="D184" s="10" t="s">
        <v>9</v>
      </c>
      <c r="E184" s="13" t="s">
        <v>12</v>
      </c>
      <c r="F184" s="29">
        <v>21.97</v>
      </c>
      <c r="G184" s="29">
        <v>7.0</v>
      </c>
    </row>
    <row r="185" hidden="1">
      <c r="A185" s="70">
        <v>46161.0</v>
      </c>
      <c r="B185" s="65"/>
      <c r="C185" s="65" t="s">
        <v>449</v>
      </c>
      <c r="D185" s="10" t="s">
        <v>9</v>
      </c>
      <c r="E185" s="13" t="s">
        <v>12</v>
      </c>
      <c r="F185" s="29">
        <v>25.97</v>
      </c>
      <c r="G185" s="29">
        <v>3.0</v>
      </c>
    </row>
    <row r="186" hidden="1">
      <c r="A186" s="70">
        <v>46161.0</v>
      </c>
      <c r="B186" s="65"/>
      <c r="C186" s="65" t="s">
        <v>87</v>
      </c>
      <c r="D186" s="10" t="s">
        <v>9</v>
      </c>
      <c r="E186" s="13" t="s">
        <v>12</v>
      </c>
      <c r="F186" s="29">
        <v>21.97</v>
      </c>
      <c r="G186" s="29">
        <v>2.0</v>
      </c>
    </row>
    <row r="187" hidden="1">
      <c r="A187" s="70">
        <v>46161.0</v>
      </c>
      <c r="B187" s="20"/>
      <c r="C187" s="20" t="s">
        <v>452</v>
      </c>
      <c r="D187" s="10" t="s">
        <v>9</v>
      </c>
      <c r="E187" s="13" t="s">
        <v>12</v>
      </c>
      <c r="F187" s="29">
        <v>40.97</v>
      </c>
    </row>
    <row r="188" hidden="1">
      <c r="A188" s="70">
        <v>46161.0</v>
      </c>
      <c r="B188" s="20"/>
      <c r="C188" s="20" t="s">
        <v>455</v>
      </c>
      <c r="D188" s="10" t="s">
        <v>9</v>
      </c>
      <c r="E188" s="13" t="s">
        <v>12</v>
      </c>
      <c r="F188" s="29">
        <v>21.97</v>
      </c>
    </row>
    <row r="189" hidden="1">
      <c r="A189" s="70">
        <v>46161.0</v>
      </c>
      <c r="B189" s="65"/>
      <c r="C189" s="65" t="s">
        <v>458</v>
      </c>
      <c r="D189" s="10" t="s">
        <v>9</v>
      </c>
      <c r="E189" s="13" t="s">
        <v>12</v>
      </c>
      <c r="F189" s="29">
        <v>33.97</v>
      </c>
    </row>
    <row r="190" hidden="1">
      <c r="A190" s="70">
        <v>46161.0</v>
      </c>
      <c r="B190" s="74"/>
      <c r="C190" s="74" t="s">
        <v>460</v>
      </c>
      <c r="D190" s="10" t="s">
        <v>9</v>
      </c>
      <c r="E190" s="13" t="s">
        <v>12</v>
      </c>
      <c r="F190" s="29">
        <v>50.97</v>
      </c>
    </row>
    <row r="191" hidden="1">
      <c r="A191" s="70">
        <v>46161.0</v>
      </c>
      <c r="B191" s="74"/>
      <c r="C191" s="74" t="s">
        <v>463</v>
      </c>
      <c r="D191" s="10" t="s">
        <v>9</v>
      </c>
      <c r="E191" s="13" t="s">
        <v>12</v>
      </c>
      <c r="F191" s="29">
        <v>21.97</v>
      </c>
    </row>
    <row r="192" hidden="1">
      <c r="A192" s="70">
        <v>46161.0</v>
      </c>
      <c r="B192" s="74"/>
      <c r="C192" s="74" t="s">
        <v>465</v>
      </c>
      <c r="D192" s="10" t="s">
        <v>9</v>
      </c>
      <c r="E192" s="13" t="s">
        <v>12</v>
      </c>
      <c r="F192" s="29">
        <v>22.97</v>
      </c>
    </row>
    <row r="193" hidden="1">
      <c r="A193" s="70">
        <v>46161.0</v>
      </c>
      <c r="B193" s="74"/>
      <c r="C193" s="74" t="s">
        <v>468</v>
      </c>
      <c r="D193" s="10" t="s">
        <v>9</v>
      </c>
      <c r="E193" s="13" t="s">
        <v>12</v>
      </c>
      <c r="F193" s="29">
        <v>35.97</v>
      </c>
    </row>
    <row r="194" hidden="1">
      <c r="A194" s="70">
        <v>46161.0</v>
      </c>
      <c r="B194" s="20"/>
      <c r="C194" s="20" t="s">
        <v>471</v>
      </c>
      <c r="D194" s="10" t="s">
        <v>9</v>
      </c>
      <c r="E194" s="13" t="s">
        <v>12</v>
      </c>
      <c r="F194" s="29">
        <v>25.97</v>
      </c>
    </row>
    <row r="195" hidden="1">
      <c r="A195" s="70">
        <v>46161.0</v>
      </c>
      <c r="B195" s="74"/>
      <c r="C195" s="74" t="s">
        <v>473</v>
      </c>
      <c r="D195" s="10" t="s">
        <v>9</v>
      </c>
      <c r="E195" s="13" t="s">
        <v>12</v>
      </c>
      <c r="F195" s="29">
        <v>21.97</v>
      </c>
    </row>
    <row r="196" hidden="1">
      <c r="A196" s="70">
        <v>46161.0</v>
      </c>
      <c r="B196" s="74"/>
      <c r="C196" s="74" t="s">
        <v>476</v>
      </c>
      <c r="D196" s="10" t="s">
        <v>9</v>
      </c>
      <c r="E196" s="13" t="s">
        <v>12</v>
      </c>
      <c r="F196" s="29">
        <v>29.97</v>
      </c>
    </row>
    <row r="197" hidden="1">
      <c r="A197" s="70">
        <v>46161.0</v>
      </c>
      <c r="B197" s="20"/>
      <c r="C197" s="20" t="s">
        <v>479</v>
      </c>
      <c r="D197" s="10" t="s">
        <v>9</v>
      </c>
      <c r="E197" s="13" t="s">
        <v>12</v>
      </c>
      <c r="F197" s="29">
        <v>45.97</v>
      </c>
    </row>
    <row r="198" hidden="1">
      <c r="A198" s="70">
        <v>46161.0</v>
      </c>
      <c r="B198" s="20"/>
      <c r="C198" s="20" t="s">
        <v>481</v>
      </c>
      <c r="D198" s="10" t="s">
        <v>9</v>
      </c>
      <c r="E198" s="13" t="s">
        <v>12</v>
      </c>
      <c r="F198" s="29">
        <v>24.97</v>
      </c>
    </row>
    <row r="199" hidden="1">
      <c r="A199" s="70">
        <v>46161.0</v>
      </c>
      <c r="B199" s="20"/>
      <c r="C199" s="20" t="s">
        <v>484</v>
      </c>
      <c r="D199" s="10" t="s">
        <v>9</v>
      </c>
      <c r="E199" s="13" t="s">
        <v>12</v>
      </c>
      <c r="F199" s="29">
        <v>24.97</v>
      </c>
    </row>
    <row r="200" hidden="1">
      <c r="A200" s="70">
        <v>46161.0</v>
      </c>
      <c r="B200" s="74"/>
      <c r="C200" s="74" t="s">
        <v>487</v>
      </c>
      <c r="D200" s="10" t="s">
        <v>9</v>
      </c>
      <c r="E200" s="13" t="s">
        <v>12</v>
      </c>
      <c r="F200" s="29">
        <v>25.97</v>
      </c>
    </row>
    <row r="201" hidden="1">
      <c r="A201" s="70">
        <v>46161.0</v>
      </c>
      <c r="B201" s="86"/>
      <c r="C201" s="86" t="s">
        <v>490</v>
      </c>
      <c r="D201" s="10" t="s">
        <v>9</v>
      </c>
      <c r="E201" s="13" t="s">
        <v>12</v>
      </c>
      <c r="F201" s="29">
        <v>35.97</v>
      </c>
    </row>
    <row r="202" hidden="1">
      <c r="A202" s="70">
        <v>46161.0</v>
      </c>
      <c r="B202" s="74"/>
      <c r="C202" s="74" t="s">
        <v>493</v>
      </c>
      <c r="D202" s="10" t="s">
        <v>9</v>
      </c>
      <c r="E202" s="13" t="s">
        <v>12</v>
      </c>
      <c r="F202" s="29">
        <v>200.97</v>
      </c>
    </row>
    <row r="203" hidden="1">
      <c r="A203" s="70">
        <v>46161.0</v>
      </c>
      <c r="B203" s="20"/>
      <c r="C203" s="20" t="s">
        <v>495</v>
      </c>
      <c r="D203" s="10" t="s">
        <v>9</v>
      </c>
      <c r="E203" s="13" t="s">
        <v>12</v>
      </c>
      <c r="F203" s="29">
        <v>45.97</v>
      </c>
    </row>
    <row r="204" hidden="1">
      <c r="A204" s="70">
        <v>46161.0</v>
      </c>
      <c r="B204" s="74"/>
      <c r="C204" s="74" t="s">
        <v>497</v>
      </c>
      <c r="D204" s="10" t="s">
        <v>9</v>
      </c>
      <c r="E204" s="13" t="s">
        <v>12</v>
      </c>
      <c r="F204" s="29">
        <v>21.97</v>
      </c>
    </row>
    <row r="205" hidden="1">
      <c r="A205" s="70">
        <v>46161.0</v>
      </c>
      <c r="B205" s="74"/>
      <c r="C205" s="74" t="s">
        <v>501</v>
      </c>
      <c r="D205" s="10" t="s">
        <v>9</v>
      </c>
      <c r="E205" s="13" t="s">
        <v>12</v>
      </c>
      <c r="F205" s="29">
        <v>40.97</v>
      </c>
    </row>
    <row r="206" hidden="1">
      <c r="A206" s="70">
        <v>46161.0</v>
      </c>
      <c r="B206" s="74"/>
      <c r="C206" s="74" t="s">
        <v>186</v>
      </c>
      <c r="D206" s="10" t="s">
        <v>9</v>
      </c>
      <c r="E206" s="13" t="s">
        <v>12</v>
      </c>
      <c r="F206" s="29">
        <v>30.97</v>
      </c>
    </row>
    <row r="207" hidden="1">
      <c r="A207" s="23"/>
      <c r="B207" s="59"/>
      <c r="C207" s="59"/>
      <c r="D207" s="62"/>
      <c r="E207" s="23"/>
      <c r="F207" s="23"/>
      <c r="G207" s="23"/>
      <c r="H207" s="23"/>
    </row>
    <row r="208" hidden="1">
      <c r="A208" s="70">
        <v>46162.0</v>
      </c>
      <c r="B208" s="20"/>
      <c r="C208" s="20" t="s">
        <v>504</v>
      </c>
      <c r="D208" s="10" t="s">
        <v>9</v>
      </c>
      <c r="E208" s="13" t="s">
        <v>12</v>
      </c>
      <c r="F208" s="29">
        <v>25.97</v>
      </c>
    </row>
    <row r="209" hidden="1">
      <c r="A209" s="70">
        <v>46162.0</v>
      </c>
      <c r="B209" s="74"/>
      <c r="C209" s="74" t="s">
        <v>508</v>
      </c>
      <c r="D209" s="10" t="s">
        <v>9</v>
      </c>
      <c r="E209" s="13" t="s">
        <v>12</v>
      </c>
      <c r="F209" s="29">
        <v>21.97</v>
      </c>
    </row>
    <row r="210" hidden="1">
      <c r="A210" s="70">
        <v>46162.0</v>
      </c>
      <c r="B210" s="74"/>
      <c r="C210" s="74" t="s">
        <v>510</v>
      </c>
      <c r="D210" s="10" t="s">
        <v>9</v>
      </c>
      <c r="E210" s="13" t="s">
        <v>12</v>
      </c>
      <c r="F210" s="29">
        <v>23.97</v>
      </c>
    </row>
    <row r="211" hidden="1">
      <c r="A211" s="70">
        <v>46162.0</v>
      </c>
      <c r="B211" s="74"/>
      <c r="C211" s="74" t="s">
        <v>513</v>
      </c>
      <c r="D211" s="10" t="s">
        <v>9</v>
      </c>
      <c r="E211" s="13" t="s">
        <v>12</v>
      </c>
      <c r="F211" s="29">
        <v>23.97</v>
      </c>
    </row>
    <row r="212" hidden="1">
      <c r="A212" s="70">
        <v>46162.0</v>
      </c>
      <c r="B212" s="74"/>
      <c r="C212" s="74" t="s">
        <v>515</v>
      </c>
      <c r="D212" s="10" t="s">
        <v>9</v>
      </c>
      <c r="E212" s="13" t="s">
        <v>12</v>
      </c>
      <c r="F212" s="29">
        <v>22.97</v>
      </c>
    </row>
    <row r="213" hidden="1">
      <c r="A213" s="70">
        <v>46162.0</v>
      </c>
      <c r="B213" s="20"/>
      <c r="C213" s="20" t="s">
        <v>517</v>
      </c>
      <c r="D213" s="10" t="s">
        <v>9</v>
      </c>
      <c r="E213" s="13" t="s">
        <v>12</v>
      </c>
      <c r="F213" s="29">
        <v>21.97</v>
      </c>
    </row>
    <row r="214" hidden="1">
      <c r="A214" s="70">
        <v>46162.0</v>
      </c>
      <c r="B214" s="74"/>
      <c r="C214" s="74" t="s">
        <v>519</v>
      </c>
      <c r="D214" s="10" t="s">
        <v>9</v>
      </c>
      <c r="E214" s="13" t="s">
        <v>12</v>
      </c>
      <c r="F214" s="29">
        <v>60.97</v>
      </c>
    </row>
    <row r="215" hidden="1">
      <c r="A215" s="70">
        <v>46162.0</v>
      </c>
      <c r="B215" s="74"/>
      <c r="C215" s="74" t="s">
        <v>520</v>
      </c>
      <c r="D215" s="10" t="s">
        <v>9</v>
      </c>
      <c r="E215" s="13" t="s">
        <v>12</v>
      </c>
      <c r="F215" s="29">
        <v>35.97</v>
      </c>
    </row>
    <row r="216" hidden="1">
      <c r="A216" s="70">
        <v>46162.0</v>
      </c>
      <c r="B216" s="74"/>
      <c r="C216" s="74" t="s">
        <v>522</v>
      </c>
      <c r="D216" s="10" t="s">
        <v>9</v>
      </c>
      <c r="E216" s="13" t="s">
        <v>12</v>
      </c>
      <c r="F216" s="29">
        <v>45.97</v>
      </c>
    </row>
    <row r="217" hidden="1">
      <c r="A217" s="70">
        <v>46162.0</v>
      </c>
      <c r="B217" s="74"/>
      <c r="C217" s="74" t="s">
        <v>523</v>
      </c>
      <c r="D217" s="10" t="s">
        <v>9</v>
      </c>
      <c r="E217" s="13" t="s">
        <v>12</v>
      </c>
      <c r="F217" s="29">
        <v>25.97</v>
      </c>
    </row>
    <row r="218" hidden="1">
      <c r="A218" s="70">
        <v>46162.0</v>
      </c>
      <c r="B218" s="74"/>
      <c r="C218" s="74" t="s">
        <v>527</v>
      </c>
      <c r="D218" s="10" t="s">
        <v>9</v>
      </c>
      <c r="E218" s="13" t="s">
        <v>12</v>
      </c>
      <c r="F218" s="29">
        <v>20.97</v>
      </c>
    </row>
    <row r="219" hidden="1">
      <c r="A219" s="70">
        <v>46162.0</v>
      </c>
      <c r="B219" s="74"/>
      <c r="C219" s="74" t="s">
        <v>529</v>
      </c>
      <c r="D219" s="10" t="s">
        <v>9</v>
      </c>
      <c r="E219" s="13" t="s">
        <v>12</v>
      </c>
      <c r="F219" s="29">
        <v>22.97</v>
      </c>
    </row>
    <row r="220" hidden="1">
      <c r="A220" s="70">
        <v>46162.0</v>
      </c>
      <c r="B220" s="74"/>
      <c r="C220" s="74" t="s">
        <v>532</v>
      </c>
      <c r="D220" s="10" t="s">
        <v>9</v>
      </c>
      <c r="E220" s="13" t="s">
        <v>12</v>
      </c>
      <c r="F220" s="29">
        <v>21.97</v>
      </c>
    </row>
    <row r="221" hidden="1">
      <c r="A221" s="70">
        <v>46162.0</v>
      </c>
      <c r="B221" s="20"/>
      <c r="C221" s="20" t="s">
        <v>534</v>
      </c>
      <c r="D221" s="10" t="s">
        <v>9</v>
      </c>
      <c r="E221" s="13" t="s">
        <v>12</v>
      </c>
      <c r="F221" s="29">
        <v>38.97</v>
      </c>
    </row>
    <row r="222" hidden="1">
      <c r="A222" s="70">
        <v>46162.0</v>
      </c>
      <c r="B222" s="65"/>
      <c r="C222" s="65" t="s">
        <v>537</v>
      </c>
      <c r="D222" s="10" t="s">
        <v>9</v>
      </c>
      <c r="E222" s="13" t="s">
        <v>12</v>
      </c>
      <c r="F222" s="29">
        <v>25.97</v>
      </c>
      <c r="G222" s="29">
        <v>2.0</v>
      </c>
    </row>
    <row r="223" hidden="1">
      <c r="A223" s="70">
        <v>46162.0</v>
      </c>
      <c r="B223" s="65"/>
      <c r="C223" s="65" t="s">
        <v>540</v>
      </c>
      <c r="D223" s="10" t="s">
        <v>9</v>
      </c>
      <c r="E223" s="13" t="s">
        <v>12</v>
      </c>
      <c r="F223" s="29">
        <v>50.97</v>
      </c>
      <c r="G223" s="29">
        <v>2.0</v>
      </c>
    </row>
    <row r="224" hidden="1">
      <c r="A224" s="70">
        <v>46162.0</v>
      </c>
      <c r="B224" s="20"/>
      <c r="C224" s="20" t="s">
        <v>542</v>
      </c>
      <c r="D224" s="10" t="s">
        <v>9</v>
      </c>
      <c r="E224" s="13" t="s">
        <v>12</v>
      </c>
      <c r="F224" s="29">
        <v>21.97</v>
      </c>
    </row>
    <row r="225" hidden="1">
      <c r="A225" s="70">
        <v>46162.0</v>
      </c>
      <c r="B225" s="74"/>
      <c r="C225" s="74" t="s">
        <v>544</v>
      </c>
      <c r="D225" s="10" t="s">
        <v>9</v>
      </c>
      <c r="E225" s="13" t="s">
        <v>12</v>
      </c>
      <c r="F225" s="29">
        <v>21.97</v>
      </c>
    </row>
    <row r="226" hidden="1">
      <c r="A226" s="70">
        <v>46162.0</v>
      </c>
      <c r="B226" s="20"/>
      <c r="C226" s="20" t="s">
        <v>549</v>
      </c>
      <c r="D226" s="10" t="s">
        <v>9</v>
      </c>
      <c r="E226" s="13" t="s">
        <v>12</v>
      </c>
      <c r="F226" s="29">
        <v>26.97</v>
      </c>
    </row>
    <row r="227" hidden="1">
      <c r="A227" s="70">
        <v>46162.0</v>
      </c>
      <c r="B227" s="74"/>
      <c r="C227" s="74" t="s">
        <v>552</v>
      </c>
      <c r="D227" s="10" t="s">
        <v>9</v>
      </c>
      <c r="E227" s="13" t="s">
        <v>12</v>
      </c>
      <c r="F227" s="29">
        <v>55.97</v>
      </c>
    </row>
    <row r="228" hidden="1">
      <c r="A228" s="70">
        <v>46162.0</v>
      </c>
      <c r="B228" s="74"/>
      <c r="C228" s="74" t="s">
        <v>554</v>
      </c>
      <c r="D228" s="10" t="s">
        <v>9</v>
      </c>
      <c r="E228" s="13" t="s">
        <v>12</v>
      </c>
      <c r="F228" s="29">
        <v>37.97</v>
      </c>
    </row>
    <row r="229" hidden="1">
      <c r="A229" s="70">
        <v>46162.0</v>
      </c>
      <c r="B229" s="74"/>
      <c r="C229" s="74" t="s">
        <v>556</v>
      </c>
      <c r="D229" s="10" t="s">
        <v>9</v>
      </c>
      <c r="E229" s="13" t="s">
        <v>12</v>
      </c>
      <c r="F229" s="29">
        <v>30.97</v>
      </c>
    </row>
    <row r="230" hidden="1">
      <c r="A230" s="70">
        <v>46162.0</v>
      </c>
      <c r="B230" s="74"/>
      <c r="C230" s="74" t="s">
        <v>558</v>
      </c>
      <c r="D230" s="10" t="s">
        <v>9</v>
      </c>
      <c r="E230" s="13" t="s">
        <v>12</v>
      </c>
      <c r="F230" s="29">
        <v>22.97</v>
      </c>
    </row>
    <row r="231" hidden="1">
      <c r="A231" s="70">
        <v>46162.0</v>
      </c>
      <c r="B231" s="74"/>
      <c r="C231" s="74" t="s">
        <v>560</v>
      </c>
      <c r="D231" s="10" t="s">
        <v>9</v>
      </c>
      <c r="E231" s="13" t="s">
        <v>12</v>
      </c>
      <c r="F231" s="29">
        <v>75.97</v>
      </c>
    </row>
    <row r="232" hidden="1">
      <c r="A232" s="70">
        <v>46162.0</v>
      </c>
      <c r="B232" s="20"/>
      <c r="C232" s="20" t="s">
        <v>562</v>
      </c>
      <c r="D232" s="10" t="s">
        <v>9</v>
      </c>
      <c r="E232" s="13" t="s">
        <v>12</v>
      </c>
      <c r="F232" s="29">
        <v>25.97</v>
      </c>
      <c r="G232" s="29">
        <v>2.0</v>
      </c>
    </row>
    <row r="233" hidden="1">
      <c r="A233" s="70">
        <v>46162.0</v>
      </c>
      <c r="B233" s="74"/>
      <c r="C233" s="74" t="s">
        <v>564</v>
      </c>
      <c r="D233" s="10" t="s">
        <v>9</v>
      </c>
      <c r="E233" s="13" t="s">
        <v>12</v>
      </c>
      <c r="F233" s="29">
        <v>27.97</v>
      </c>
    </row>
    <row r="234" hidden="1">
      <c r="A234" s="70">
        <v>46162.0</v>
      </c>
      <c r="B234" s="20"/>
      <c r="C234" s="20" t="s">
        <v>566</v>
      </c>
      <c r="D234" s="10" t="s">
        <v>9</v>
      </c>
      <c r="E234" s="13" t="s">
        <v>12</v>
      </c>
      <c r="F234" s="29">
        <v>22.97</v>
      </c>
      <c r="G234" s="29">
        <v>2.0</v>
      </c>
    </row>
    <row r="235" hidden="1">
      <c r="A235" s="70">
        <v>46162.0</v>
      </c>
      <c r="B235" s="74"/>
      <c r="C235" s="74" t="s">
        <v>569</v>
      </c>
      <c r="D235" s="10" t="s">
        <v>9</v>
      </c>
      <c r="E235" s="13" t="s">
        <v>12</v>
      </c>
      <c r="F235" s="29">
        <v>25.97</v>
      </c>
    </row>
    <row r="236" hidden="1">
      <c r="A236" s="70">
        <v>46162.0</v>
      </c>
      <c r="B236" s="20"/>
      <c r="C236" s="20" t="s">
        <v>571</v>
      </c>
      <c r="D236" s="10" t="s">
        <v>9</v>
      </c>
      <c r="E236" s="13" t="s">
        <v>12</v>
      </c>
      <c r="F236" s="29">
        <v>21.97</v>
      </c>
    </row>
    <row r="237" hidden="1">
      <c r="A237" s="70">
        <v>46162.0</v>
      </c>
      <c r="B237" s="74"/>
      <c r="C237" s="74" t="s">
        <v>574</v>
      </c>
      <c r="D237" s="10" t="s">
        <v>9</v>
      </c>
      <c r="E237" s="13" t="s">
        <v>12</v>
      </c>
      <c r="F237" s="29">
        <v>21.97</v>
      </c>
    </row>
    <row r="238" hidden="1">
      <c r="A238" s="23"/>
      <c r="B238" s="59"/>
      <c r="C238" s="59"/>
      <c r="D238" s="62"/>
      <c r="E238" s="23"/>
      <c r="F238" s="23"/>
      <c r="G238" s="23"/>
      <c r="H238" s="23"/>
    </row>
    <row r="239" hidden="1">
      <c r="A239" s="70">
        <v>46163.0</v>
      </c>
      <c r="B239" s="20"/>
      <c r="C239" s="20" t="s">
        <v>578</v>
      </c>
      <c r="D239" s="10" t="s">
        <v>9</v>
      </c>
      <c r="E239" s="13" t="s">
        <v>12</v>
      </c>
      <c r="F239" s="29">
        <v>75.97</v>
      </c>
    </row>
    <row r="240" hidden="1">
      <c r="A240" s="70">
        <v>46163.0</v>
      </c>
      <c r="B240" s="74"/>
      <c r="C240" s="74" t="s">
        <v>580</v>
      </c>
      <c r="D240" s="10" t="s">
        <v>9</v>
      </c>
      <c r="E240" s="13" t="s">
        <v>12</v>
      </c>
      <c r="F240" s="29">
        <v>23.97</v>
      </c>
    </row>
    <row r="241" hidden="1">
      <c r="A241" s="70">
        <v>46163.0</v>
      </c>
      <c r="B241" s="74"/>
      <c r="C241" s="74" t="s">
        <v>582</v>
      </c>
      <c r="D241" s="10" t="s">
        <v>9</v>
      </c>
      <c r="E241" s="13" t="s">
        <v>12</v>
      </c>
      <c r="F241" s="29">
        <v>21.97</v>
      </c>
    </row>
    <row r="242" hidden="1">
      <c r="A242" s="70">
        <v>46163.0</v>
      </c>
      <c r="B242" s="74"/>
      <c r="C242" s="74" t="s">
        <v>585</v>
      </c>
      <c r="D242" s="10" t="s">
        <v>9</v>
      </c>
      <c r="E242" s="13" t="s">
        <v>12</v>
      </c>
      <c r="F242" s="29">
        <v>98.97</v>
      </c>
    </row>
    <row r="243" hidden="1">
      <c r="A243" s="70">
        <v>46163.0</v>
      </c>
      <c r="B243" s="74"/>
      <c r="C243" s="74" t="s">
        <v>587</v>
      </c>
      <c r="D243" s="10" t="s">
        <v>9</v>
      </c>
      <c r="E243" s="13" t="s">
        <v>12</v>
      </c>
      <c r="F243" s="29">
        <v>25.97</v>
      </c>
    </row>
    <row r="244" hidden="1">
      <c r="A244" s="70">
        <v>46163.0</v>
      </c>
      <c r="B244" s="74"/>
      <c r="C244" s="74" t="s">
        <v>591</v>
      </c>
      <c r="D244" s="10" t="s">
        <v>9</v>
      </c>
      <c r="E244" s="13" t="s">
        <v>12</v>
      </c>
      <c r="F244" s="29">
        <v>32.97</v>
      </c>
    </row>
    <row r="245" hidden="1">
      <c r="A245" s="70">
        <v>46163.0</v>
      </c>
      <c r="B245" s="74"/>
      <c r="C245" s="74" t="s">
        <v>593</v>
      </c>
      <c r="D245" s="10" t="s">
        <v>9</v>
      </c>
      <c r="E245" s="13" t="s">
        <v>12</v>
      </c>
      <c r="F245" s="29">
        <v>85.97</v>
      </c>
    </row>
    <row r="246" hidden="1">
      <c r="A246" s="70">
        <v>46163.0</v>
      </c>
      <c r="B246" s="96"/>
      <c r="C246" s="96" t="s">
        <v>597</v>
      </c>
      <c r="D246" s="10" t="s">
        <v>9</v>
      </c>
      <c r="E246" s="13" t="s">
        <v>12</v>
      </c>
      <c r="F246" s="29">
        <v>50.97</v>
      </c>
    </row>
    <row r="247" hidden="1">
      <c r="A247" s="70">
        <v>46163.0</v>
      </c>
      <c r="B247" s="74"/>
      <c r="C247" s="74" t="s">
        <v>600</v>
      </c>
      <c r="D247" s="10" t="s">
        <v>9</v>
      </c>
      <c r="E247" s="13" t="s">
        <v>12</v>
      </c>
      <c r="F247" s="29">
        <v>25.97</v>
      </c>
    </row>
    <row r="248" hidden="1">
      <c r="A248" s="70">
        <v>46163.0</v>
      </c>
      <c r="B248" s="74"/>
      <c r="C248" s="74" t="s">
        <v>603</v>
      </c>
      <c r="D248" s="10" t="s">
        <v>9</v>
      </c>
      <c r="E248" s="13" t="s">
        <v>12</v>
      </c>
      <c r="F248" s="29">
        <v>21.97</v>
      </c>
    </row>
    <row r="249" hidden="1">
      <c r="A249" s="70">
        <v>46163.0</v>
      </c>
      <c r="B249" s="20"/>
      <c r="C249" s="20" t="s">
        <v>605</v>
      </c>
      <c r="D249" s="10" t="s">
        <v>9</v>
      </c>
      <c r="E249" s="13" t="s">
        <v>12</v>
      </c>
      <c r="F249" s="29">
        <v>30.97</v>
      </c>
    </row>
    <row r="250" hidden="1">
      <c r="A250" s="70">
        <v>46163.0</v>
      </c>
      <c r="B250" s="20"/>
      <c r="C250" s="20" t="s">
        <v>608</v>
      </c>
      <c r="D250" s="10" t="s">
        <v>9</v>
      </c>
      <c r="E250" s="13" t="s">
        <v>12</v>
      </c>
      <c r="F250" s="29">
        <v>45.97</v>
      </c>
    </row>
    <row r="251" hidden="1">
      <c r="A251" s="70">
        <v>46163.0</v>
      </c>
      <c r="B251" s="20"/>
      <c r="C251" s="20" t="s">
        <v>610</v>
      </c>
      <c r="D251" s="10" t="s">
        <v>9</v>
      </c>
      <c r="E251" s="13" t="s">
        <v>12</v>
      </c>
      <c r="F251" s="29">
        <v>42.97</v>
      </c>
    </row>
    <row r="252" hidden="1">
      <c r="A252" s="70">
        <v>46163.0</v>
      </c>
      <c r="B252" s="74"/>
      <c r="C252" s="74" t="s">
        <v>612</v>
      </c>
      <c r="D252" s="10" t="s">
        <v>9</v>
      </c>
      <c r="E252" s="13" t="s">
        <v>12</v>
      </c>
      <c r="F252" s="29">
        <v>35.97</v>
      </c>
    </row>
    <row r="253" hidden="1">
      <c r="A253" s="70">
        <v>46163.0</v>
      </c>
      <c r="B253" s="74"/>
      <c r="C253" s="74" t="s">
        <v>615</v>
      </c>
      <c r="D253" s="10" t="s">
        <v>9</v>
      </c>
      <c r="E253" s="13" t="s">
        <v>12</v>
      </c>
      <c r="F253" s="29">
        <v>25.97</v>
      </c>
    </row>
    <row r="254" hidden="1">
      <c r="A254" s="23"/>
      <c r="B254" s="59"/>
      <c r="C254" s="59"/>
      <c r="D254" s="97"/>
      <c r="E254" s="69"/>
      <c r="F254" s="23"/>
      <c r="G254" s="23"/>
      <c r="H254" s="23"/>
    </row>
    <row r="255" hidden="1">
      <c r="A255" s="70">
        <v>46164.0</v>
      </c>
      <c r="B255" s="74"/>
      <c r="C255" s="74" t="s">
        <v>619</v>
      </c>
      <c r="D255" s="10" t="s">
        <v>9</v>
      </c>
      <c r="E255" s="13" t="s">
        <v>12</v>
      </c>
      <c r="F255" s="29">
        <v>21.97</v>
      </c>
    </row>
    <row r="256" hidden="1">
      <c r="A256" s="70">
        <v>46164.0</v>
      </c>
      <c r="B256" s="20"/>
      <c r="C256" s="20" t="s">
        <v>621</v>
      </c>
      <c r="D256" s="10" t="s">
        <v>9</v>
      </c>
      <c r="E256" s="13" t="s">
        <v>12</v>
      </c>
      <c r="F256" s="29">
        <v>20.97</v>
      </c>
      <c r="G256" s="29">
        <v>3.0</v>
      </c>
    </row>
    <row r="257" hidden="1">
      <c r="A257" s="70">
        <v>46164.0</v>
      </c>
      <c r="B257" s="74"/>
      <c r="C257" s="74" t="s">
        <v>623</v>
      </c>
      <c r="D257" s="10" t="s">
        <v>9</v>
      </c>
      <c r="E257" s="13" t="s">
        <v>12</v>
      </c>
      <c r="F257" s="29">
        <v>20.97</v>
      </c>
    </row>
    <row r="258" hidden="1">
      <c r="A258" s="70">
        <v>46164.0</v>
      </c>
      <c r="B258" s="74"/>
      <c r="C258" s="74" t="s">
        <v>625</v>
      </c>
      <c r="D258" s="10" t="s">
        <v>9</v>
      </c>
      <c r="E258" s="13" t="s">
        <v>12</v>
      </c>
      <c r="F258" s="29">
        <v>24.97</v>
      </c>
    </row>
    <row r="259" hidden="1">
      <c r="A259" s="70">
        <v>46164.0</v>
      </c>
      <c r="B259" s="20"/>
      <c r="C259" s="20" t="s">
        <v>309</v>
      </c>
      <c r="D259" s="10" t="s">
        <v>9</v>
      </c>
      <c r="E259" s="13" t="s">
        <v>12</v>
      </c>
      <c r="F259" s="29">
        <v>25.97</v>
      </c>
    </row>
    <row r="260" hidden="1">
      <c r="A260" s="70">
        <v>46164.0</v>
      </c>
      <c r="B260" s="20"/>
      <c r="C260" s="20" t="s">
        <v>628</v>
      </c>
      <c r="D260" s="10" t="s">
        <v>9</v>
      </c>
      <c r="E260" s="13" t="s">
        <v>12</v>
      </c>
      <c r="F260" s="29">
        <v>21.97</v>
      </c>
    </row>
    <row r="261" hidden="1">
      <c r="A261" s="70">
        <v>46164.0</v>
      </c>
      <c r="B261" s="20"/>
      <c r="C261" s="20" t="s">
        <v>323</v>
      </c>
      <c r="D261" s="10" t="s">
        <v>9</v>
      </c>
      <c r="E261" s="13" t="s">
        <v>12</v>
      </c>
      <c r="F261" s="29">
        <v>35.97</v>
      </c>
      <c r="G261" s="29">
        <v>5.0</v>
      </c>
    </row>
    <row r="262" hidden="1">
      <c r="A262" s="70">
        <v>46164.0</v>
      </c>
      <c r="B262" s="74"/>
      <c r="C262" s="74" t="s">
        <v>632</v>
      </c>
      <c r="D262" s="10" t="s">
        <v>9</v>
      </c>
      <c r="E262" s="13" t="s">
        <v>12</v>
      </c>
      <c r="F262" s="29">
        <v>85.97</v>
      </c>
    </row>
    <row r="263" hidden="1">
      <c r="A263" s="70">
        <v>46164.0</v>
      </c>
      <c r="B263" s="20"/>
      <c r="C263" s="20" t="s">
        <v>635</v>
      </c>
      <c r="D263" s="10" t="s">
        <v>9</v>
      </c>
      <c r="E263" s="13" t="s">
        <v>12</v>
      </c>
      <c r="F263" s="29">
        <v>21.97</v>
      </c>
    </row>
    <row r="264" hidden="1">
      <c r="A264" s="70">
        <v>46164.0</v>
      </c>
      <c r="B264" s="20"/>
      <c r="C264" s="20" t="s">
        <v>638</v>
      </c>
      <c r="D264" s="10" t="s">
        <v>9</v>
      </c>
      <c r="E264" s="13" t="s">
        <v>12</v>
      </c>
      <c r="F264" s="29">
        <v>29.97</v>
      </c>
      <c r="G264" s="29">
        <v>2.0</v>
      </c>
    </row>
    <row r="265" hidden="1">
      <c r="A265" s="70">
        <v>46164.0</v>
      </c>
      <c r="B265" s="20"/>
      <c r="C265" s="20" t="s">
        <v>641</v>
      </c>
      <c r="D265" s="10" t="s">
        <v>9</v>
      </c>
      <c r="E265" s="13" t="s">
        <v>12</v>
      </c>
      <c r="F265" s="29">
        <v>21.97</v>
      </c>
      <c r="G265" s="29">
        <v>2.0</v>
      </c>
    </row>
    <row r="266" hidden="1">
      <c r="A266" s="70">
        <v>46164.0</v>
      </c>
      <c r="B266" s="20"/>
      <c r="C266" s="20" t="s">
        <v>643</v>
      </c>
      <c r="D266" s="10" t="s">
        <v>9</v>
      </c>
      <c r="E266" s="13" t="s">
        <v>12</v>
      </c>
      <c r="F266" s="29">
        <v>21.97</v>
      </c>
      <c r="G266" s="29">
        <v>2.0</v>
      </c>
    </row>
    <row r="267" hidden="1">
      <c r="A267" s="70">
        <v>46164.0</v>
      </c>
      <c r="B267" s="20"/>
      <c r="C267" s="20" t="s">
        <v>645</v>
      </c>
      <c r="D267" s="10" t="s">
        <v>9</v>
      </c>
      <c r="E267" s="13" t="s">
        <v>12</v>
      </c>
      <c r="F267" s="29">
        <v>21.97</v>
      </c>
      <c r="G267" s="29">
        <v>2.0</v>
      </c>
    </row>
    <row r="268" hidden="1">
      <c r="A268" s="98"/>
      <c r="B268" s="59"/>
      <c r="C268" s="59"/>
      <c r="D268" s="97"/>
      <c r="E268" s="69"/>
      <c r="F268" s="23"/>
      <c r="G268" s="23"/>
    </row>
    <row r="269" hidden="1">
      <c r="A269" s="70">
        <v>46168.0</v>
      </c>
      <c r="B269" s="74"/>
      <c r="C269" s="74" t="s">
        <v>650</v>
      </c>
      <c r="D269" s="10" t="s">
        <v>9</v>
      </c>
      <c r="E269" s="13" t="s">
        <v>12</v>
      </c>
      <c r="F269" s="29">
        <v>21.97</v>
      </c>
    </row>
    <row r="270" hidden="1">
      <c r="A270" s="70">
        <v>46168.0</v>
      </c>
      <c r="B270" s="74"/>
      <c r="C270" s="74" t="s">
        <v>653</v>
      </c>
      <c r="D270" s="10" t="s">
        <v>9</v>
      </c>
      <c r="E270" s="13" t="s">
        <v>12</v>
      </c>
      <c r="F270" s="29">
        <v>22.97</v>
      </c>
    </row>
    <row r="271" hidden="1">
      <c r="A271" s="70">
        <v>46168.0</v>
      </c>
      <c r="B271" s="74"/>
      <c r="C271" s="74" t="s">
        <v>655</v>
      </c>
      <c r="D271" s="10" t="s">
        <v>9</v>
      </c>
      <c r="E271" s="13" t="s">
        <v>12</v>
      </c>
      <c r="F271" s="29">
        <v>40.97</v>
      </c>
    </row>
    <row r="272" hidden="1">
      <c r="A272" s="70">
        <v>46168.0</v>
      </c>
      <c r="B272" s="20"/>
      <c r="C272" s="20" t="s">
        <v>658</v>
      </c>
      <c r="D272" s="10" t="s">
        <v>9</v>
      </c>
      <c r="E272" s="13" t="s">
        <v>12</v>
      </c>
      <c r="F272" s="29">
        <v>20.97</v>
      </c>
    </row>
    <row r="273" hidden="1">
      <c r="A273" s="70">
        <v>46168.0</v>
      </c>
      <c r="B273" s="99"/>
      <c r="C273" s="99" t="s">
        <v>662</v>
      </c>
      <c r="D273" s="10" t="s">
        <v>9</v>
      </c>
      <c r="E273" s="13" t="s">
        <v>12</v>
      </c>
      <c r="F273" s="29">
        <v>35.97</v>
      </c>
    </row>
    <row r="274" hidden="1">
      <c r="A274" s="70">
        <v>46168.0</v>
      </c>
      <c r="B274" s="20"/>
      <c r="C274" s="20" t="s">
        <v>664</v>
      </c>
      <c r="D274" s="10" t="s">
        <v>9</v>
      </c>
      <c r="E274" s="13" t="s">
        <v>12</v>
      </c>
      <c r="F274" s="29">
        <v>35.97</v>
      </c>
      <c r="G274" s="29">
        <v>1.0</v>
      </c>
    </row>
    <row r="275" hidden="1">
      <c r="A275" s="70">
        <v>46168.0</v>
      </c>
      <c r="B275" s="96"/>
      <c r="C275" s="96" t="s">
        <v>665</v>
      </c>
      <c r="D275" s="10" t="s">
        <v>9</v>
      </c>
      <c r="E275" s="13" t="s">
        <v>12</v>
      </c>
      <c r="F275" s="29">
        <v>70.97</v>
      </c>
    </row>
    <row r="276" hidden="1">
      <c r="A276" s="70">
        <v>46168.0</v>
      </c>
      <c r="B276" s="74"/>
      <c r="C276" s="74" t="s">
        <v>666</v>
      </c>
      <c r="D276" s="10" t="s">
        <v>9</v>
      </c>
      <c r="E276" s="13" t="s">
        <v>12</v>
      </c>
      <c r="F276" s="29">
        <v>45.97</v>
      </c>
    </row>
    <row r="277" hidden="1">
      <c r="A277" s="70">
        <v>46168.0</v>
      </c>
      <c r="B277" s="71"/>
      <c r="C277" s="71" t="s">
        <v>668</v>
      </c>
      <c r="D277" s="10" t="s">
        <v>9</v>
      </c>
      <c r="E277" s="13" t="s">
        <v>12</v>
      </c>
      <c r="F277" s="29">
        <v>39.97</v>
      </c>
    </row>
    <row r="278" hidden="1">
      <c r="A278" s="70">
        <v>46168.0</v>
      </c>
      <c r="B278" s="20"/>
      <c r="C278" s="20" t="s">
        <v>670</v>
      </c>
      <c r="D278" s="10" t="s">
        <v>9</v>
      </c>
      <c r="E278" s="13" t="s">
        <v>12</v>
      </c>
      <c r="F278" s="29">
        <v>29.97</v>
      </c>
    </row>
    <row r="279" hidden="1">
      <c r="A279" s="70">
        <v>46168.0</v>
      </c>
      <c r="B279" s="74"/>
      <c r="C279" s="74" t="s">
        <v>671</v>
      </c>
      <c r="D279" s="10" t="s">
        <v>9</v>
      </c>
      <c r="E279" s="13" t="s">
        <v>12</v>
      </c>
      <c r="F279" s="29">
        <v>20.97</v>
      </c>
    </row>
    <row r="280" hidden="1">
      <c r="A280" s="70">
        <v>46168.0</v>
      </c>
      <c r="B280" s="74"/>
      <c r="C280" s="74" t="s">
        <v>674</v>
      </c>
      <c r="D280" s="10" t="s">
        <v>9</v>
      </c>
      <c r="E280" s="13" t="s">
        <v>12</v>
      </c>
      <c r="F280" s="29">
        <v>20.97</v>
      </c>
    </row>
    <row r="281" hidden="1">
      <c r="A281" s="70">
        <v>46168.0</v>
      </c>
      <c r="B281" s="20"/>
      <c r="C281" s="20" t="s">
        <v>677</v>
      </c>
      <c r="D281" s="10" t="s">
        <v>9</v>
      </c>
      <c r="E281" s="13" t="s">
        <v>12</v>
      </c>
      <c r="F281" s="29">
        <v>25.97</v>
      </c>
      <c r="G281" s="29">
        <v>2.0</v>
      </c>
    </row>
    <row r="282" hidden="1">
      <c r="A282" s="70">
        <v>46168.0</v>
      </c>
      <c r="B282" s="20"/>
      <c r="C282" s="20" t="s">
        <v>680</v>
      </c>
      <c r="D282" s="10" t="s">
        <v>9</v>
      </c>
      <c r="E282" s="13" t="s">
        <v>12</v>
      </c>
      <c r="F282" s="29">
        <v>145.97</v>
      </c>
    </row>
    <row r="283" hidden="1">
      <c r="A283" s="70">
        <v>46168.0</v>
      </c>
      <c r="B283" s="20"/>
      <c r="C283" s="20" t="s">
        <v>682</v>
      </c>
      <c r="D283" s="10" t="s">
        <v>9</v>
      </c>
      <c r="E283" s="13" t="s">
        <v>12</v>
      </c>
      <c r="F283" s="29">
        <v>20.97</v>
      </c>
    </row>
    <row r="284" hidden="1">
      <c r="A284" s="70">
        <v>46168.0</v>
      </c>
      <c r="B284" s="20"/>
      <c r="C284" s="20" t="s">
        <v>684</v>
      </c>
      <c r="D284" s="10" t="s">
        <v>9</v>
      </c>
      <c r="E284" s="13" t="s">
        <v>12</v>
      </c>
      <c r="F284" s="29">
        <v>22.97</v>
      </c>
    </row>
    <row r="285" hidden="1">
      <c r="A285" s="70">
        <v>46168.0</v>
      </c>
      <c r="B285" s="20"/>
      <c r="C285" s="20" t="s">
        <v>687</v>
      </c>
      <c r="D285" s="10" t="s">
        <v>9</v>
      </c>
      <c r="E285" s="13" t="s">
        <v>12</v>
      </c>
      <c r="F285" s="29">
        <v>27.97</v>
      </c>
    </row>
    <row r="286" hidden="1">
      <c r="A286" s="70">
        <v>46168.0</v>
      </c>
      <c r="B286" s="20"/>
      <c r="C286" s="20" t="s">
        <v>287</v>
      </c>
      <c r="D286" s="10" t="s">
        <v>9</v>
      </c>
      <c r="E286" s="13" t="s">
        <v>12</v>
      </c>
      <c r="F286" s="29">
        <v>35.97</v>
      </c>
    </row>
    <row r="287" hidden="1">
      <c r="A287" s="70">
        <v>46168.0</v>
      </c>
      <c r="B287" s="74"/>
      <c r="C287" s="74" t="s">
        <v>692</v>
      </c>
      <c r="D287" s="10" t="s">
        <v>9</v>
      </c>
      <c r="E287" s="13" t="s">
        <v>12</v>
      </c>
      <c r="F287" s="29">
        <v>30.97</v>
      </c>
    </row>
    <row r="288" hidden="1">
      <c r="A288" s="70">
        <v>46168.0</v>
      </c>
      <c r="B288" s="20"/>
      <c r="C288" s="20" t="s">
        <v>694</v>
      </c>
      <c r="D288" s="10" t="s">
        <v>9</v>
      </c>
      <c r="E288" s="13" t="s">
        <v>12</v>
      </c>
      <c r="F288" s="29">
        <v>23.97</v>
      </c>
      <c r="G288" s="29">
        <v>2.0</v>
      </c>
    </row>
    <row r="289" hidden="1">
      <c r="A289" s="70">
        <v>46168.0</v>
      </c>
      <c r="B289" s="20"/>
      <c r="C289" s="20" t="s">
        <v>696</v>
      </c>
      <c r="D289" s="10" t="s">
        <v>9</v>
      </c>
      <c r="E289" s="13" t="s">
        <v>12</v>
      </c>
      <c r="F289" s="29">
        <v>22.97</v>
      </c>
    </row>
    <row r="290" hidden="1">
      <c r="A290" s="98"/>
      <c r="B290" s="59"/>
      <c r="C290" s="59"/>
      <c r="D290" s="97"/>
      <c r="E290" s="69"/>
      <c r="F290" s="23"/>
      <c r="G290" s="23"/>
      <c r="H290" s="23"/>
    </row>
    <row r="291" hidden="1">
      <c r="A291" s="70">
        <v>46169.0</v>
      </c>
      <c r="B291" s="74"/>
      <c r="C291" s="74" t="s">
        <v>699</v>
      </c>
      <c r="D291" s="10" t="s">
        <v>9</v>
      </c>
      <c r="E291" s="13" t="s">
        <v>12</v>
      </c>
      <c r="F291" s="29">
        <v>75.97</v>
      </c>
    </row>
    <row r="292" hidden="1">
      <c r="A292" s="70">
        <v>46169.0</v>
      </c>
      <c r="B292" s="20"/>
      <c r="C292" s="20" t="s">
        <v>702</v>
      </c>
      <c r="D292" s="10" t="s">
        <v>9</v>
      </c>
      <c r="E292" s="13" t="s">
        <v>12</v>
      </c>
      <c r="F292" s="29">
        <v>20.97</v>
      </c>
      <c r="G292" s="29">
        <v>3.0</v>
      </c>
    </row>
    <row r="293" hidden="1">
      <c r="A293" s="70">
        <v>46169.0</v>
      </c>
      <c r="B293" s="74"/>
      <c r="C293" s="74" t="s">
        <v>705</v>
      </c>
      <c r="D293" s="10" t="s">
        <v>9</v>
      </c>
      <c r="E293" s="13" t="s">
        <v>12</v>
      </c>
      <c r="F293" s="29">
        <v>99.97</v>
      </c>
    </row>
    <row r="294" hidden="1">
      <c r="A294" s="70">
        <v>46169.0</v>
      </c>
      <c r="B294" s="20"/>
      <c r="C294" s="20" t="s">
        <v>707</v>
      </c>
      <c r="D294" s="10" t="s">
        <v>9</v>
      </c>
      <c r="E294" s="13" t="s">
        <v>12</v>
      </c>
      <c r="F294" s="29">
        <v>45.97</v>
      </c>
      <c r="G294" s="29">
        <v>5.0</v>
      </c>
    </row>
    <row r="295" hidden="1">
      <c r="A295" s="70">
        <v>46169.0</v>
      </c>
      <c r="B295" s="74"/>
      <c r="C295" s="74" t="s">
        <v>709</v>
      </c>
      <c r="D295" s="10" t="s">
        <v>9</v>
      </c>
      <c r="E295" s="13" t="s">
        <v>12</v>
      </c>
      <c r="F295" s="29">
        <v>63.97</v>
      </c>
    </row>
    <row r="296" hidden="1">
      <c r="A296" s="70">
        <v>46169.0</v>
      </c>
      <c r="B296" s="65"/>
      <c r="C296" s="65" t="s">
        <v>711</v>
      </c>
      <c r="D296" s="10" t="s">
        <v>9</v>
      </c>
      <c r="E296" s="13" t="s">
        <v>12</v>
      </c>
      <c r="F296" s="29">
        <v>30.97</v>
      </c>
    </row>
    <row r="297" hidden="1">
      <c r="A297" s="70">
        <v>46169.0</v>
      </c>
      <c r="B297" s="20"/>
      <c r="C297" s="20" t="s">
        <v>713</v>
      </c>
      <c r="D297" s="10" t="s">
        <v>9</v>
      </c>
      <c r="E297" s="13" t="s">
        <v>12</v>
      </c>
      <c r="F297" s="29">
        <v>55.97</v>
      </c>
    </row>
    <row r="298" hidden="1">
      <c r="A298" s="70">
        <v>46169.0</v>
      </c>
      <c r="B298" s="20"/>
      <c r="C298" s="20" t="s">
        <v>715</v>
      </c>
      <c r="D298" s="10" t="s">
        <v>9</v>
      </c>
      <c r="E298" s="13" t="s">
        <v>12</v>
      </c>
      <c r="F298" s="29">
        <v>20.97</v>
      </c>
    </row>
    <row r="299" hidden="1">
      <c r="A299" s="70">
        <v>46169.0</v>
      </c>
      <c r="B299" s="74"/>
      <c r="C299" s="74" t="s">
        <v>717</v>
      </c>
      <c r="D299" s="10" t="s">
        <v>9</v>
      </c>
      <c r="E299" s="13" t="s">
        <v>12</v>
      </c>
      <c r="F299" s="29">
        <v>35.97</v>
      </c>
    </row>
    <row r="300" hidden="1">
      <c r="A300" s="70">
        <v>46169.0</v>
      </c>
      <c r="B300" s="20"/>
      <c r="C300" s="20" t="s">
        <v>719</v>
      </c>
      <c r="D300" s="10" t="s">
        <v>9</v>
      </c>
      <c r="E300" s="13" t="s">
        <v>12</v>
      </c>
      <c r="F300" s="29">
        <v>45.97</v>
      </c>
    </row>
    <row r="301" hidden="1">
      <c r="A301" s="70">
        <v>46169.0</v>
      </c>
      <c r="B301" s="74"/>
      <c r="C301" s="74" t="s">
        <v>721</v>
      </c>
      <c r="D301" s="10" t="s">
        <v>9</v>
      </c>
      <c r="E301" s="13" t="s">
        <v>12</v>
      </c>
      <c r="F301" s="29">
        <v>40.97</v>
      </c>
    </row>
    <row r="302" hidden="1">
      <c r="A302" s="70">
        <v>46169.0</v>
      </c>
      <c r="B302" s="20"/>
      <c r="C302" s="20" t="s">
        <v>723</v>
      </c>
      <c r="D302" s="10" t="s">
        <v>9</v>
      </c>
      <c r="E302" s="13" t="s">
        <v>12</v>
      </c>
      <c r="F302" s="29">
        <v>21.97</v>
      </c>
    </row>
    <row r="303" hidden="1">
      <c r="A303" s="70">
        <v>46169.0</v>
      </c>
      <c r="B303" s="74"/>
      <c r="C303" s="74" t="s">
        <v>725</v>
      </c>
      <c r="D303" s="10" t="s">
        <v>9</v>
      </c>
      <c r="E303" s="13" t="s">
        <v>12</v>
      </c>
      <c r="F303" s="29">
        <v>25.97</v>
      </c>
    </row>
    <row r="304" hidden="1">
      <c r="A304" s="70">
        <v>46169.0</v>
      </c>
      <c r="B304" s="20"/>
      <c r="C304" s="20" t="s">
        <v>727</v>
      </c>
      <c r="D304" s="10" t="s">
        <v>9</v>
      </c>
      <c r="E304" s="13" t="s">
        <v>12</v>
      </c>
      <c r="F304" s="29">
        <v>45.97</v>
      </c>
    </row>
    <row r="305" hidden="1">
      <c r="A305" s="70">
        <v>46169.0</v>
      </c>
      <c r="B305" s="74"/>
      <c r="C305" s="74" t="s">
        <v>729</v>
      </c>
      <c r="D305" s="10" t="s">
        <v>9</v>
      </c>
      <c r="E305" s="13" t="s">
        <v>12</v>
      </c>
      <c r="F305" s="29">
        <v>25.97</v>
      </c>
    </row>
    <row r="306" hidden="1">
      <c r="A306" s="70">
        <v>46169.0</v>
      </c>
      <c r="B306" s="20"/>
      <c r="C306" s="20" t="s">
        <v>731</v>
      </c>
      <c r="D306" s="10" t="s">
        <v>9</v>
      </c>
      <c r="E306" s="13" t="s">
        <v>12</v>
      </c>
      <c r="F306" s="29">
        <v>20.97</v>
      </c>
      <c r="G306" s="29">
        <v>3.0</v>
      </c>
    </row>
    <row r="307" hidden="1">
      <c r="A307" s="70">
        <v>46169.0</v>
      </c>
      <c r="B307" s="20"/>
      <c r="C307" s="20" t="s">
        <v>733</v>
      </c>
      <c r="D307" s="10" t="s">
        <v>9</v>
      </c>
      <c r="E307" s="13" t="s">
        <v>12</v>
      </c>
      <c r="F307" s="29">
        <v>25.97</v>
      </c>
    </row>
    <row r="308" hidden="1">
      <c r="A308" s="70">
        <v>46169.0</v>
      </c>
      <c r="B308" s="20"/>
      <c r="C308" s="20" t="s">
        <v>735</v>
      </c>
      <c r="D308" s="10" t="s">
        <v>9</v>
      </c>
      <c r="E308" s="13" t="s">
        <v>12</v>
      </c>
      <c r="F308" s="29">
        <v>20.97</v>
      </c>
      <c r="G308" s="29">
        <v>2.0</v>
      </c>
    </row>
    <row r="309" hidden="1">
      <c r="A309" s="70">
        <v>46169.0</v>
      </c>
      <c r="B309" s="74"/>
      <c r="C309" s="74" t="s">
        <v>738</v>
      </c>
      <c r="D309" s="10" t="s">
        <v>9</v>
      </c>
      <c r="E309" s="13" t="s">
        <v>12</v>
      </c>
      <c r="F309" s="29">
        <v>21.97</v>
      </c>
    </row>
    <row r="310" hidden="1">
      <c r="A310" s="70">
        <v>46169.0</v>
      </c>
      <c r="B310" s="20"/>
      <c r="C310" s="20" t="s">
        <v>740</v>
      </c>
      <c r="D310" s="10" t="s">
        <v>9</v>
      </c>
      <c r="E310" s="13" t="s">
        <v>12</v>
      </c>
      <c r="F310" s="29">
        <v>34.97</v>
      </c>
    </row>
    <row r="311" hidden="1">
      <c r="A311" s="23"/>
      <c r="B311" s="59"/>
      <c r="C311" s="59"/>
      <c r="D311" s="62"/>
      <c r="E311" s="23"/>
      <c r="F311" s="23"/>
      <c r="G311" s="23"/>
      <c r="H311" s="23"/>
    </row>
    <row r="312" hidden="1">
      <c r="A312" s="70">
        <v>46170.0</v>
      </c>
      <c r="B312" s="74"/>
      <c r="C312" s="74" t="s">
        <v>742</v>
      </c>
      <c r="D312" s="10" t="s">
        <v>9</v>
      </c>
      <c r="E312" s="13" t="s">
        <v>12</v>
      </c>
      <c r="F312" s="29">
        <v>21.97</v>
      </c>
    </row>
    <row r="313" hidden="1">
      <c r="A313" s="70">
        <v>46170.0</v>
      </c>
      <c r="B313" s="74"/>
      <c r="C313" s="74" t="s">
        <v>744</v>
      </c>
      <c r="D313" s="10" t="s">
        <v>9</v>
      </c>
      <c r="E313" s="13" t="s">
        <v>12</v>
      </c>
      <c r="F313" s="29">
        <v>21.97</v>
      </c>
    </row>
    <row r="314" hidden="1">
      <c r="A314" s="70">
        <v>46170.0</v>
      </c>
      <c r="B314" s="74"/>
      <c r="C314" s="74" t="s">
        <v>746</v>
      </c>
      <c r="D314" s="10" t="s">
        <v>9</v>
      </c>
      <c r="E314" s="13" t="s">
        <v>12</v>
      </c>
      <c r="F314" s="29">
        <v>22.97</v>
      </c>
    </row>
    <row r="315" hidden="1">
      <c r="A315" s="70">
        <v>46170.0</v>
      </c>
      <c r="B315" s="20"/>
      <c r="C315" s="20" t="s">
        <v>747</v>
      </c>
      <c r="D315" s="10" t="s">
        <v>9</v>
      </c>
      <c r="E315" s="13" t="s">
        <v>12</v>
      </c>
      <c r="F315" s="29">
        <v>40.97</v>
      </c>
    </row>
    <row r="316" hidden="1">
      <c r="A316" s="70">
        <v>46170.0</v>
      </c>
      <c r="B316" s="20"/>
      <c r="C316" s="20" t="s">
        <v>750</v>
      </c>
      <c r="D316" s="10" t="s">
        <v>9</v>
      </c>
      <c r="E316" s="13" t="s">
        <v>12</v>
      </c>
      <c r="F316" s="29">
        <v>45.97</v>
      </c>
    </row>
    <row r="317" hidden="1">
      <c r="A317" s="70">
        <v>46170.0</v>
      </c>
      <c r="B317" s="20"/>
      <c r="C317" s="20" t="s">
        <v>752</v>
      </c>
      <c r="D317" s="10" t="s">
        <v>9</v>
      </c>
      <c r="E317" s="13" t="s">
        <v>12</v>
      </c>
      <c r="F317" s="29">
        <v>45.97</v>
      </c>
    </row>
    <row r="318" hidden="1">
      <c r="A318" s="70">
        <v>46170.0</v>
      </c>
      <c r="B318" s="20"/>
      <c r="C318" s="20" t="s">
        <v>755</v>
      </c>
      <c r="D318" s="10" t="s">
        <v>9</v>
      </c>
      <c r="E318" s="13" t="s">
        <v>12</v>
      </c>
      <c r="F318" s="29">
        <v>75.97</v>
      </c>
    </row>
    <row r="319" hidden="1">
      <c r="A319" s="70">
        <v>46170.0</v>
      </c>
      <c r="B319" s="20"/>
      <c r="C319" s="20" t="s">
        <v>756</v>
      </c>
      <c r="D319" s="10" t="s">
        <v>9</v>
      </c>
      <c r="E319" s="13" t="s">
        <v>12</v>
      </c>
      <c r="F319" s="29">
        <v>22.97</v>
      </c>
    </row>
    <row r="320" hidden="1">
      <c r="A320" s="70">
        <v>46170.0</v>
      </c>
      <c r="B320" s="20"/>
      <c r="C320" s="20" t="s">
        <v>757</v>
      </c>
      <c r="D320" s="10" t="s">
        <v>9</v>
      </c>
      <c r="E320" s="13" t="s">
        <v>12</v>
      </c>
      <c r="F320" s="29">
        <v>55.97</v>
      </c>
    </row>
    <row r="321" hidden="1">
      <c r="A321" s="70">
        <v>46170.0</v>
      </c>
      <c r="B321" s="20"/>
      <c r="C321" s="20" t="s">
        <v>759</v>
      </c>
      <c r="D321" s="10" t="s">
        <v>9</v>
      </c>
      <c r="E321" s="13" t="s">
        <v>12</v>
      </c>
      <c r="F321" s="29">
        <v>40.97</v>
      </c>
    </row>
    <row r="322" hidden="1">
      <c r="A322" s="70">
        <v>46170.0</v>
      </c>
      <c r="B322" s="20"/>
      <c r="C322" s="20" t="s">
        <v>761</v>
      </c>
      <c r="D322" s="10" t="s">
        <v>9</v>
      </c>
      <c r="E322" s="13" t="s">
        <v>12</v>
      </c>
      <c r="F322" s="29">
        <v>78.97</v>
      </c>
    </row>
    <row r="323" hidden="1">
      <c r="A323" s="70">
        <v>46170.0</v>
      </c>
      <c r="B323" s="20"/>
      <c r="C323" s="20" t="s">
        <v>764</v>
      </c>
      <c r="D323" s="10" t="s">
        <v>9</v>
      </c>
      <c r="E323" s="13" t="s">
        <v>12</v>
      </c>
      <c r="F323" s="29">
        <v>50.97</v>
      </c>
    </row>
    <row r="324" hidden="1">
      <c r="A324" s="70">
        <v>46170.0</v>
      </c>
      <c r="B324" s="20"/>
      <c r="C324" s="20" t="s">
        <v>766</v>
      </c>
      <c r="D324" s="10" t="s">
        <v>9</v>
      </c>
      <c r="E324" s="13" t="s">
        <v>12</v>
      </c>
      <c r="F324" s="29">
        <v>65.97</v>
      </c>
    </row>
    <row r="325" hidden="1">
      <c r="A325" s="70">
        <v>46170.0</v>
      </c>
      <c r="B325" s="20"/>
      <c r="C325" s="20" t="s">
        <v>768</v>
      </c>
      <c r="D325" s="10" t="s">
        <v>9</v>
      </c>
      <c r="E325" s="13" t="s">
        <v>12</v>
      </c>
      <c r="F325" s="29">
        <v>99.97</v>
      </c>
    </row>
    <row r="326" hidden="1">
      <c r="A326" s="70">
        <v>46170.0</v>
      </c>
      <c r="B326" s="20"/>
      <c r="C326" s="20" t="s">
        <v>770</v>
      </c>
      <c r="D326" s="10" t="s">
        <v>9</v>
      </c>
      <c r="E326" s="13" t="s">
        <v>12</v>
      </c>
      <c r="F326" s="29">
        <v>75.97</v>
      </c>
    </row>
    <row r="327" hidden="1">
      <c r="A327" s="70">
        <v>46170.0</v>
      </c>
      <c r="B327" s="20"/>
      <c r="C327" s="20" t="s">
        <v>771</v>
      </c>
      <c r="D327" s="10" t="s">
        <v>9</v>
      </c>
      <c r="E327" s="13" t="s">
        <v>12</v>
      </c>
      <c r="F327" s="29">
        <v>37.97</v>
      </c>
    </row>
    <row r="328" hidden="1">
      <c r="A328" s="70">
        <v>46170.0</v>
      </c>
      <c r="B328" s="20"/>
      <c r="C328" s="20" t="s">
        <v>772</v>
      </c>
      <c r="D328" s="10" t="s">
        <v>9</v>
      </c>
      <c r="E328" s="13" t="s">
        <v>12</v>
      </c>
      <c r="F328" s="29">
        <v>30.97</v>
      </c>
    </row>
    <row r="329" hidden="1">
      <c r="A329" s="70">
        <v>46170.0</v>
      </c>
      <c r="B329" s="20"/>
      <c r="C329" s="20" t="s">
        <v>774</v>
      </c>
      <c r="D329" s="10" t="s">
        <v>9</v>
      </c>
      <c r="E329" s="13" t="s">
        <v>12</v>
      </c>
      <c r="F329" s="29">
        <v>95.97</v>
      </c>
    </row>
    <row r="330" hidden="1">
      <c r="A330" s="70">
        <v>46170.0</v>
      </c>
      <c r="B330" s="20"/>
      <c r="C330" s="20" t="s">
        <v>776</v>
      </c>
      <c r="D330" s="10" t="s">
        <v>9</v>
      </c>
      <c r="E330" s="13" t="s">
        <v>12</v>
      </c>
      <c r="F330" s="29">
        <v>55.97</v>
      </c>
    </row>
    <row r="331" hidden="1">
      <c r="A331" s="70">
        <v>46170.0</v>
      </c>
      <c r="B331" s="20"/>
      <c r="C331" s="20" t="s">
        <v>402</v>
      </c>
      <c r="D331" s="10" t="s">
        <v>9</v>
      </c>
      <c r="E331" s="13" t="s">
        <v>12</v>
      </c>
      <c r="F331" s="29">
        <v>198.97</v>
      </c>
    </row>
    <row r="332" hidden="1">
      <c r="A332" s="70">
        <v>46170.0</v>
      </c>
      <c r="B332" s="20"/>
      <c r="C332" s="20" t="s">
        <v>778</v>
      </c>
      <c r="D332" s="10" t="s">
        <v>9</v>
      </c>
      <c r="E332" s="13" t="s">
        <v>12</v>
      </c>
      <c r="F332" s="29">
        <v>50.97</v>
      </c>
    </row>
    <row r="333" hidden="1">
      <c r="A333" s="70">
        <v>46170.0</v>
      </c>
      <c r="B333" s="20"/>
      <c r="C333" s="20" t="s">
        <v>779</v>
      </c>
      <c r="D333" s="10" t="s">
        <v>9</v>
      </c>
      <c r="E333" s="13" t="s">
        <v>12</v>
      </c>
      <c r="F333" s="29">
        <v>32.97</v>
      </c>
    </row>
    <row r="334" hidden="1">
      <c r="A334" s="70">
        <v>46170.0</v>
      </c>
      <c r="B334" s="20"/>
      <c r="C334" s="20" t="s">
        <v>780</v>
      </c>
      <c r="D334" s="10" t="s">
        <v>9</v>
      </c>
      <c r="E334" s="13" t="s">
        <v>12</v>
      </c>
      <c r="F334" s="29">
        <v>45.97</v>
      </c>
    </row>
    <row r="335" hidden="1">
      <c r="A335" s="70">
        <v>46170.0</v>
      </c>
      <c r="B335" s="20"/>
      <c r="C335" s="20" t="s">
        <v>781</v>
      </c>
      <c r="D335" s="10" t="s">
        <v>9</v>
      </c>
      <c r="E335" s="13" t="s">
        <v>12</v>
      </c>
      <c r="F335" s="29">
        <v>75.97</v>
      </c>
    </row>
    <row r="336" hidden="1">
      <c r="A336" s="70">
        <v>46170.0</v>
      </c>
      <c r="B336" s="20"/>
      <c r="C336" s="20" t="s">
        <v>782</v>
      </c>
      <c r="D336" s="10" t="s">
        <v>9</v>
      </c>
      <c r="E336" s="13" t="s">
        <v>12</v>
      </c>
      <c r="F336" s="29">
        <v>155.97</v>
      </c>
    </row>
    <row r="337" hidden="1">
      <c r="A337" s="70">
        <v>46170.0</v>
      </c>
      <c r="B337" s="74"/>
      <c r="C337" s="74" t="s">
        <v>783</v>
      </c>
      <c r="D337" s="10" t="s">
        <v>9</v>
      </c>
      <c r="E337" s="13" t="s">
        <v>12</v>
      </c>
      <c r="F337" s="29">
        <v>24.97</v>
      </c>
    </row>
    <row r="338" hidden="1">
      <c r="A338" s="70">
        <v>46170.0</v>
      </c>
      <c r="B338" s="74"/>
      <c r="C338" s="74" t="s">
        <v>784</v>
      </c>
      <c r="D338" s="10" t="s">
        <v>9</v>
      </c>
      <c r="E338" s="13" t="s">
        <v>12</v>
      </c>
      <c r="F338" s="29">
        <v>77.97</v>
      </c>
    </row>
    <row r="339" hidden="1">
      <c r="A339" s="70">
        <v>46170.0</v>
      </c>
      <c r="B339" s="96"/>
      <c r="C339" s="96" t="s">
        <v>785</v>
      </c>
      <c r="D339" s="10" t="s">
        <v>9</v>
      </c>
      <c r="E339" s="13" t="s">
        <v>12</v>
      </c>
      <c r="F339" s="29">
        <v>60.97</v>
      </c>
    </row>
    <row r="340" hidden="1">
      <c r="A340" s="70">
        <v>46170.0</v>
      </c>
      <c r="B340" s="20"/>
      <c r="C340" s="20" t="s">
        <v>786</v>
      </c>
      <c r="D340" s="10" t="s">
        <v>9</v>
      </c>
      <c r="E340" s="13" t="s">
        <v>12</v>
      </c>
      <c r="F340" s="29">
        <v>60.97</v>
      </c>
    </row>
    <row r="341" hidden="1">
      <c r="A341" s="70">
        <v>46170.0</v>
      </c>
      <c r="B341" s="74"/>
      <c r="C341" s="74" t="s">
        <v>787</v>
      </c>
      <c r="D341" s="10" t="s">
        <v>9</v>
      </c>
      <c r="E341" s="13" t="s">
        <v>12</v>
      </c>
      <c r="F341" s="29">
        <v>27.97</v>
      </c>
    </row>
    <row r="342" hidden="1">
      <c r="A342" s="23"/>
      <c r="B342" s="59"/>
      <c r="C342" s="59"/>
      <c r="D342" s="62"/>
      <c r="E342" s="23"/>
      <c r="F342" s="23"/>
      <c r="G342" s="23"/>
      <c r="H342" s="23"/>
    </row>
    <row r="343" hidden="1">
      <c r="A343" s="70">
        <v>46171.0</v>
      </c>
      <c r="B343" s="20"/>
      <c r="C343" s="20" t="s">
        <v>788</v>
      </c>
      <c r="D343" s="10" t="s">
        <v>8</v>
      </c>
      <c r="E343" s="13" t="s">
        <v>12</v>
      </c>
      <c r="F343" s="29">
        <v>31.97</v>
      </c>
    </row>
    <row r="344" hidden="1">
      <c r="A344" s="70">
        <v>46171.0</v>
      </c>
      <c r="B344" s="71"/>
      <c r="C344" s="71" t="s">
        <v>790</v>
      </c>
      <c r="D344" s="10" t="s">
        <v>9</v>
      </c>
      <c r="E344" s="13" t="s">
        <v>12</v>
      </c>
      <c r="F344" s="29">
        <v>45.97</v>
      </c>
    </row>
    <row r="345" hidden="1">
      <c r="A345" s="70">
        <v>46171.0</v>
      </c>
      <c r="B345" s="20"/>
      <c r="C345" s="20" t="s">
        <v>793</v>
      </c>
      <c r="D345" s="10" t="s">
        <v>9</v>
      </c>
      <c r="E345" s="13" t="s">
        <v>12</v>
      </c>
      <c r="F345" s="29">
        <v>55.97</v>
      </c>
    </row>
    <row r="346" hidden="1">
      <c r="A346" s="70">
        <v>46171.0</v>
      </c>
      <c r="B346" s="20"/>
      <c r="C346" s="20" t="s">
        <v>795</v>
      </c>
      <c r="D346" s="10" t="s">
        <v>9</v>
      </c>
      <c r="E346" s="13" t="s">
        <v>12</v>
      </c>
      <c r="F346" s="29">
        <v>85.97</v>
      </c>
    </row>
    <row r="347" hidden="1">
      <c r="A347" s="70">
        <v>46171.0</v>
      </c>
      <c r="B347" s="74"/>
      <c r="C347" s="74" t="s">
        <v>797</v>
      </c>
      <c r="D347" s="10" t="s">
        <v>9</v>
      </c>
      <c r="E347" s="13" t="s">
        <v>12</v>
      </c>
      <c r="F347" s="29">
        <v>85.97</v>
      </c>
    </row>
    <row r="348" hidden="1">
      <c r="A348" s="70">
        <v>46171.0</v>
      </c>
      <c r="B348" s="74"/>
      <c r="C348" s="74" t="s">
        <v>799</v>
      </c>
      <c r="D348" s="10" t="s">
        <v>9</v>
      </c>
      <c r="E348" s="13" t="s">
        <v>12</v>
      </c>
      <c r="F348" s="29">
        <v>75.97</v>
      </c>
    </row>
    <row r="349" hidden="1">
      <c r="A349" s="70">
        <v>46171.0</v>
      </c>
      <c r="B349" s="74"/>
      <c r="C349" s="74" t="s">
        <v>802</v>
      </c>
      <c r="D349" s="10" t="s">
        <v>9</v>
      </c>
      <c r="E349" s="13" t="s">
        <v>12</v>
      </c>
      <c r="F349" s="29">
        <v>50.97</v>
      </c>
    </row>
    <row r="350" hidden="1">
      <c r="A350" s="70">
        <v>46171.0</v>
      </c>
      <c r="B350" s="74"/>
      <c r="C350" s="74" t="s">
        <v>805</v>
      </c>
      <c r="D350" s="10" t="s">
        <v>9</v>
      </c>
      <c r="E350" s="13" t="s">
        <v>12</v>
      </c>
      <c r="F350" s="29">
        <v>108.97</v>
      </c>
    </row>
    <row r="351" hidden="1">
      <c r="A351" s="70">
        <v>46171.0</v>
      </c>
      <c r="B351" s="20"/>
      <c r="C351" s="20" t="s">
        <v>808</v>
      </c>
      <c r="D351" s="10" t="s">
        <v>9</v>
      </c>
      <c r="E351" s="13" t="s">
        <v>12</v>
      </c>
      <c r="F351" s="29">
        <v>45.97</v>
      </c>
    </row>
    <row r="352" hidden="1">
      <c r="A352" s="70">
        <v>46171.0</v>
      </c>
      <c r="B352" s="20"/>
      <c r="C352" s="20" t="s">
        <v>810</v>
      </c>
      <c r="D352" s="10" t="s">
        <v>9</v>
      </c>
      <c r="E352" s="13" t="s">
        <v>12</v>
      </c>
      <c r="F352" s="29">
        <v>75.97</v>
      </c>
    </row>
    <row r="353" hidden="1">
      <c r="A353" s="70">
        <v>46171.0</v>
      </c>
      <c r="B353" s="74"/>
      <c r="C353" s="74" t="s">
        <v>813</v>
      </c>
      <c r="D353" s="10" t="s">
        <v>9</v>
      </c>
      <c r="E353" s="13" t="s">
        <v>12</v>
      </c>
      <c r="F353" s="29">
        <v>35.97</v>
      </c>
    </row>
    <row r="354" hidden="1">
      <c r="A354" s="70">
        <v>46171.0</v>
      </c>
      <c r="B354" s="20"/>
      <c r="C354" s="20" t="s">
        <v>425</v>
      </c>
      <c r="D354" s="10" t="s">
        <v>9</v>
      </c>
      <c r="E354" s="13" t="s">
        <v>12</v>
      </c>
      <c r="F354" s="29">
        <v>37.97</v>
      </c>
    </row>
    <row r="355" hidden="1">
      <c r="A355" s="70">
        <v>46171.0</v>
      </c>
      <c r="B355" s="20"/>
      <c r="C355" s="20" t="s">
        <v>817</v>
      </c>
      <c r="D355" s="10" t="s">
        <v>9</v>
      </c>
      <c r="E355" s="13" t="s">
        <v>12</v>
      </c>
      <c r="F355" s="29">
        <v>21.97</v>
      </c>
    </row>
    <row r="356" hidden="1">
      <c r="A356" s="70">
        <v>46171.0</v>
      </c>
      <c r="B356" s="20"/>
      <c r="C356" s="20" t="s">
        <v>820</v>
      </c>
      <c r="D356" s="10" t="s">
        <v>9</v>
      </c>
      <c r="E356" s="13" t="s">
        <v>12</v>
      </c>
      <c r="F356" s="29">
        <v>25.97</v>
      </c>
    </row>
    <row r="357" hidden="1">
      <c r="A357" s="70">
        <v>46171.0</v>
      </c>
      <c r="B357" s="20"/>
      <c r="C357" s="20" t="s">
        <v>824</v>
      </c>
      <c r="D357" s="10" t="s">
        <v>9</v>
      </c>
      <c r="E357" s="13" t="s">
        <v>12</v>
      </c>
      <c r="F357" s="29">
        <v>87.97</v>
      </c>
    </row>
    <row r="358" hidden="1">
      <c r="A358" s="23"/>
      <c r="B358" s="59"/>
      <c r="C358" s="59"/>
      <c r="D358" s="62"/>
      <c r="E358" s="23"/>
      <c r="F358" s="23"/>
      <c r="G358" s="23"/>
      <c r="H358" s="23"/>
    </row>
    <row r="359" hidden="1">
      <c r="A359" s="70">
        <v>46174.0</v>
      </c>
      <c r="B359" s="74"/>
      <c r="C359" s="74" t="s">
        <v>828</v>
      </c>
      <c r="D359" s="10" t="s">
        <v>9</v>
      </c>
      <c r="E359" s="13" t="s">
        <v>12</v>
      </c>
      <c r="F359" s="29">
        <v>75.97</v>
      </c>
    </row>
    <row r="360" hidden="1">
      <c r="A360" s="70">
        <v>46174.0</v>
      </c>
      <c r="B360" s="74"/>
      <c r="C360" s="74" t="s">
        <v>831</v>
      </c>
      <c r="D360" s="10" t="s">
        <v>9</v>
      </c>
      <c r="E360" s="13" t="s">
        <v>12</v>
      </c>
      <c r="F360" s="29">
        <v>25.97</v>
      </c>
    </row>
    <row r="361" hidden="1">
      <c r="A361" s="70">
        <v>46174.0</v>
      </c>
      <c r="B361" s="74"/>
      <c r="C361" s="74" t="s">
        <v>833</v>
      </c>
      <c r="D361" s="10" t="s">
        <v>9</v>
      </c>
      <c r="E361" s="13" t="s">
        <v>12</v>
      </c>
      <c r="F361" s="29">
        <v>87.97</v>
      </c>
    </row>
    <row r="362" hidden="1">
      <c r="A362" s="70">
        <v>46174.0</v>
      </c>
      <c r="B362" s="20"/>
      <c r="C362" s="20" t="s">
        <v>836</v>
      </c>
      <c r="D362" s="10" t="s">
        <v>9</v>
      </c>
      <c r="E362" s="13" t="s">
        <v>12</v>
      </c>
      <c r="F362" s="29">
        <v>98.97</v>
      </c>
      <c r="G362" s="29">
        <v>2.0</v>
      </c>
    </row>
    <row r="363" hidden="1">
      <c r="A363" s="70">
        <v>46174.0</v>
      </c>
      <c r="B363" s="74"/>
      <c r="C363" s="74" t="s">
        <v>839</v>
      </c>
      <c r="D363" s="10" t="s">
        <v>9</v>
      </c>
      <c r="E363" s="13" t="s">
        <v>12</v>
      </c>
      <c r="F363" s="29">
        <v>29.97</v>
      </c>
    </row>
    <row r="364" hidden="1">
      <c r="A364" s="70">
        <v>46174.0</v>
      </c>
      <c r="B364" s="20"/>
      <c r="C364" s="20" t="s">
        <v>478</v>
      </c>
      <c r="D364" s="10" t="s">
        <v>9</v>
      </c>
      <c r="E364" s="13" t="s">
        <v>12</v>
      </c>
      <c r="F364" s="29">
        <v>129.97</v>
      </c>
    </row>
    <row r="365" hidden="1">
      <c r="A365" s="70">
        <v>46174.0</v>
      </c>
      <c r="B365" s="74"/>
      <c r="C365" s="74" t="s">
        <v>842</v>
      </c>
      <c r="D365" s="10" t="s">
        <v>9</v>
      </c>
      <c r="E365" s="13" t="s">
        <v>12</v>
      </c>
      <c r="F365" s="29">
        <v>155.97</v>
      </c>
    </row>
    <row r="366" hidden="1">
      <c r="A366" s="70">
        <v>46174.0</v>
      </c>
      <c r="B366" s="74"/>
      <c r="C366" s="74" t="s">
        <v>843</v>
      </c>
      <c r="D366" s="10" t="s">
        <v>9</v>
      </c>
      <c r="E366" s="13" t="s">
        <v>12</v>
      </c>
      <c r="F366" s="29">
        <v>37.97</v>
      </c>
    </row>
    <row r="367" hidden="1">
      <c r="A367" s="70">
        <v>46174.0</v>
      </c>
      <c r="B367" s="20"/>
      <c r="C367" s="20" t="s">
        <v>845</v>
      </c>
      <c r="D367" s="10" t="s">
        <v>9</v>
      </c>
      <c r="E367" s="13" t="s">
        <v>12</v>
      </c>
      <c r="F367" s="29">
        <v>69.97</v>
      </c>
    </row>
    <row r="368" hidden="1">
      <c r="A368" s="70">
        <v>46174.0</v>
      </c>
      <c r="B368" s="74"/>
      <c r="C368" s="74" t="s">
        <v>847</v>
      </c>
      <c r="D368" s="10" t="s">
        <v>9</v>
      </c>
      <c r="E368" s="13" t="s">
        <v>12</v>
      </c>
      <c r="F368" s="29">
        <v>37.97</v>
      </c>
    </row>
    <row r="369" hidden="1">
      <c r="A369" s="70">
        <v>46174.0</v>
      </c>
      <c r="B369" s="74"/>
      <c r="C369" s="74" t="s">
        <v>849</v>
      </c>
      <c r="D369" s="10" t="s">
        <v>9</v>
      </c>
      <c r="E369" s="13" t="s">
        <v>12</v>
      </c>
      <c r="F369" s="29">
        <v>35.97</v>
      </c>
    </row>
    <row r="370" hidden="1">
      <c r="A370" s="98"/>
      <c r="B370" s="59"/>
      <c r="C370" s="59"/>
      <c r="D370" s="97"/>
      <c r="E370" s="69"/>
      <c r="F370" s="23"/>
      <c r="G370" s="23"/>
      <c r="H370" s="23"/>
    </row>
    <row r="371" hidden="1">
      <c r="A371" s="70">
        <v>46175.0</v>
      </c>
      <c r="B371" s="74"/>
      <c r="C371" s="74" t="s">
        <v>852</v>
      </c>
      <c r="D371" s="10" t="s">
        <v>9</v>
      </c>
      <c r="E371" s="13" t="s">
        <v>12</v>
      </c>
      <c r="F371" s="29">
        <v>75.97</v>
      </c>
    </row>
    <row r="372" hidden="1">
      <c r="A372" s="70">
        <v>46175.0</v>
      </c>
      <c r="B372" s="20"/>
      <c r="C372" s="20" t="s">
        <v>855</v>
      </c>
      <c r="D372" s="10" t="s">
        <v>9</v>
      </c>
      <c r="E372" s="13" t="s">
        <v>12</v>
      </c>
      <c r="F372" s="29">
        <v>73.97</v>
      </c>
      <c r="G372" s="29">
        <v>5.0</v>
      </c>
    </row>
    <row r="373" hidden="1">
      <c r="A373" s="70">
        <v>46175.0</v>
      </c>
      <c r="B373" s="74"/>
      <c r="C373" s="74" t="s">
        <v>858</v>
      </c>
      <c r="D373" s="10" t="s">
        <v>9</v>
      </c>
      <c r="E373" s="13" t="s">
        <v>12</v>
      </c>
      <c r="F373" s="29">
        <v>85.97</v>
      </c>
    </row>
    <row r="374" hidden="1">
      <c r="A374" s="70">
        <v>46175.0</v>
      </c>
      <c r="B374" s="20"/>
      <c r="C374" s="20" t="s">
        <v>859</v>
      </c>
      <c r="D374" s="10" t="s">
        <v>9</v>
      </c>
      <c r="E374" s="13" t="s">
        <v>12</v>
      </c>
      <c r="F374" s="29">
        <v>120.97</v>
      </c>
    </row>
    <row r="375" hidden="1">
      <c r="A375" s="70">
        <v>46175.0</v>
      </c>
      <c r="B375" s="20"/>
      <c r="C375" s="20" t="s">
        <v>862</v>
      </c>
      <c r="D375" s="10" t="s">
        <v>9</v>
      </c>
      <c r="E375" s="13" t="s">
        <v>12</v>
      </c>
      <c r="F375" s="29">
        <v>60.97</v>
      </c>
    </row>
    <row r="376" hidden="1">
      <c r="A376" s="70">
        <v>46175.0</v>
      </c>
      <c r="B376" s="74"/>
      <c r="C376" s="74" t="s">
        <v>864</v>
      </c>
      <c r="D376" s="10" t="s">
        <v>9</v>
      </c>
      <c r="E376" s="13" t="s">
        <v>12</v>
      </c>
      <c r="F376" s="29">
        <v>65.97</v>
      </c>
    </row>
    <row r="377" hidden="1">
      <c r="A377" s="70">
        <v>46175.0</v>
      </c>
      <c r="B377" s="74"/>
      <c r="C377" s="74" t="s">
        <v>867</v>
      </c>
      <c r="D377" s="10" t="s">
        <v>9</v>
      </c>
      <c r="E377" s="13" t="s">
        <v>12</v>
      </c>
      <c r="F377" s="29">
        <v>34.97</v>
      </c>
    </row>
    <row r="378" hidden="1">
      <c r="A378" s="70">
        <v>46175.0</v>
      </c>
      <c r="B378" s="74"/>
      <c r="C378" s="74" t="s">
        <v>811</v>
      </c>
      <c r="D378" s="10" t="s">
        <v>9</v>
      </c>
      <c r="E378" s="13" t="s">
        <v>12</v>
      </c>
      <c r="F378" s="29">
        <v>85.97</v>
      </c>
    </row>
    <row r="379" hidden="1">
      <c r="A379" s="70">
        <v>46175.0</v>
      </c>
      <c r="B379" s="74"/>
      <c r="C379" s="74" t="s">
        <v>870</v>
      </c>
      <c r="D379" s="10" t="s">
        <v>9</v>
      </c>
      <c r="E379" s="13" t="s">
        <v>12</v>
      </c>
      <c r="F379" s="29">
        <v>65.97</v>
      </c>
    </row>
    <row r="380" hidden="1">
      <c r="A380" s="70">
        <v>46175.0</v>
      </c>
      <c r="B380" s="20"/>
      <c r="C380" s="20" t="s">
        <v>873</v>
      </c>
      <c r="D380" s="10" t="s">
        <v>9</v>
      </c>
      <c r="E380" s="13" t="s">
        <v>12</v>
      </c>
      <c r="F380" s="29">
        <v>91.97</v>
      </c>
    </row>
    <row r="381" hidden="1">
      <c r="A381" s="70">
        <v>46175.0</v>
      </c>
      <c r="B381" s="74"/>
      <c r="C381" s="74" t="s">
        <v>874</v>
      </c>
      <c r="D381" s="10" t="s">
        <v>9</v>
      </c>
      <c r="E381" s="13" t="s">
        <v>12</v>
      </c>
      <c r="F381" s="29">
        <v>20.97</v>
      </c>
    </row>
    <row r="382" hidden="1">
      <c r="A382" s="70">
        <v>46175.0</v>
      </c>
      <c r="B382" s="74"/>
      <c r="C382" s="74" t="s">
        <v>877</v>
      </c>
      <c r="D382" s="10" t="s">
        <v>9</v>
      </c>
      <c r="E382" s="13" t="s">
        <v>12</v>
      </c>
      <c r="F382" s="29">
        <v>105.97</v>
      </c>
    </row>
    <row r="383" hidden="1">
      <c r="A383" s="70">
        <v>46175.0</v>
      </c>
      <c r="B383" s="74"/>
      <c r="C383" s="74" t="s">
        <v>880</v>
      </c>
      <c r="D383" s="10" t="s">
        <v>8</v>
      </c>
      <c r="E383" s="13" t="s">
        <v>12</v>
      </c>
      <c r="F383" s="29">
        <v>85.97</v>
      </c>
    </row>
    <row r="384" hidden="1">
      <c r="A384" s="70">
        <v>46175.0</v>
      </c>
      <c r="B384" s="20"/>
      <c r="C384" s="20" t="s">
        <v>882</v>
      </c>
      <c r="D384" s="10" t="s">
        <v>9</v>
      </c>
      <c r="E384" s="13" t="s">
        <v>12</v>
      </c>
      <c r="F384" s="29">
        <v>24.97</v>
      </c>
    </row>
    <row r="385" hidden="1">
      <c r="A385" s="70">
        <v>46175.0</v>
      </c>
      <c r="B385" s="74"/>
      <c r="C385" s="74" t="s">
        <v>883</v>
      </c>
      <c r="D385" s="10" t="s">
        <v>9</v>
      </c>
      <c r="E385" s="13" t="s">
        <v>12</v>
      </c>
      <c r="F385" s="29">
        <v>62.97</v>
      </c>
    </row>
    <row r="386" hidden="1">
      <c r="A386" s="70">
        <v>46175.0</v>
      </c>
      <c r="B386" s="74"/>
      <c r="C386" s="74" t="s">
        <v>886</v>
      </c>
      <c r="D386" s="10" t="s">
        <v>9</v>
      </c>
      <c r="E386" s="13" t="s">
        <v>12</v>
      </c>
      <c r="F386" s="29">
        <v>20.97</v>
      </c>
    </row>
    <row r="387" hidden="1">
      <c r="A387" s="70">
        <v>46175.0</v>
      </c>
      <c r="B387" s="20"/>
      <c r="C387" s="20" t="s">
        <v>888</v>
      </c>
      <c r="D387" s="10" t="s">
        <v>9</v>
      </c>
      <c r="E387" s="13" t="s">
        <v>12</v>
      </c>
      <c r="F387" s="29">
        <v>21.97</v>
      </c>
    </row>
    <row r="388" hidden="1">
      <c r="A388" s="70">
        <v>46175.0</v>
      </c>
      <c r="B388" s="96"/>
      <c r="C388" s="96" t="s">
        <v>891</v>
      </c>
      <c r="D388" s="10" t="s">
        <v>9</v>
      </c>
      <c r="E388" s="13" t="s">
        <v>12</v>
      </c>
      <c r="F388" s="29">
        <v>95.97</v>
      </c>
    </row>
    <row r="389" hidden="1">
      <c r="A389" s="70">
        <v>46175.0</v>
      </c>
      <c r="B389" s="74"/>
      <c r="C389" s="74" t="s">
        <v>893</v>
      </c>
      <c r="D389" s="10" t="s">
        <v>9</v>
      </c>
      <c r="E389" s="13" t="s">
        <v>12</v>
      </c>
      <c r="F389" s="29">
        <v>23.97</v>
      </c>
    </row>
    <row r="390" hidden="1">
      <c r="A390" s="70">
        <v>46175.0</v>
      </c>
      <c r="B390" s="20"/>
      <c r="C390" s="20" t="s">
        <v>894</v>
      </c>
      <c r="D390" s="10" t="s">
        <v>9</v>
      </c>
      <c r="E390" s="13" t="s">
        <v>12</v>
      </c>
      <c r="F390" s="29">
        <v>25.97</v>
      </c>
    </row>
    <row r="391" hidden="1">
      <c r="A391" s="70">
        <v>46175.0</v>
      </c>
      <c r="B391" s="74"/>
      <c r="C391" s="74" t="s">
        <v>896</v>
      </c>
      <c r="D391" s="10" t="s">
        <v>9</v>
      </c>
      <c r="E391" s="13" t="s">
        <v>12</v>
      </c>
      <c r="F391" s="29">
        <v>81.97</v>
      </c>
    </row>
    <row r="392" hidden="1">
      <c r="A392" s="70">
        <v>46175.0</v>
      </c>
      <c r="B392" s="20"/>
      <c r="C392" s="20" t="s">
        <v>899</v>
      </c>
      <c r="D392" s="10" t="s">
        <v>9</v>
      </c>
      <c r="E392" s="13" t="s">
        <v>12</v>
      </c>
      <c r="F392" s="29">
        <v>200.97</v>
      </c>
    </row>
    <row r="393" hidden="1">
      <c r="A393" s="70">
        <v>46175.0</v>
      </c>
      <c r="B393" s="20"/>
      <c r="C393" s="20" t="s">
        <v>900</v>
      </c>
      <c r="D393" s="10" t="s">
        <v>9</v>
      </c>
      <c r="E393" s="13" t="s">
        <v>12</v>
      </c>
      <c r="F393" s="29">
        <v>35.97</v>
      </c>
    </row>
    <row r="394" hidden="1">
      <c r="A394" s="23"/>
      <c r="B394" s="59"/>
      <c r="C394" s="59"/>
      <c r="D394" s="62"/>
      <c r="E394" s="23"/>
      <c r="F394" s="23"/>
      <c r="G394" s="23"/>
      <c r="H394" s="23"/>
    </row>
    <row r="395" hidden="1">
      <c r="A395" s="70">
        <v>46176.0</v>
      </c>
      <c r="B395" s="74"/>
      <c r="C395" s="74" t="s">
        <v>901</v>
      </c>
      <c r="D395" s="10" t="s">
        <v>9</v>
      </c>
      <c r="E395" s="13" t="s">
        <v>12</v>
      </c>
      <c r="F395" s="29">
        <v>35.97</v>
      </c>
    </row>
    <row r="396" hidden="1">
      <c r="A396" s="70">
        <v>46176.0</v>
      </c>
      <c r="B396" s="74"/>
      <c r="C396" s="74" t="s">
        <v>472</v>
      </c>
      <c r="D396" s="10" t="s">
        <v>9</v>
      </c>
      <c r="E396" s="13" t="s">
        <v>12</v>
      </c>
      <c r="F396" s="29">
        <v>79.97</v>
      </c>
    </row>
    <row r="397" hidden="1">
      <c r="A397" s="70">
        <v>46176.0</v>
      </c>
      <c r="B397" s="20"/>
      <c r="C397" s="20" t="s">
        <v>902</v>
      </c>
      <c r="D397" s="10" t="s">
        <v>9</v>
      </c>
      <c r="E397" s="13" t="s">
        <v>12</v>
      </c>
      <c r="F397" s="29">
        <v>250.97</v>
      </c>
    </row>
    <row r="398" hidden="1">
      <c r="A398" s="70">
        <v>46176.0</v>
      </c>
      <c r="B398" s="74"/>
      <c r="C398" s="74" t="s">
        <v>904</v>
      </c>
      <c r="D398" s="10" t="s">
        <v>9</v>
      </c>
      <c r="E398" s="13" t="s">
        <v>12</v>
      </c>
      <c r="F398" s="29">
        <v>32.97</v>
      </c>
    </row>
    <row r="399" hidden="1">
      <c r="A399" s="70">
        <v>46176.0</v>
      </c>
      <c r="B399" s="20"/>
      <c r="C399" s="20" t="s">
        <v>905</v>
      </c>
      <c r="D399" s="10" t="s">
        <v>9</v>
      </c>
      <c r="E399" s="13" t="s">
        <v>12</v>
      </c>
      <c r="F399" s="29">
        <v>85.97</v>
      </c>
    </row>
    <row r="400" hidden="1">
      <c r="A400" s="70">
        <v>46176.0</v>
      </c>
      <c r="B400" s="74"/>
      <c r="C400" s="74" t="s">
        <v>906</v>
      </c>
      <c r="D400" s="10" t="s">
        <v>9</v>
      </c>
      <c r="E400" s="13" t="s">
        <v>12</v>
      </c>
      <c r="F400" s="29">
        <v>25.97</v>
      </c>
    </row>
    <row r="401" hidden="1">
      <c r="A401" s="70">
        <v>46176.0</v>
      </c>
      <c r="B401" s="74"/>
      <c r="C401" s="74" t="s">
        <v>908</v>
      </c>
      <c r="D401" s="10" t="s">
        <v>9</v>
      </c>
      <c r="E401" s="13" t="s">
        <v>12</v>
      </c>
      <c r="F401" s="29">
        <v>72.97</v>
      </c>
    </row>
    <row r="402" hidden="1">
      <c r="A402" s="70">
        <v>46176.0</v>
      </c>
      <c r="B402" s="20"/>
      <c r="C402" s="20" t="s">
        <v>909</v>
      </c>
      <c r="D402" s="10" t="s">
        <v>9</v>
      </c>
      <c r="E402" s="13" t="s">
        <v>12</v>
      </c>
      <c r="F402" s="29">
        <v>145.97</v>
      </c>
    </row>
    <row r="403" hidden="1">
      <c r="A403" s="70">
        <v>46176.0</v>
      </c>
      <c r="B403" s="71"/>
      <c r="C403" s="71" t="s">
        <v>910</v>
      </c>
      <c r="D403" s="10" t="s">
        <v>9</v>
      </c>
      <c r="E403" s="13" t="s">
        <v>12</v>
      </c>
      <c r="F403" s="29">
        <v>71.97</v>
      </c>
    </row>
    <row r="404" hidden="1">
      <c r="A404" s="70">
        <v>46176.0</v>
      </c>
      <c r="B404" s="74"/>
      <c r="C404" s="74" t="s">
        <v>912</v>
      </c>
      <c r="D404" s="10" t="s">
        <v>9</v>
      </c>
      <c r="E404" s="13" t="s">
        <v>12</v>
      </c>
      <c r="F404" s="29">
        <v>35.97</v>
      </c>
    </row>
    <row r="405" hidden="1">
      <c r="A405" s="70">
        <v>46176.0</v>
      </c>
      <c r="B405" s="74"/>
      <c r="C405" s="74" t="s">
        <v>914</v>
      </c>
      <c r="D405" s="10" t="s">
        <v>9</v>
      </c>
      <c r="E405" s="13" t="s">
        <v>12</v>
      </c>
      <c r="F405" s="29">
        <v>35.97</v>
      </c>
    </row>
    <row r="406" hidden="1">
      <c r="A406" s="70">
        <v>46176.0</v>
      </c>
      <c r="B406" s="20"/>
      <c r="C406" s="20" t="s">
        <v>916</v>
      </c>
      <c r="D406" s="10" t="s">
        <v>9</v>
      </c>
      <c r="E406" s="13" t="s">
        <v>12</v>
      </c>
      <c r="F406" s="29">
        <v>69.97</v>
      </c>
    </row>
    <row r="407" hidden="1">
      <c r="A407" s="70">
        <v>46176.0</v>
      </c>
      <c r="B407" s="74"/>
      <c r="C407" s="74" t="s">
        <v>918</v>
      </c>
      <c r="D407" s="10" t="s">
        <v>9</v>
      </c>
      <c r="E407" s="13" t="s">
        <v>12</v>
      </c>
      <c r="F407" s="29">
        <v>99.97</v>
      </c>
    </row>
    <row r="408" hidden="1">
      <c r="A408" s="70">
        <v>46176.0</v>
      </c>
      <c r="B408" s="74"/>
      <c r="C408" s="74" t="s">
        <v>296</v>
      </c>
      <c r="D408" s="10" t="s">
        <v>9</v>
      </c>
      <c r="E408" s="13" t="s">
        <v>12</v>
      </c>
      <c r="F408" s="29">
        <v>65.97</v>
      </c>
    </row>
    <row r="409" hidden="1">
      <c r="A409" s="70">
        <v>46176.0</v>
      </c>
      <c r="B409" s="20"/>
      <c r="C409" s="20" t="s">
        <v>921</v>
      </c>
      <c r="D409" s="10" t="s">
        <v>9</v>
      </c>
      <c r="E409" s="13" t="s">
        <v>12</v>
      </c>
      <c r="F409" s="29">
        <v>135.97</v>
      </c>
    </row>
    <row r="410" hidden="1">
      <c r="A410" s="70">
        <v>46176.0</v>
      </c>
      <c r="B410" s="74"/>
      <c r="C410" s="74" t="s">
        <v>923</v>
      </c>
      <c r="D410" s="10" t="s">
        <v>9</v>
      </c>
      <c r="E410" s="13" t="s">
        <v>12</v>
      </c>
      <c r="F410" s="29">
        <v>56.97</v>
      </c>
    </row>
    <row r="411" hidden="1">
      <c r="A411" s="70">
        <v>46176.0</v>
      </c>
      <c r="B411" s="74"/>
      <c r="C411" s="74" t="s">
        <v>925</v>
      </c>
      <c r="D411" s="10" t="s">
        <v>9</v>
      </c>
      <c r="E411" s="13" t="s">
        <v>12</v>
      </c>
      <c r="F411" s="29">
        <v>85.97</v>
      </c>
    </row>
    <row r="412" hidden="1">
      <c r="A412" s="70">
        <v>46176.0</v>
      </c>
      <c r="B412" s="20"/>
      <c r="C412" s="20" t="s">
        <v>926</v>
      </c>
      <c r="D412" s="10" t="s">
        <v>9</v>
      </c>
      <c r="E412" s="13" t="s">
        <v>12</v>
      </c>
      <c r="F412" s="29">
        <v>21.97</v>
      </c>
    </row>
    <row r="413" hidden="1">
      <c r="A413" s="70">
        <v>46176.0</v>
      </c>
      <c r="B413" s="71"/>
      <c r="C413" s="71" t="s">
        <v>928</v>
      </c>
      <c r="D413" s="10" t="s">
        <v>9</v>
      </c>
      <c r="E413" s="13" t="s">
        <v>12</v>
      </c>
      <c r="F413" s="29">
        <v>44.97</v>
      </c>
    </row>
    <row r="414" hidden="1">
      <c r="A414" s="70">
        <v>46176.0</v>
      </c>
      <c r="B414" s="74"/>
      <c r="C414" s="74" t="s">
        <v>931</v>
      </c>
      <c r="D414" s="10" t="s">
        <v>9</v>
      </c>
      <c r="E414" s="13" t="s">
        <v>12</v>
      </c>
      <c r="F414" s="29">
        <v>215.97</v>
      </c>
    </row>
    <row r="415" hidden="1">
      <c r="A415" s="70">
        <v>46176.0</v>
      </c>
      <c r="B415" s="74"/>
      <c r="C415" s="74" t="s">
        <v>933</v>
      </c>
      <c r="D415" s="10" t="s">
        <v>9</v>
      </c>
      <c r="E415" s="13" t="s">
        <v>12</v>
      </c>
      <c r="F415" s="29">
        <v>105.97</v>
      </c>
    </row>
    <row r="416" hidden="1">
      <c r="A416" s="70">
        <v>46176.0</v>
      </c>
      <c r="B416" s="20"/>
      <c r="C416" s="20" t="s">
        <v>936</v>
      </c>
      <c r="D416" s="10" t="s">
        <v>9</v>
      </c>
      <c r="E416" s="13" t="s">
        <v>12</v>
      </c>
      <c r="F416" s="29">
        <v>27.97</v>
      </c>
    </row>
    <row r="417" hidden="1">
      <c r="A417" s="70">
        <v>46176.0</v>
      </c>
      <c r="B417" s="20"/>
      <c r="C417" s="20" t="s">
        <v>938</v>
      </c>
      <c r="D417" s="10" t="s">
        <v>9</v>
      </c>
      <c r="E417" s="13" t="s">
        <v>12</v>
      </c>
      <c r="F417" s="29">
        <v>200.97</v>
      </c>
    </row>
    <row r="418" hidden="1">
      <c r="A418" s="23"/>
      <c r="B418" s="59"/>
      <c r="C418" s="59"/>
      <c r="D418" s="62"/>
      <c r="E418" s="23"/>
      <c r="F418" s="23"/>
      <c r="G418" s="23"/>
      <c r="H418" s="23"/>
    </row>
    <row r="419" hidden="1">
      <c r="A419" s="70">
        <v>46177.0</v>
      </c>
      <c r="B419" s="74"/>
      <c r="C419" s="74" t="s">
        <v>941</v>
      </c>
      <c r="D419" s="10" t="s">
        <v>9</v>
      </c>
      <c r="E419" s="13" t="s">
        <v>12</v>
      </c>
      <c r="F419" s="29">
        <v>109.97</v>
      </c>
    </row>
    <row r="420" hidden="1">
      <c r="A420" s="70">
        <v>46177.0</v>
      </c>
      <c r="B420" s="20"/>
      <c r="C420" s="20" t="s">
        <v>905</v>
      </c>
      <c r="D420" s="10" t="s">
        <v>9</v>
      </c>
      <c r="E420" s="13" t="s">
        <v>12</v>
      </c>
      <c r="F420" s="29">
        <v>95.97</v>
      </c>
    </row>
    <row r="421" hidden="1">
      <c r="A421" s="70">
        <v>46177.0</v>
      </c>
      <c r="B421" s="20"/>
      <c r="C421" s="20" t="s">
        <v>944</v>
      </c>
      <c r="D421" s="10" t="s">
        <v>9</v>
      </c>
      <c r="E421" s="13" t="s">
        <v>12</v>
      </c>
      <c r="F421" s="29">
        <v>125.97</v>
      </c>
    </row>
    <row r="422" hidden="1">
      <c r="A422" s="70">
        <v>46177.0</v>
      </c>
      <c r="B422" s="20"/>
      <c r="C422" s="20" t="s">
        <v>946</v>
      </c>
      <c r="D422" s="10" t="s">
        <v>9</v>
      </c>
      <c r="E422" s="13" t="s">
        <v>12</v>
      </c>
      <c r="F422" s="29">
        <v>65.97</v>
      </c>
    </row>
    <row r="423" hidden="1">
      <c r="A423" s="70">
        <v>46177.0</v>
      </c>
      <c r="B423" s="74"/>
      <c r="C423" s="74" t="s">
        <v>115</v>
      </c>
      <c r="D423" s="10" t="s">
        <v>9</v>
      </c>
      <c r="E423" s="13" t="s">
        <v>12</v>
      </c>
      <c r="F423" s="29">
        <v>36.97</v>
      </c>
    </row>
    <row r="424" hidden="1">
      <c r="A424" s="70">
        <v>46177.0</v>
      </c>
      <c r="B424" s="20"/>
      <c r="C424" s="20" t="s">
        <v>950</v>
      </c>
      <c r="D424" s="10" t="s">
        <v>9</v>
      </c>
      <c r="E424" s="13" t="s">
        <v>12</v>
      </c>
      <c r="F424" s="29">
        <v>85.97</v>
      </c>
    </row>
    <row r="425" hidden="1">
      <c r="A425" s="70">
        <v>46177.0</v>
      </c>
      <c r="B425" s="20"/>
      <c r="C425" s="20" t="s">
        <v>952</v>
      </c>
      <c r="D425" s="10" t="s">
        <v>9</v>
      </c>
      <c r="E425" s="13" t="s">
        <v>12</v>
      </c>
      <c r="F425" s="29">
        <v>45.97</v>
      </c>
    </row>
    <row r="426" hidden="1">
      <c r="A426" s="70">
        <v>46177.0</v>
      </c>
      <c r="B426" s="20"/>
      <c r="C426" s="20" t="s">
        <v>631</v>
      </c>
      <c r="D426" s="10" t="s">
        <v>9</v>
      </c>
      <c r="E426" s="13" t="s">
        <v>12</v>
      </c>
      <c r="F426" s="29">
        <v>65.97</v>
      </c>
    </row>
    <row r="427" hidden="1">
      <c r="A427" s="70">
        <v>46177.0</v>
      </c>
      <c r="B427" s="74"/>
      <c r="C427" s="74" t="s">
        <v>955</v>
      </c>
      <c r="D427" s="10" t="s">
        <v>9</v>
      </c>
      <c r="E427" s="13" t="s">
        <v>12</v>
      </c>
      <c r="F427" s="29">
        <v>49.97</v>
      </c>
    </row>
    <row r="428" hidden="1">
      <c r="A428" s="70">
        <v>46177.0</v>
      </c>
      <c r="B428" s="20"/>
      <c r="C428" s="20" t="s">
        <v>956</v>
      </c>
      <c r="D428" s="10" t="s">
        <v>9</v>
      </c>
      <c r="E428" s="13" t="s">
        <v>12</v>
      </c>
      <c r="F428" s="29">
        <v>33.97</v>
      </c>
    </row>
    <row r="429" hidden="1">
      <c r="A429" s="70">
        <v>46177.0</v>
      </c>
      <c r="B429" s="118"/>
      <c r="C429" s="118" t="s">
        <v>960</v>
      </c>
      <c r="D429" s="10" t="s">
        <v>9</v>
      </c>
      <c r="E429" s="13" t="s">
        <v>12</v>
      </c>
      <c r="F429" s="29">
        <v>99.97</v>
      </c>
      <c r="G429" s="29">
        <v>2.0</v>
      </c>
    </row>
    <row r="430" hidden="1">
      <c r="A430" s="70">
        <v>46177.0</v>
      </c>
      <c r="B430" s="20"/>
      <c r="C430" s="20" t="s">
        <v>962</v>
      </c>
      <c r="D430" s="10" t="s">
        <v>9</v>
      </c>
      <c r="E430" s="13" t="s">
        <v>12</v>
      </c>
      <c r="F430" s="29">
        <v>30.97</v>
      </c>
      <c r="G430" s="29">
        <v>2.0</v>
      </c>
    </row>
    <row r="431" hidden="1">
      <c r="A431" s="70">
        <v>46177.0</v>
      </c>
      <c r="B431" s="20"/>
      <c r="C431" s="20" t="s">
        <v>963</v>
      </c>
      <c r="D431" s="10" t="s">
        <v>9</v>
      </c>
      <c r="E431" s="13" t="s">
        <v>12</v>
      </c>
      <c r="F431" s="29">
        <v>25.97</v>
      </c>
    </row>
    <row r="432" hidden="1">
      <c r="A432" s="70">
        <v>46177.0</v>
      </c>
      <c r="B432" s="119"/>
      <c r="C432" s="119" t="s">
        <v>966</v>
      </c>
      <c r="D432" s="10" t="s">
        <v>9</v>
      </c>
      <c r="E432" s="13" t="s">
        <v>12</v>
      </c>
      <c r="F432" s="29">
        <v>160.97</v>
      </c>
    </row>
    <row r="433" hidden="1">
      <c r="A433" s="70">
        <v>46177.0</v>
      </c>
      <c r="B433" s="74"/>
      <c r="C433" s="74" t="s">
        <v>968</v>
      </c>
      <c r="D433" s="10" t="s">
        <v>9</v>
      </c>
      <c r="E433" s="13" t="s">
        <v>12</v>
      </c>
      <c r="F433" s="29">
        <v>107.97</v>
      </c>
    </row>
    <row r="434" hidden="1">
      <c r="A434" s="70">
        <v>46177.0</v>
      </c>
      <c r="B434" s="74"/>
      <c r="C434" s="74" t="s">
        <v>970</v>
      </c>
      <c r="D434" s="10" t="s">
        <v>9</v>
      </c>
      <c r="E434" s="13" t="s">
        <v>12</v>
      </c>
      <c r="F434" s="29">
        <v>200.97</v>
      </c>
    </row>
    <row r="435" hidden="1">
      <c r="A435" s="70">
        <v>46177.0</v>
      </c>
      <c r="B435" s="74"/>
      <c r="C435" s="74" t="s">
        <v>972</v>
      </c>
      <c r="D435" s="10" t="s">
        <v>9</v>
      </c>
      <c r="E435" s="13" t="s">
        <v>12</v>
      </c>
      <c r="F435" s="29">
        <v>188.97</v>
      </c>
    </row>
    <row r="436" hidden="1">
      <c r="A436" s="70">
        <v>46177.0</v>
      </c>
      <c r="B436" s="74"/>
      <c r="C436" s="74" t="s">
        <v>974</v>
      </c>
      <c r="D436" s="10" t="s">
        <v>9</v>
      </c>
      <c r="E436" s="13" t="s">
        <v>12</v>
      </c>
      <c r="F436" s="29">
        <v>300.97</v>
      </c>
    </row>
    <row r="437" hidden="1">
      <c r="A437" s="70">
        <v>46177.0</v>
      </c>
      <c r="B437" s="74"/>
      <c r="C437" s="74" t="s">
        <v>976</v>
      </c>
      <c r="D437" s="10" t="s">
        <v>9</v>
      </c>
      <c r="E437" s="13" t="s">
        <v>12</v>
      </c>
      <c r="F437" s="29">
        <v>36.97</v>
      </c>
    </row>
    <row r="438" hidden="1">
      <c r="A438" s="70">
        <v>46177.0</v>
      </c>
      <c r="B438" s="74"/>
      <c r="C438" s="74" t="s">
        <v>977</v>
      </c>
      <c r="D438" s="10" t="s">
        <v>9</v>
      </c>
      <c r="E438" s="13" t="s">
        <v>12</v>
      </c>
      <c r="F438" s="29">
        <v>45.97</v>
      </c>
    </row>
    <row r="439" hidden="1">
      <c r="A439" s="70">
        <v>46177.0</v>
      </c>
      <c r="B439" s="86"/>
      <c r="C439" s="86" t="s">
        <v>979</v>
      </c>
      <c r="D439" s="10" t="s">
        <v>9</v>
      </c>
      <c r="E439" s="13" t="s">
        <v>12</v>
      </c>
      <c r="F439" s="29">
        <v>99.97</v>
      </c>
    </row>
    <row r="440" hidden="1">
      <c r="A440" s="70">
        <v>46177.0</v>
      </c>
      <c r="B440" s="96"/>
      <c r="C440" s="96" t="s">
        <v>980</v>
      </c>
      <c r="D440" s="10" t="s">
        <v>9</v>
      </c>
      <c r="E440" s="13" t="s">
        <v>12</v>
      </c>
      <c r="F440" s="29">
        <v>300.97</v>
      </c>
    </row>
    <row r="441" hidden="1">
      <c r="A441" s="70">
        <v>46177.0</v>
      </c>
      <c r="B441" s="74"/>
      <c r="C441" s="74" t="s">
        <v>981</v>
      </c>
      <c r="D441" s="10" t="s">
        <v>9</v>
      </c>
      <c r="E441" s="13" t="s">
        <v>12</v>
      </c>
      <c r="F441" s="29">
        <v>46.97</v>
      </c>
    </row>
    <row r="442" hidden="1">
      <c r="A442" s="70">
        <v>46177.0</v>
      </c>
      <c r="B442" s="74"/>
      <c r="C442" s="74" t="s">
        <v>982</v>
      </c>
      <c r="D442" s="10" t="s">
        <v>9</v>
      </c>
      <c r="E442" s="13" t="s">
        <v>12</v>
      </c>
      <c r="F442" s="29">
        <v>79.97</v>
      </c>
    </row>
    <row r="443" hidden="1">
      <c r="A443" s="70">
        <v>46177.0</v>
      </c>
      <c r="B443" s="20"/>
      <c r="C443" s="20" t="s">
        <v>984</v>
      </c>
      <c r="D443" s="10" t="s">
        <v>9</v>
      </c>
      <c r="E443" s="13" t="s">
        <v>12</v>
      </c>
      <c r="F443" s="29">
        <v>45.97</v>
      </c>
    </row>
    <row r="444" hidden="1">
      <c r="A444" s="23"/>
      <c r="B444" s="59"/>
      <c r="C444" s="59"/>
      <c r="D444" s="62"/>
      <c r="E444" s="23"/>
      <c r="F444" s="23"/>
      <c r="G444" s="23"/>
    </row>
    <row r="445" hidden="1">
      <c r="A445" s="70">
        <v>46178.0</v>
      </c>
      <c r="B445" s="74"/>
      <c r="C445" s="74" t="s">
        <v>986</v>
      </c>
      <c r="D445" s="10" t="s">
        <v>9</v>
      </c>
      <c r="E445" s="13" t="s">
        <v>12</v>
      </c>
      <c r="F445" s="29">
        <v>175.97</v>
      </c>
    </row>
    <row r="446" hidden="1">
      <c r="A446" s="70">
        <v>46178.0</v>
      </c>
      <c r="B446" s="74"/>
      <c r="C446" s="74" t="s">
        <v>553</v>
      </c>
      <c r="D446" s="10" t="s">
        <v>9</v>
      </c>
      <c r="E446" s="13" t="s">
        <v>12</v>
      </c>
      <c r="F446" s="29">
        <v>97.97</v>
      </c>
    </row>
    <row r="447" hidden="1">
      <c r="A447" s="70">
        <v>46178.0</v>
      </c>
      <c r="B447" s="20"/>
      <c r="C447" s="20" t="s">
        <v>989</v>
      </c>
      <c r="D447" s="10" t="s">
        <v>9</v>
      </c>
      <c r="E447" s="13" t="s">
        <v>12</v>
      </c>
      <c r="F447" s="29">
        <v>95.97</v>
      </c>
    </row>
    <row r="448" hidden="1">
      <c r="A448" s="70">
        <v>46178.0</v>
      </c>
      <c r="B448" s="20"/>
      <c r="C448" s="20" t="s">
        <v>990</v>
      </c>
      <c r="D448" s="10" t="s">
        <v>9</v>
      </c>
      <c r="E448" s="13" t="s">
        <v>12</v>
      </c>
      <c r="F448" s="29">
        <v>95.97</v>
      </c>
    </row>
    <row r="449" hidden="1">
      <c r="A449" s="70">
        <v>46178.0</v>
      </c>
      <c r="B449" s="74"/>
      <c r="C449" s="74" t="s">
        <v>992</v>
      </c>
      <c r="D449" s="10" t="s">
        <v>9</v>
      </c>
      <c r="E449" s="13" t="s">
        <v>12</v>
      </c>
      <c r="F449" s="29">
        <v>85.97</v>
      </c>
    </row>
    <row r="450" hidden="1">
      <c r="A450" s="70">
        <v>46178.0</v>
      </c>
      <c r="B450" s="74"/>
      <c r="C450" s="74" t="s">
        <v>994</v>
      </c>
      <c r="D450" s="10" t="s">
        <v>9</v>
      </c>
      <c r="E450" s="13" t="s">
        <v>12</v>
      </c>
      <c r="F450" s="29">
        <v>40.97</v>
      </c>
    </row>
    <row r="451" hidden="1">
      <c r="A451" s="70">
        <v>46178.0</v>
      </c>
      <c r="B451" s="74"/>
      <c r="C451" s="74" t="s">
        <v>573</v>
      </c>
      <c r="D451" s="10" t="s">
        <v>9</v>
      </c>
      <c r="E451" s="13" t="s">
        <v>12</v>
      </c>
      <c r="F451" s="29">
        <v>35.97</v>
      </c>
    </row>
    <row r="452" hidden="1">
      <c r="A452" s="70">
        <v>46178.0</v>
      </c>
      <c r="B452" s="74"/>
      <c r="C452" s="74" t="s">
        <v>547</v>
      </c>
      <c r="D452" s="10" t="s">
        <v>9</v>
      </c>
      <c r="E452" s="13" t="s">
        <v>12</v>
      </c>
      <c r="F452" s="29">
        <v>65.97</v>
      </c>
    </row>
    <row r="453" hidden="1">
      <c r="A453" s="70">
        <v>46178.0</v>
      </c>
      <c r="B453" s="74"/>
      <c r="C453" s="74" t="s">
        <v>997</v>
      </c>
      <c r="D453" s="10" t="s">
        <v>9</v>
      </c>
      <c r="E453" s="13" t="s">
        <v>12</v>
      </c>
      <c r="F453" s="29">
        <v>40.97</v>
      </c>
    </row>
    <row r="454" hidden="1">
      <c r="A454" s="70">
        <v>46178.0</v>
      </c>
      <c r="B454" s="74"/>
      <c r="C454" s="74" t="s">
        <v>999</v>
      </c>
      <c r="D454" s="10" t="s">
        <v>9</v>
      </c>
      <c r="E454" s="13" t="s">
        <v>12</v>
      </c>
      <c r="F454" s="29">
        <v>35.97</v>
      </c>
    </row>
    <row r="455" hidden="1">
      <c r="A455" s="70">
        <v>46178.0</v>
      </c>
      <c r="B455" s="74"/>
      <c r="C455" s="74" t="s">
        <v>1001</v>
      </c>
      <c r="D455" s="10" t="s">
        <v>9</v>
      </c>
      <c r="E455" s="13" t="s">
        <v>12</v>
      </c>
      <c r="F455" s="29">
        <v>60.97</v>
      </c>
    </row>
    <row r="456" hidden="1">
      <c r="A456" s="70">
        <v>46178.0</v>
      </c>
      <c r="B456" s="74"/>
      <c r="C456" s="74" t="s">
        <v>1002</v>
      </c>
      <c r="D456" s="10" t="s">
        <v>9</v>
      </c>
      <c r="E456" s="13" t="s">
        <v>12</v>
      </c>
      <c r="F456" s="29">
        <v>23.97</v>
      </c>
    </row>
    <row r="457" hidden="1">
      <c r="A457" s="70">
        <v>46178.0</v>
      </c>
      <c r="B457" s="74"/>
      <c r="C457" s="74" t="s">
        <v>1004</v>
      </c>
      <c r="D457" s="10" t="s">
        <v>9</v>
      </c>
      <c r="E457" s="13" t="s">
        <v>12</v>
      </c>
      <c r="F457" s="29">
        <v>199.97</v>
      </c>
    </row>
    <row r="458" hidden="1">
      <c r="A458" s="70">
        <v>46178.0</v>
      </c>
      <c r="B458" s="20"/>
      <c r="C458" s="20" t="s">
        <v>1006</v>
      </c>
      <c r="D458" s="10" t="s">
        <v>9</v>
      </c>
      <c r="E458" s="13" t="s">
        <v>12</v>
      </c>
      <c r="F458" s="29">
        <v>130.97</v>
      </c>
    </row>
    <row r="459" hidden="1">
      <c r="A459" s="70">
        <v>46178.0</v>
      </c>
      <c r="B459" s="74"/>
      <c r="C459" s="74" t="s">
        <v>1008</v>
      </c>
      <c r="D459" s="10" t="s">
        <v>9</v>
      </c>
      <c r="E459" s="13" t="s">
        <v>12</v>
      </c>
      <c r="F459" s="29">
        <v>26.97</v>
      </c>
    </row>
    <row r="460" hidden="1">
      <c r="A460" s="70">
        <v>46178.0</v>
      </c>
      <c r="B460" s="20"/>
      <c r="C460" s="20" t="s">
        <v>1009</v>
      </c>
      <c r="D460" s="10" t="s">
        <v>9</v>
      </c>
      <c r="E460" s="13" t="s">
        <v>12</v>
      </c>
      <c r="F460" s="29">
        <v>199.97</v>
      </c>
    </row>
    <row r="461" hidden="1">
      <c r="A461" s="70">
        <v>46178.0</v>
      </c>
      <c r="B461" s="20"/>
      <c r="C461" s="20" t="s">
        <v>1011</v>
      </c>
      <c r="D461" s="10" t="s">
        <v>9</v>
      </c>
      <c r="E461" s="13" t="s">
        <v>12</v>
      </c>
      <c r="F461" s="29">
        <v>41.97</v>
      </c>
    </row>
    <row r="462" hidden="1">
      <c r="A462" s="70">
        <v>46178.0</v>
      </c>
      <c r="B462" s="74"/>
      <c r="C462" s="74" t="s">
        <v>1013</v>
      </c>
      <c r="D462" s="10" t="s">
        <v>9</v>
      </c>
      <c r="E462" s="13" t="s">
        <v>12</v>
      </c>
      <c r="F462" s="29">
        <v>20.97</v>
      </c>
    </row>
    <row r="463" hidden="1">
      <c r="A463" s="70">
        <v>46178.0</v>
      </c>
      <c r="B463" s="74"/>
      <c r="C463" s="74" t="s">
        <v>1014</v>
      </c>
      <c r="D463" s="10" t="s">
        <v>9</v>
      </c>
      <c r="E463" s="13" t="s">
        <v>12</v>
      </c>
      <c r="F463" s="29">
        <v>29.97</v>
      </c>
    </row>
    <row r="464" hidden="1">
      <c r="A464" s="70">
        <v>46178.0</v>
      </c>
      <c r="B464" s="74"/>
      <c r="C464" s="74" t="s">
        <v>1016</v>
      </c>
      <c r="D464" s="10" t="s">
        <v>9</v>
      </c>
      <c r="E464" s="13" t="s">
        <v>12</v>
      </c>
      <c r="F464" s="29">
        <v>68.97</v>
      </c>
    </row>
    <row r="465" hidden="1">
      <c r="A465" s="70">
        <v>46178.0</v>
      </c>
      <c r="B465" s="20"/>
      <c r="C465" s="20" t="s">
        <v>1018</v>
      </c>
      <c r="D465" s="10" t="s">
        <v>9</v>
      </c>
      <c r="E465" s="13" t="s">
        <v>12</v>
      </c>
      <c r="F465" s="29">
        <v>88.97</v>
      </c>
    </row>
    <row r="466" hidden="1">
      <c r="A466" s="70">
        <v>46178.0</v>
      </c>
      <c r="B466" s="74"/>
      <c r="C466" s="74" t="s">
        <v>1020</v>
      </c>
      <c r="D466" s="10" t="s">
        <v>9</v>
      </c>
      <c r="E466" s="13" t="s">
        <v>12</v>
      </c>
      <c r="F466" s="29">
        <v>35.97</v>
      </c>
    </row>
    <row r="467" hidden="1">
      <c r="A467" s="70">
        <v>46178.0</v>
      </c>
      <c r="B467" s="20"/>
      <c r="C467" s="20" t="s">
        <v>651</v>
      </c>
      <c r="D467" s="10" t="s">
        <v>9</v>
      </c>
      <c r="E467" s="13" t="s">
        <v>12</v>
      </c>
      <c r="F467" s="29">
        <v>95.97</v>
      </c>
    </row>
    <row r="468" hidden="1">
      <c r="A468" s="23"/>
      <c r="B468" s="59"/>
      <c r="C468" s="59"/>
      <c r="D468" s="62"/>
      <c r="E468" s="23"/>
      <c r="F468" s="23"/>
      <c r="G468" s="23"/>
    </row>
    <row r="469" hidden="1">
      <c r="A469" s="70">
        <v>46181.0</v>
      </c>
      <c r="B469" s="20"/>
      <c r="C469" s="20" t="s">
        <v>1023</v>
      </c>
      <c r="D469" s="10" t="s">
        <v>8</v>
      </c>
      <c r="E469" s="13" t="s">
        <v>12</v>
      </c>
      <c r="F469" s="29">
        <v>150.97</v>
      </c>
    </row>
    <row r="470" hidden="1">
      <c r="A470" s="70">
        <v>46181.0</v>
      </c>
      <c r="B470" s="96"/>
      <c r="C470" s="96" t="s">
        <v>1025</v>
      </c>
      <c r="D470" s="10" t="s">
        <v>9</v>
      </c>
      <c r="E470" s="13" t="s">
        <v>12</v>
      </c>
      <c r="F470" s="29">
        <v>32.97</v>
      </c>
    </row>
    <row r="471" hidden="1">
      <c r="A471" s="70">
        <v>46181.0</v>
      </c>
      <c r="B471" s="74"/>
      <c r="C471" s="74" t="s">
        <v>1027</v>
      </c>
      <c r="D471" s="10" t="s">
        <v>9</v>
      </c>
      <c r="E471" s="13" t="s">
        <v>12</v>
      </c>
      <c r="F471" s="29">
        <v>42.97</v>
      </c>
    </row>
    <row r="472" hidden="1">
      <c r="A472" s="70">
        <v>46181.0</v>
      </c>
      <c r="B472" s="20"/>
      <c r="C472" s="20" t="s">
        <v>1028</v>
      </c>
      <c r="D472" s="10" t="s">
        <v>8</v>
      </c>
      <c r="E472" s="13" t="s">
        <v>12</v>
      </c>
      <c r="F472" s="29">
        <v>200.97</v>
      </c>
    </row>
    <row r="473" hidden="1">
      <c r="A473" s="70">
        <v>46181.0</v>
      </c>
      <c r="B473" s="74"/>
      <c r="C473" s="74" t="s">
        <v>773</v>
      </c>
      <c r="D473" s="10" t="s">
        <v>9</v>
      </c>
      <c r="E473" s="13" t="s">
        <v>12</v>
      </c>
      <c r="F473" s="29">
        <v>30.97</v>
      </c>
      <c r="G473" s="29">
        <v>2.0</v>
      </c>
    </row>
    <row r="474" hidden="1">
      <c r="A474" s="70">
        <v>46181.0</v>
      </c>
      <c r="B474" s="120"/>
      <c r="C474" s="120" t="s">
        <v>1029</v>
      </c>
      <c r="D474" s="10" t="s">
        <v>9</v>
      </c>
      <c r="E474" s="13" t="s">
        <v>12</v>
      </c>
      <c r="F474" s="29">
        <v>250.97</v>
      </c>
    </row>
    <row r="475" hidden="1">
      <c r="A475" s="70">
        <v>46181.0</v>
      </c>
      <c r="B475" s="74"/>
      <c r="C475" s="74" t="s">
        <v>1030</v>
      </c>
      <c r="D475" s="10" t="s">
        <v>9</v>
      </c>
      <c r="E475" s="13" t="s">
        <v>12</v>
      </c>
      <c r="F475" s="29">
        <v>300.97</v>
      </c>
    </row>
    <row r="476" hidden="1">
      <c r="A476" s="70">
        <v>46181.0</v>
      </c>
      <c r="B476" s="74"/>
      <c r="C476" s="74" t="s">
        <v>1032</v>
      </c>
      <c r="D476" s="10" t="s">
        <v>9</v>
      </c>
      <c r="E476" s="13" t="s">
        <v>12</v>
      </c>
      <c r="F476" s="29">
        <v>120.97</v>
      </c>
    </row>
    <row r="477" hidden="1">
      <c r="A477" s="70">
        <v>46181.0</v>
      </c>
      <c r="B477" s="74"/>
      <c r="C477" s="74" t="s">
        <v>1033</v>
      </c>
      <c r="D477" s="10" t="s">
        <v>9</v>
      </c>
      <c r="E477" s="13" t="s">
        <v>12</v>
      </c>
      <c r="F477" s="29">
        <v>80.97</v>
      </c>
    </row>
    <row r="478" hidden="1">
      <c r="A478" s="70">
        <v>46181.0</v>
      </c>
      <c r="B478" s="20"/>
      <c r="C478" s="20" t="s">
        <v>1035</v>
      </c>
      <c r="D478" s="10" t="s">
        <v>9</v>
      </c>
      <c r="E478" s="13" t="s">
        <v>12</v>
      </c>
      <c r="F478" s="29">
        <v>30.97</v>
      </c>
      <c r="G478" s="29">
        <v>3.0</v>
      </c>
    </row>
    <row r="479" hidden="1">
      <c r="A479" s="70">
        <v>46181.0</v>
      </c>
      <c r="B479" s="20"/>
      <c r="C479" s="20" t="s">
        <v>1036</v>
      </c>
      <c r="D479" s="10" t="s">
        <v>9</v>
      </c>
      <c r="E479" s="13" t="s">
        <v>12</v>
      </c>
      <c r="F479" s="29">
        <v>35.97</v>
      </c>
    </row>
    <row r="480" hidden="1">
      <c r="A480" s="70">
        <v>46181.0</v>
      </c>
      <c r="B480" s="74"/>
      <c r="C480" s="74" t="s">
        <v>1038</v>
      </c>
      <c r="D480" s="10" t="s">
        <v>9</v>
      </c>
      <c r="E480" s="13" t="s">
        <v>12</v>
      </c>
      <c r="F480" s="29">
        <v>98.97</v>
      </c>
    </row>
    <row r="481" hidden="1">
      <c r="A481" s="70">
        <v>46181.0</v>
      </c>
      <c r="B481" s="20"/>
      <c r="C481" s="20" t="s">
        <v>1040</v>
      </c>
      <c r="D481" s="10" t="s">
        <v>9</v>
      </c>
      <c r="E481" s="13" t="s">
        <v>12</v>
      </c>
      <c r="F481" s="29">
        <v>65.97</v>
      </c>
    </row>
    <row r="482" hidden="1">
      <c r="A482" s="70">
        <v>46181.0</v>
      </c>
      <c r="B482" s="20"/>
      <c r="C482" s="20">
        <v>5.304525208E9</v>
      </c>
      <c r="D482" s="10" t="s">
        <v>9</v>
      </c>
      <c r="E482" s="13" t="s">
        <v>12</v>
      </c>
      <c r="F482" s="29">
        <v>48.97</v>
      </c>
    </row>
    <row r="483" hidden="1">
      <c r="A483" s="70">
        <v>46181.0</v>
      </c>
      <c r="B483" s="20"/>
      <c r="C483" s="20">
        <v>5.3045252E9</v>
      </c>
      <c r="D483" s="10" t="s">
        <v>9</v>
      </c>
      <c r="E483" s="13" t="s">
        <v>12</v>
      </c>
      <c r="F483" s="29">
        <v>83.97</v>
      </c>
    </row>
    <row r="484" hidden="1">
      <c r="A484" s="70">
        <v>46181.0</v>
      </c>
      <c r="B484" s="121"/>
      <c r="C484" s="121" t="s">
        <v>1042</v>
      </c>
      <c r="D484" s="10" t="s">
        <v>9</v>
      </c>
      <c r="E484" s="13" t="s">
        <v>12</v>
      </c>
      <c r="F484" s="29">
        <v>42.97</v>
      </c>
    </row>
    <row r="485" hidden="1">
      <c r="A485" s="70">
        <v>46181.0</v>
      </c>
      <c r="B485" s="20"/>
      <c r="C485" s="20">
        <v>4.05536793E8</v>
      </c>
      <c r="D485" s="10" t="s">
        <v>9</v>
      </c>
      <c r="E485" s="13" t="s">
        <v>12</v>
      </c>
      <c r="F485" s="29">
        <v>40.97</v>
      </c>
    </row>
    <row r="486" hidden="1">
      <c r="A486" s="70">
        <v>46181.0</v>
      </c>
      <c r="B486" s="74"/>
      <c r="C486" s="74" t="s">
        <v>1044</v>
      </c>
      <c r="D486" s="10" t="s">
        <v>9</v>
      </c>
      <c r="E486" s="13" t="s">
        <v>12</v>
      </c>
      <c r="F486" s="29">
        <v>170.97</v>
      </c>
    </row>
    <row r="487" hidden="1">
      <c r="A487" s="70">
        <v>46181.0</v>
      </c>
      <c r="B487" s="74"/>
      <c r="C487" s="74" t="s">
        <v>1045</v>
      </c>
      <c r="D487" s="10" t="s">
        <v>9</v>
      </c>
      <c r="E487" s="13" t="s">
        <v>12</v>
      </c>
      <c r="F487" s="29">
        <v>70.97</v>
      </c>
    </row>
    <row r="488" hidden="1">
      <c r="A488" s="70">
        <v>46181.0</v>
      </c>
      <c r="B488" s="74"/>
      <c r="C488" s="74" t="s">
        <v>1046</v>
      </c>
      <c r="D488" s="10" t="s">
        <v>9</v>
      </c>
      <c r="E488" s="13" t="s">
        <v>12</v>
      </c>
      <c r="F488" s="29">
        <v>155.97</v>
      </c>
    </row>
    <row r="489" hidden="1">
      <c r="A489" s="70">
        <v>46181.0</v>
      </c>
      <c r="B489" s="20"/>
      <c r="C489" s="20" t="s">
        <v>1047</v>
      </c>
      <c r="D489" s="10" t="s">
        <v>9</v>
      </c>
      <c r="E489" s="13" t="s">
        <v>12</v>
      </c>
      <c r="F489" s="29">
        <v>99.97</v>
      </c>
    </row>
    <row r="490" hidden="1">
      <c r="A490" s="70">
        <v>46181.0</v>
      </c>
      <c r="B490" s="74"/>
      <c r="C490" s="74" t="s">
        <v>1048</v>
      </c>
      <c r="D490" s="10" t="s">
        <v>9</v>
      </c>
      <c r="E490" s="13" t="s">
        <v>12</v>
      </c>
      <c r="F490" s="29">
        <v>175.97</v>
      </c>
    </row>
    <row r="491" hidden="1">
      <c r="A491" s="70">
        <v>46181.0</v>
      </c>
      <c r="B491" s="20"/>
      <c r="C491" s="20" t="s">
        <v>1049</v>
      </c>
      <c r="D491" s="10" t="s">
        <v>9</v>
      </c>
      <c r="E491" s="13" t="s">
        <v>12</v>
      </c>
      <c r="F491" s="29">
        <v>125.97</v>
      </c>
    </row>
    <row r="492" hidden="1">
      <c r="A492" s="70">
        <v>46181.0</v>
      </c>
      <c r="B492" s="74"/>
      <c r="C492" s="74" t="s">
        <v>1050</v>
      </c>
      <c r="D492" s="10" t="s">
        <v>9</v>
      </c>
      <c r="E492" s="13" t="s">
        <v>12</v>
      </c>
      <c r="F492" s="29">
        <v>55.97</v>
      </c>
    </row>
    <row r="493" hidden="1">
      <c r="A493" s="70">
        <v>46181.0</v>
      </c>
      <c r="B493" s="74"/>
      <c r="C493" s="74" t="s">
        <v>1051</v>
      </c>
      <c r="D493" s="10" t="s">
        <v>9</v>
      </c>
      <c r="E493" s="13" t="s">
        <v>12</v>
      </c>
      <c r="F493" s="29">
        <v>215.97</v>
      </c>
    </row>
    <row r="494" hidden="1">
      <c r="A494" s="70">
        <v>46181.0</v>
      </c>
      <c r="B494" s="74"/>
      <c r="C494" s="74" t="s">
        <v>1052</v>
      </c>
      <c r="D494" s="10" t="s">
        <v>9</v>
      </c>
      <c r="E494" s="13" t="s">
        <v>12</v>
      </c>
      <c r="F494" s="29">
        <v>100.97</v>
      </c>
    </row>
    <row r="495" hidden="1">
      <c r="A495" s="70">
        <v>46181.0</v>
      </c>
      <c r="B495" s="20"/>
      <c r="C495" s="20" t="s">
        <v>1053</v>
      </c>
      <c r="D495" s="10" t="s">
        <v>9</v>
      </c>
      <c r="E495" s="13" t="s">
        <v>12</v>
      </c>
      <c r="F495" s="29">
        <v>57.97</v>
      </c>
    </row>
    <row r="496" hidden="1">
      <c r="A496" s="70">
        <v>46181.0</v>
      </c>
      <c r="B496" s="74"/>
      <c r="C496" s="74" t="s">
        <v>1054</v>
      </c>
      <c r="D496" s="10" t="s">
        <v>9</v>
      </c>
      <c r="E496" s="13" t="s">
        <v>12</v>
      </c>
      <c r="F496" s="29">
        <v>200.97</v>
      </c>
    </row>
    <row r="497" hidden="1">
      <c r="A497" s="70">
        <v>46181.0</v>
      </c>
      <c r="B497" s="74"/>
      <c r="C497" s="74" t="s">
        <v>1055</v>
      </c>
      <c r="D497" s="10" t="s">
        <v>9</v>
      </c>
      <c r="E497" s="13" t="s">
        <v>12</v>
      </c>
      <c r="F497" s="29">
        <v>89.97</v>
      </c>
    </row>
    <row r="498" hidden="1">
      <c r="A498" s="70">
        <v>46181.0</v>
      </c>
      <c r="B498" s="74"/>
      <c r="C498" s="74" t="s">
        <v>1056</v>
      </c>
      <c r="D498" s="10" t="s">
        <v>9</v>
      </c>
      <c r="E498" s="13" t="s">
        <v>12</v>
      </c>
      <c r="F498" s="29">
        <v>200.97</v>
      </c>
    </row>
    <row r="499" hidden="1">
      <c r="A499" s="23"/>
      <c r="B499" s="123"/>
      <c r="C499" s="123"/>
      <c r="D499" s="62"/>
      <c r="E499" s="23"/>
      <c r="F499" s="23"/>
      <c r="G499" s="23"/>
    </row>
    <row r="500" hidden="1">
      <c r="A500" s="70">
        <v>46182.0</v>
      </c>
      <c r="B500" s="74"/>
      <c r="C500" s="74" t="s">
        <v>1057</v>
      </c>
      <c r="D500" s="10" t="s">
        <v>9</v>
      </c>
      <c r="E500" s="13" t="s">
        <v>12</v>
      </c>
      <c r="F500" s="29">
        <v>165.97</v>
      </c>
    </row>
    <row r="501" hidden="1">
      <c r="A501" s="70">
        <v>46182.0</v>
      </c>
      <c r="B501" s="74"/>
      <c r="C501" s="74" t="s">
        <v>1058</v>
      </c>
      <c r="D501" s="10" t="s">
        <v>9</v>
      </c>
      <c r="E501" s="13" t="s">
        <v>12</v>
      </c>
      <c r="F501" s="29">
        <v>200.97</v>
      </c>
    </row>
    <row r="502" hidden="1">
      <c r="A502" s="70">
        <v>46182.0</v>
      </c>
      <c r="B502" s="74"/>
      <c r="C502" s="74" t="s">
        <v>1059</v>
      </c>
      <c r="D502" s="10" t="s">
        <v>9</v>
      </c>
      <c r="E502" s="13" t="s">
        <v>12</v>
      </c>
      <c r="F502" s="29">
        <v>150.97</v>
      </c>
    </row>
    <row r="503" hidden="1">
      <c r="A503" s="70">
        <v>46182.0</v>
      </c>
      <c r="B503" s="20"/>
      <c r="C503" s="20" t="s">
        <v>1060</v>
      </c>
      <c r="D503" s="10" t="s">
        <v>9</v>
      </c>
      <c r="E503" s="13" t="s">
        <v>12</v>
      </c>
      <c r="F503" s="29">
        <v>30.97</v>
      </c>
    </row>
    <row r="504" hidden="1">
      <c r="A504" s="70">
        <v>46182.0</v>
      </c>
      <c r="B504" s="74"/>
      <c r="C504" s="74" t="s">
        <v>1061</v>
      </c>
      <c r="D504" s="10" t="s">
        <v>9</v>
      </c>
      <c r="E504" s="13" t="s">
        <v>12</v>
      </c>
      <c r="F504" s="29">
        <v>105.97</v>
      </c>
    </row>
    <row r="505" hidden="1">
      <c r="A505" s="70">
        <v>46182.0</v>
      </c>
      <c r="B505" s="74"/>
      <c r="C505" s="74" t="s">
        <v>1062</v>
      </c>
      <c r="D505" s="10" t="s">
        <v>9</v>
      </c>
      <c r="E505" s="13" t="s">
        <v>12</v>
      </c>
      <c r="F505" s="29">
        <v>67.97</v>
      </c>
    </row>
    <row r="506" hidden="1">
      <c r="A506" s="70">
        <v>46182.0</v>
      </c>
      <c r="B506" s="20"/>
      <c r="C506" s="20" t="s">
        <v>1063</v>
      </c>
      <c r="D506" s="10" t="s">
        <v>9</v>
      </c>
      <c r="E506" s="13" t="s">
        <v>12</v>
      </c>
      <c r="F506" s="29">
        <v>55.97</v>
      </c>
    </row>
    <row r="507" hidden="1">
      <c r="A507" s="70">
        <v>46182.0</v>
      </c>
      <c r="B507" s="20"/>
      <c r="C507" s="20" t="s">
        <v>152</v>
      </c>
      <c r="D507" s="10" t="s">
        <v>9</v>
      </c>
      <c r="E507" s="13" t="s">
        <v>12</v>
      </c>
      <c r="F507" s="29">
        <v>125.97</v>
      </c>
    </row>
    <row r="508" hidden="1">
      <c r="A508" s="70">
        <v>46182.0</v>
      </c>
      <c r="B508" s="74"/>
      <c r="C508" s="74" t="s">
        <v>1065</v>
      </c>
      <c r="D508" s="10" t="s">
        <v>9</v>
      </c>
      <c r="E508" s="13" t="s">
        <v>12</v>
      </c>
      <c r="F508" s="29">
        <v>125.97</v>
      </c>
    </row>
    <row r="509" hidden="1">
      <c r="A509" s="70">
        <v>46182.0</v>
      </c>
      <c r="B509" s="74"/>
      <c r="C509" s="74" t="s">
        <v>1066</v>
      </c>
      <c r="D509" s="10" t="s">
        <v>9</v>
      </c>
      <c r="E509" s="13" t="s">
        <v>12</v>
      </c>
      <c r="F509" s="29">
        <v>25.97</v>
      </c>
    </row>
    <row r="510" hidden="1">
      <c r="A510" s="70">
        <v>46182.0</v>
      </c>
      <c r="B510" s="74"/>
      <c r="C510" s="74" t="s">
        <v>1067</v>
      </c>
      <c r="D510" s="10" t="s">
        <v>9</v>
      </c>
      <c r="E510" s="13" t="s">
        <v>12</v>
      </c>
      <c r="F510" s="29">
        <v>23.97</v>
      </c>
    </row>
    <row r="511" hidden="1">
      <c r="A511" s="70">
        <v>46182.0</v>
      </c>
      <c r="B511" s="20"/>
      <c r="C511" s="20" t="s">
        <v>806</v>
      </c>
      <c r="D511" s="10" t="s">
        <v>9</v>
      </c>
      <c r="E511" s="13" t="s">
        <v>12</v>
      </c>
      <c r="F511" s="29">
        <v>27.97</v>
      </c>
    </row>
    <row r="512" hidden="1">
      <c r="A512" s="70">
        <v>46182.0</v>
      </c>
      <c r="B512" s="96"/>
      <c r="C512" s="96" t="s">
        <v>789</v>
      </c>
      <c r="D512" s="10" t="s">
        <v>9</v>
      </c>
      <c r="E512" s="13" t="s">
        <v>12</v>
      </c>
      <c r="F512" s="29">
        <v>35.97</v>
      </c>
    </row>
    <row r="513" hidden="1">
      <c r="A513" s="70">
        <v>46182.0</v>
      </c>
      <c r="B513" s="74"/>
      <c r="C513" s="74" t="s">
        <v>1068</v>
      </c>
      <c r="D513" s="10" t="s">
        <v>9</v>
      </c>
      <c r="E513" s="13" t="s">
        <v>12</v>
      </c>
      <c r="F513" s="29">
        <v>30.97</v>
      </c>
    </row>
    <row r="514" hidden="1">
      <c r="A514" s="70">
        <v>46182.0</v>
      </c>
      <c r="B514" s="74"/>
      <c r="C514" s="74" t="s">
        <v>1069</v>
      </c>
      <c r="D514" s="10" t="s">
        <v>9</v>
      </c>
      <c r="E514" s="13" t="s">
        <v>12</v>
      </c>
      <c r="F514" s="29">
        <v>32.97</v>
      </c>
      <c r="G514" s="29">
        <v>4.0</v>
      </c>
    </row>
    <row r="515" hidden="1">
      <c r="A515" s="70">
        <v>46182.0</v>
      </c>
      <c r="B515" s="74"/>
      <c r="C515" s="74" t="s">
        <v>1070</v>
      </c>
      <c r="D515" s="10" t="s">
        <v>9</v>
      </c>
      <c r="E515" s="13" t="s">
        <v>12</v>
      </c>
      <c r="F515" s="29">
        <v>170.97</v>
      </c>
    </row>
    <row r="516" hidden="1">
      <c r="A516" s="70">
        <v>46182.0</v>
      </c>
      <c r="B516" s="74"/>
      <c r="C516" s="74" t="s">
        <v>1072</v>
      </c>
      <c r="D516" s="10" t="s">
        <v>9</v>
      </c>
      <c r="E516" s="13" t="s">
        <v>12</v>
      </c>
      <c r="F516" s="29">
        <v>40.97</v>
      </c>
      <c r="G516" s="29">
        <v>3.0</v>
      </c>
    </row>
    <row r="517" hidden="1">
      <c r="A517" s="70">
        <v>46182.0</v>
      </c>
      <c r="B517" s="74"/>
      <c r="C517" s="74" t="s">
        <v>1074</v>
      </c>
      <c r="D517" s="10" t="s">
        <v>9</v>
      </c>
      <c r="E517" s="13" t="s">
        <v>12</v>
      </c>
      <c r="F517" s="29">
        <v>75.97</v>
      </c>
    </row>
    <row r="518" hidden="1">
      <c r="A518" s="70">
        <v>46182.0</v>
      </c>
      <c r="B518" s="20"/>
      <c r="C518" s="20" t="s">
        <v>1075</v>
      </c>
      <c r="D518" s="10" t="s">
        <v>9</v>
      </c>
      <c r="E518" s="13" t="s">
        <v>12</v>
      </c>
      <c r="F518" s="29">
        <v>72.97</v>
      </c>
    </row>
    <row r="519" hidden="1">
      <c r="A519" s="70">
        <v>46182.0</v>
      </c>
      <c r="B519" s="74"/>
      <c r="C519" s="74" t="s">
        <v>1077</v>
      </c>
      <c r="D519" s="10" t="s">
        <v>9</v>
      </c>
      <c r="E519" s="13" t="s">
        <v>12</v>
      </c>
      <c r="F519" s="29">
        <v>65.97</v>
      </c>
    </row>
    <row r="520" hidden="1">
      <c r="A520" s="70">
        <v>46182.0</v>
      </c>
      <c r="B520" s="74"/>
      <c r="C520" s="74" t="s">
        <v>1079</v>
      </c>
      <c r="D520" s="10" t="s">
        <v>9</v>
      </c>
      <c r="E520" s="13" t="s">
        <v>12</v>
      </c>
      <c r="F520" s="29">
        <v>120.97</v>
      </c>
    </row>
    <row r="521" hidden="1">
      <c r="A521" s="70">
        <v>46182.0</v>
      </c>
      <c r="B521" s="74"/>
      <c r="C521" s="74" t="s">
        <v>1080</v>
      </c>
      <c r="D521" s="10" t="s">
        <v>9</v>
      </c>
      <c r="E521" s="13" t="s">
        <v>12</v>
      </c>
      <c r="F521" s="29">
        <v>28.97</v>
      </c>
    </row>
    <row r="522" hidden="1">
      <c r="A522" s="70">
        <v>46182.0</v>
      </c>
      <c r="B522" s="20"/>
      <c r="C522" s="20" t="s">
        <v>622</v>
      </c>
      <c r="D522" s="10" t="s">
        <v>9</v>
      </c>
      <c r="E522" s="13" t="s">
        <v>12</v>
      </c>
      <c r="F522" s="29">
        <v>50.97</v>
      </c>
    </row>
    <row r="523" hidden="1">
      <c r="A523" s="70">
        <v>46182.0</v>
      </c>
      <c r="B523" s="74"/>
      <c r="C523" s="74" t="s">
        <v>1081</v>
      </c>
      <c r="D523" s="10" t="s">
        <v>9</v>
      </c>
      <c r="E523" s="13" t="s">
        <v>12</v>
      </c>
      <c r="F523" s="29">
        <v>29.97</v>
      </c>
    </row>
    <row r="524" hidden="1">
      <c r="A524" s="70">
        <v>46182.0</v>
      </c>
      <c r="B524" s="20"/>
      <c r="C524" s="20" t="s">
        <v>1082</v>
      </c>
      <c r="D524" s="10" t="s">
        <v>9</v>
      </c>
      <c r="E524" s="13" t="s">
        <v>12</v>
      </c>
      <c r="F524" s="29">
        <v>45.97</v>
      </c>
    </row>
    <row r="525" hidden="1">
      <c r="A525" s="23"/>
      <c r="B525" s="59"/>
      <c r="C525" s="59"/>
      <c r="D525" s="62"/>
      <c r="E525" s="23"/>
      <c r="F525" s="23"/>
      <c r="G525" s="23"/>
      <c r="H525" s="23"/>
    </row>
    <row r="526" hidden="1">
      <c r="A526" s="70">
        <v>46183.0</v>
      </c>
      <c r="B526" s="74"/>
      <c r="C526" s="74" t="s">
        <v>1083</v>
      </c>
      <c r="D526" s="10" t="s">
        <v>9</v>
      </c>
      <c r="E526" s="13" t="s">
        <v>12</v>
      </c>
      <c r="F526" s="29">
        <v>20.97</v>
      </c>
    </row>
    <row r="527" hidden="1">
      <c r="A527" s="70">
        <v>46183.0</v>
      </c>
      <c r="B527" s="20"/>
      <c r="C527" s="20" t="s">
        <v>1084</v>
      </c>
      <c r="D527" s="10" t="s">
        <v>9</v>
      </c>
      <c r="E527" s="13" t="s">
        <v>12</v>
      </c>
      <c r="F527" s="29">
        <v>23.97</v>
      </c>
    </row>
    <row r="528" hidden="1">
      <c r="A528" s="70">
        <v>46183.0</v>
      </c>
      <c r="B528" s="20"/>
      <c r="C528" s="20" t="s">
        <v>1085</v>
      </c>
      <c r="D528" s="10" t="s">
        <v>9</v>
      </c>
      <c r="E528" s="13" t="s">
        <v>12</v>
      </c>
      <c r="F528" s="29">
        <v>21.97</v>
      </c>
    </row>
    <row r="529" hidden="1">
      <c r="A529" s="70">
        <v>46183.0</v>
      </c>
      <c r="B529" s="74"/>
      <c r="C529" s="74" t="s">
        <v>1086</v>
      </c>
      <c r="D529" s="10" t="s">
        <v>9</v>
      </c>
      <c r="E529" s="13" t="s">
        <v>12</v>
      </c>
      <c r="F529" s="29">
        <v>22.97</v>
      </c>
    </row>
    <row r="530" hidden="1">
      <c r="A530" s="70">
        <v>46183.0</v>
      </c>
      <c r="B530" s="20"/>
      <c r="C530" s="20" t="s">
        <v>1088</v>
      </c>
      <c r="D530" s="10" t="s">
        <v>9</v>
      </c>
      <c r="E530" s="13" t="s">
        <v>12</v>
      </c>
      <c r="F530" s="29">
        <v>38.97</v>
      </c>
    </row>
    <row r="531" hidden="1">
      <c r="A531" s="70">
        <v>46183.0</v>
      </c>
      <c r="B531" s="20"/>
      <c r="C531" s="20" t="s">
        <v>1089</v>
      </c>
      <c r="D531" s="10" t="s">
        <v>9</v>
      </c>
      <c r="E531" s="13" t="s">
        <v>12</v>
      </c>
      <c r="F531" s="29">
        <v>50.97</v>
      </c>
    </row>
    <row r="532" hidden="1">
      <c r="A532" s="70">
        <v>46183.0</v>
      </c>
      <c r="B532" s="20"/>
      <c r="C532" s="20" t="s">
        <v>1090</v>
      </c>
      <c r="D532" s="10" t="s">
        <v>9</v>
      </c>
      <c r="E532" s="13" t="s">
        <v>12</v>
      </c>
      <c r="F532" s="29">
        <v>150.97</v>
      </c>
    </row>
    <row r="533" hidden="1">
      <c r="A533" s="70">
        <v>46183.0</v>
      </c>
      <c r="B533" s="20"/>
      <c r="C533" s="20" t="s">
        <v>1091</v>
      </c>
      <c r="D533" s="10" t="s">
        <v>9</v>
      </c>
      <c r="E533" s="13" t="s">
        <v>12</v>
      </c>
      <c r="F533" s="29">
        <v>182.97</v>
      </c>
    </row>
    <row r="534" hidden="1">
      <c r="A534" s="70">
        <v>46183.0</v>
      </c>
      <c r="B534" s="20"/>
      <c r="C534" s="20" t="s">
        <v>175</v>
      </c>
      <c r="D534" s="10" t="s">
        <v>9</v>
      </c>
      <c r="E534" s="13" t="s">
        <v>12</v>
      </c>
      <c r="F534" s="29">
        <v>42.97</v>
      </c>
    </row>
    <row r="535" hidden="1">
      <c r="A535" s="70">
        <v>46183.0</v>
      </c>
      <c r="B535" s="20"/>
      <c r="C535" s="20" t="s">
        <v>1092</v>
      </c>
      <c r="D535" s="10" t="s">
        <v>9</v>
      </c>
      <c r="E535" s="13" t="s">
        <v>12</v>
      </c>
      <c r="F535" s="29">
        <v>150.97</v>
      </c>
    </row>
    <row r="536" hidden="1">
      <c r="A536" s="70">
        <v>46183.0</v>
      </c>
      <c r="B536" s="20"/>
      <c r="C536" s="20" t="s">
        <v>570</v>
      </c>
      <c r="D536" s="10" t="s">
        <v>9</v>
      </c>
      <c r="E536" s="13" t="s">
        <v>12</v>
      </c>
      <c r="F536" s="29">
        <v>185.97</v>
      </c>
    </row>
    <row r="537" hidden="1">
      <c r="A537" s="70">
        <v>46183.0</v>
      </c>
      <c r="B537" s="20"/>
      <c r="C537" s="20" t="s">
        <v>1093</v>
      </c>
      <c r="D537" s="10" t="s">
        <v>9</v>
      </c>
      <c r="E537" s="13" t="s">
        <v>12</v>
      </c>
      <c r="F537" s="29">
        <v>35.97</v>
      </c>
    </row>
    <row r="538" hidden="1">
      <c r="A538" s="70">
        <v>46183.0</v>
      </c>
      <c r="B538" s="20"/>
      <c r="C538" s="20" t="s">
        <v>1094</v>
      </c>
      <c r="D538" s="10" t="s">
        <v>9</v>
      </c>
      <c r="E538" s="13" t="s">
        <v>12</v>
      </c>
      <c r="F538" s="29">
        <v>175.97</v>
      </c>
    </row>
    <row r="539" hidden="1">
      <c r="A539" s="70">
        <v>46183.0</v>
      </c>
      <c r="B539" s="20"/>
      <c r="C539" s="20" t="s">
        <v>1095</v>
      </c>
      <c r="D539" s="10" t="s">
        <v>9</v>
      </c>
      <c r="E539" s="13" t="s">
        <v>12</v>
      </c>
      <c r="F539" s="29">
        <v>110.97</v>
      </c>
    </row>
    <row r="540" hidden="1">
      <c r="A540" s="70">
        <v>46183.0</v>
      </c>
      <c r="B540" s="20"/>
      <c r="C540" s="20" t="s">
        <v>1096</v>
      </c>
      <c r="D540" s="10" t="s">
        <v>9</v>
      </c>
      <c r="E540" s="13" t="s">
        <v>12</v>
      </c>
      <c r="F540" s="29">
        <v>80.97</v>
      </c>
    </row>
    <row r="541" hidden="1">
      <c r="A541" s="70">
        <v>46183.0</v>
      </c>
      <c r="B541" s="20"/>
      <c r="C541" s="20" t="s">
        <v>1097</v>
      </c>
      <c r="D541" s="10" t="s">
        <v>9</v>
      </c>
      <c r="E541" s="13" t="s">
        <v>12</v>
      </c>
      <c r="F541" s="29">
        <v>165.97</v>
      </c>
    </row>
    <row r="542" hidden="1">
      <c r="A542" s="70">
        <v>46183.0</v>
      </c>
      <c r="B542" s="20"/>
      <c r="C542" s="20" t="s">
        <v>1098</v>
      </c>
      <c r="D542" s="10" t="s">
        <v>9</v>
      </c>
      <c r="E542" s="13" t="s">
        <v>12</v>
      </c>
      <c r="F542" s="29">
        <v>250.97</v>
      </c>
    </row>
    <row r="543" hidden="1">
      <c r="A543" s="70">
        <v>46183.0</v>
      </c>
      <c r="B543" s="20"/>
      <c r="C543" s="20" t="s">
        <v>192</v>
      </c>
      <c r="D543" s="10" t="s">
        <v>9</v>
      </c>
      <c r="E543" s="13" t="s">
        <v>12</v>
      </c>
      <c r="F543" s="29">
        <v>85.97</v>
      </c>
      <c r="G543" s="29">
        <v>4.0</v>
      </c>
    </row>
    <row r="544" hidden="1">
      <c r="A544" s="70">
        <v>46183.0</v>
      </c>
      <c r="B544" s="74"/>
      <c r="C544" s="74" t="s">
        <v>467</v>
      </c>
      <c r="D544" s="10" t="s">
        <v>9</v>
      </c>
      <c r="E544" s="13" t="s">
        <v>12</v>
      </c>
      <c r="F544" s="29">
        <v>38.97</v>
      </c>
    </row>
    <row r="545" hidden="1">
      <c r="A545" s="98"/>
      <c r="B545" s="59"/>
      <c r="C545" s="59"/>
      <c r="D545" s="97"/>
      <c r="E545" s="69"/>
      <c r="F545" s="23"/>
      <c r="G545" s="23"/>
    </row>
    <row r="546" hidden="1">
      <c r="A546" s="70">
        <v>46184.0</v>
      </c>
      <c r="B546" s="74"/>
      <c r="C546" s="74" t="s">
        <v>1099</v>
      </c>
      <c r="D546" s="10" t="s">
        <v>9</v>
      </c>
      <c r="E546" s="13" t="s">
        <v>12</v>
      </c>
      <c r="F546" s="29">
        <v>21.97</v>
      </c>
    </row>
    <row r="547" hidden="1">
      <c r="A547" s="70">
        <v>46184.0</v>
      </c>
      <c r="B547" s="20"/>
      <c r="C547" s="20" t="s">
        <v>1100</v>
      </c>
      <c r="D547" s="10" t="s">
        <v>9</v>
      </c>
      <c r="E547" s="13" t="s">
        <v>12</v>
      </c>
      <c r="F547" s="29">
        <v>30.97</v>
      </c>
    </row>
    <row r="548" hidden="1">
      <c r="A548" s="70">
        <v>46184.0</v>
      </c>
      <c r="B548" s="20"/>
      <c r="C548" s="20" t="s">
        <v>1101</v>
      </c>
      <c r="D548" s="10" t="s">
        <v>9</v>
      </c>
      <c r="E548" s="13" t="s">
        <v>12</v>
      </c>
      <c r="F548" s="29">
        <v>75.97</v>
      </c>
    </row>
    <row r="549" hidden="1">
      <c r="A549" s="70">
        <v>46184.0</v>
      </c>
      <c r="B549" s="20"/>
      <c r="C549" s="20" t="s">
        <v>292</v>
      </c>
      <c r="D549" s="10" t="s">
        <v>9</v>
      </c>
      <c r="E549" s="13" t="s">
        <v>12</v>
      </c>
      <c r="F549" s="29">
        <v>30.97</v>
      </c>
      <c r="G549" s="29">
        <v>2.0</v>
      </c>
    </row>
    <row r="550" hidden="1">
      <c r="A550" s="70">
        <v>46184.0</v>
      </c>
      <c r="B550" s="74"/>
      <c r="C550" s="74" t="s">
        <v>1102</v>
      </c>
      <c r="D550" s="10" t="s">
        <v>9</v>
      </c>
      <c r="E550" s="13" t="s">
        <v>12</v>
      </c>
      <c r="F550" s="29">
        <v>25.97</v>
      </c>
    </row>
    <row r="551" hidden="1">
      <c r="A551" s="70">
        <v>46184.0</v>
      </c>
      <c r="B551" s="74"/>
      <c r="C551" s="74" t="s">
        <v>1103</v>
      </c>
      <c r="D551" s="10" t="s">
        <v>9</v>
      </c>
      <c r="E551" s="13" t="s">
        <v>12</v>
      </c>
    </row>
    <row r="552" hidden="1">
      <c r="A552" s="98"/>
      <c r="B552" s="59"/>
      <c r="C552" s="59"/>
      <c r="D552" s="97"/>
      <c r="E552" s="69"/>
      <c r="F552" s="23"/>
      <c r="G552" s="23"/>
    </row>
    <row r="553" hidden="1">
      <c r="A553" s="70">
        <v>46190.0</v>
      </c>
      <c r="B553" s="74"/>
      <c r="C553" s="74" t="s">
        <v>1104</v>
      </c>
      <c r="D553" s="10" t="s">
        <v>9</v>
      </c>
      <c r="E553" s="13" t="s">
        <v>12</v>
      </c>
      <c r="F553" s="29">
        <v>125.97</v>
      </c>
    </row>
    <row r="554" hidden="1">
      <c r="A554" s="70">
        <v>46190.0</v>
      </c>
      <c r="B554" s="74"/>
      <c r="C554" s="74" t="s">
        <v>1105</v>
      </c>
      <c r="D554" s="10" t="s">
        <v>9</v>
      </c>
      <c r="E554" s="13" t="s">
        <v>12</v>
      </c>
      <c r="F554" s="29">
        <v>30.97</v>
      </c>
    </row>
    <row r="555" hidden="1">
      <c r="A555" s="70">
        <v>46190.0</v>
      </c>
      <c r="B555" s="74"/>
      <c r="C555" s="74" t="s">
        <v>1106</v>
      </c>
      <c r="D555" s="10" t="s">
        <v>9</v>
      </c>
      <c r="E555" s="13" t="s">
        <v>12</v>
      </c>
      <c r="F555" s="29">
        <v>99.97</v>
      </c>
    </row>
    <row r="556" hidden="1">
      <c r="A556" s="70">
        <v>46190.0</v>
      </c>
      <c r="B556" s="74"/>
      <c r="C556" s="74" t="s">
        <v>1107</v>
      </c>
      <c r="D556" s="10" t="s">
        <v>9</v>
      </c>
      <c r="E556" s="13" t="s">
        <v>12</v>
      </c>
      <c r="F556" s="29">
        <v>90.97</v>
      </c>
    </row>
    <row r="557" hidden="1">
      <c r="A557" s="70">
        <v>46190.0</v>
      </c>
      <c r="B557" s="74"/>
      <c r="C557" s="74" t="s">
        <v>1108</v>
      </c>
      <c r="D557" s="10" t="s">
        <v>9</v>
      </c>
      <c r="E557" s="13" t="s">
        <v>12</v>
      </c>
      <c r="F557" s="29">
        <v>50.97</v>
      </c>
    </row>
    <row r="558" hidden="1">
      <c r="A558" s="70">
        <v>46190.0</v>
      </c>
      <c r="B558" s="74"/>
      <c r="C558" s="74" t="s">
        <v>1109</v>
      </c>
      <c r="D558" s="10" t="s">
        <v>9</v>
      </c>
      <c r="E558" s="13" t="s">
        <v>12</v>
      </c>
      <c r="F558" s="29">
        <v>35.97</v>
      </c>
    </row>
    <row r="559" hidden="1">
      <c r="A559" s="70">
        <v>46190.0</v>
      </c>
      <c r="B559" s="74"/>
      <c r="C559" s="74" t="s">
        <v>1110</v>
      </c>
      <c r="D559" s="10" t="s">
        <v>9</v>
      </c>
      <c r="E559" s="13" t="s">
        <v>12</v>
      </c>
      <c r="F559" s="29">
        <v>40.97</v>
      </c>
    </row>
    <row r="560" hidden="1">
      <c r="A560" s="70">
        <v>46190.0</v>
      </c>
      <c r="B560" s="74"/>
      <c r="C560" s="74" t="s">
        <v>1111</v>
      </c>
      <c r="D560" s="10" t="s">
        <v>9</v>
      </c>
      <c r="E560" s="13" t="s">
        <v>12</v>
      </c>
      <c r="F560" s="29">
        <v>50.97</v>
      </c>
    </row>
    <row r="561" hidden="1">
      <c r="A561" s="70">
        <v>46190.0</v>
      </c>
      <c r="B561" s="74"/>
      <c r="C561" s="74" t="s">
        <v>1112</v>
      </c>
      <c r="D561" s="10" t="s">
        <v>9</v>
      </c>
      <c r="E561" s="13" t="s">
        <v>12</v>
      </c>
      <c r="F561" s="29">
        <v>235.97</v>
      </c>
    </row>
    <row r="562" hidden="1">
      <c r="A562" s="70">
        <v>46190.0</v>
      </c>
      <c r="B562" s="20"/>
      <c r="C562" s="20" t="s">
        <v>167</v>
      </c>
      <c r="D562" s="10" t="s">
        <v>9</v>
      </c>
      <c r="E562" s="13" t="s">
        <v>12</v>
      </c>
      <c r="F562" s="29">
        <v>50.97</v>
      </c>
    </row>
    <row r="563" hidden="1">
      <c r="A563" s="70">
        <v>46190.0</v>
      </c>
      <c r="B563" s="20"/>
      <c r="C563" s="20" t="s">
        <v>1113</v>
      </c>
      <c r="D563" s="10" t="s">
        <v>9</v>
      </c>
      <c r="E563" s="13" t="s">
        <v>12</v>
      </c>
      <c r="F563" s="29">
        <v>175.97</v>
      </c>
    </row>
    <row r="564" hidden="1">
      <c r="A564" s="70">
        <v>46190.0</v>
      </c>
      <c r="B564" s="74"/>
      <c r="C564" s="74" t="s">
        <v>164</v>
      </c>
      <c r="D564" s="10" t="s">
        <v>9</v>
      </c>
      <c r="E564" s="13" t="s">
        <v>12</v>
      </c>
      <c r="F564" s="29">
        <v>50.97</v>
      </c>
    </row>
    <row r="565" hidden="1">
      <c r="A565" s="70">
        <v>46190.0</v>
      </c>
      <c r="B565" s="20"/>
      <c r="C565" s="20" t="s">
        <v>1114</v>
      </c>
      <c r="D565" s="10" t="s">
        <v>9</v>
      </c>
      <c r="E565" s="13" t="s">
        <v>12</v>
      </c>
      <c r="F565" s="29">
        <v>125.97</v>
      </c>
    </row>
    <row r="566" hidden="1">
      <c r="A566" s="70">
        <v>46190.0</v>
      </c>
      <c r="B566" s="74"/>
      <c r="C566" s="74" t="s">
        <v>1115</v>
      </c>
      <c r="D566" s="10" t="s">
        <v>9</v>
      </c>
      <c r="E566" s="13" t="s">
        <v>12</v>
      </c>
      <c r="F566" s="29">
        <v>125.97</v>
      </c>
    </row>
    <row r="567" hidden="1">
      <c r="A567" s="70">
        <v>46190.0</v>
      </c>
      <c r="B567" s="74"/>
      <c r="C567" s="74" t="s">
        <v>77</v>
      </c>
      <c r="D567" s="10" t="s">
        <v>9</v>
      </c>
      <c r="E567" s="13" t="s">
        <v>12</v>
      </c>
      <c r="F567" s="29">
        <v>85.97</v>
      </c>
    </row>
    <row r="568" hidden="1">
      <c r="A568" s="23"/>
      <c r="B568" s="59"/>
      <c r="C568" s="59"/>
      <c r="D568" s="62"/>
      <c r="E568" s="23"/>
      <c r="F568" s="23"/>
      <c r="G568" s="23"/>
    </row>
    <row r="569" hidden="1">
      <c r="A569" s="70">
        <v>46191.0</v>
      </c>
      <c r="B569" s="74"/>
      <c r="C569" s="74" t="s">
        <v>149</v>
      </c>
      <c r="D569" s="10" t="s">
        <v>9</v>
      </c>
      <c r="E569" s="13" t="s">
        <v>12</v>
      </c>
      <c r="F569" s="29">
        <v>55.97</v>
      </c>
    </row>
    <row r="570" hidden="1">
      <c r="A570" s="70">
        <v>46191.0</v>
      </c>
      <c r="B570" s="74"/>
      <c r="C570" s="74" t="s">
        <v>233</v>
      </c>
      <c r="D570" s="10" t="s">
        <v>9</v>
      </c>
      <c r="E570" s="13" t="s">
        <v>12</v>
      </c>
      <c r="F570" s="29">
        <v>75.97</v>
      </c>
    </row>
    <row r="571" hidden="1">
      <c r="A571" s="70">
        <v>46191.0</v>
      </c>
      <c r="B571" s="20"/>
      <c r="C571" s="20" t="s">
        <v>1116</v>
      </c>
      <c r="D571" s="10" t="s">
        <v>9</v>
      </c>
      <c r="E571" s="13" t="s">
        <v>12</v>
      </c>
      <c r="F571" s="29">
        <v>85.97</v>
      </c>
    </row>
    <row r="572" hidden="1">
      <c r="A572" s="70">
        <v>46191.0</v>
      </c>
      <c r="B572" s="74"/>
      <c r="C572" s="74" t="s">
        <v>1117</v>
      </c>
      <c r="D572" s="10" t="s">
        <v>9</v>
      </c>
      <c r="E572" s="13" t="s">
        <v>12</v>
      </c>
      <c r="F572" s="29">
        <v>85.97</v>
      </c>
    </row>
    <row r="573" hidden="1">
      <c r="A573" s="70">
        <v>46191.0</v>
      </c>
      <c r="B573" s="74"/>
      <c r="C573" s="74" t="s">
        <v>1118</v>
      </c>
      <c r="D573" s="10" t="s">
        <v>9</v>
      </c>
      <c r="E573" s="13" t="s">
        <v>12</v>
      </c>
      <c r="F573" s="29">
        <v>40.97</v>
      </c>
    </row>
    <row r="574" hidden="1">
      <c r="A574" s="70">
        <v>46191.0</v>
      </c>
      <c r="B574" s="74"/>
      <c r="C574" s="74" t="s">
        <v>1119</v>
      </c>
      <c r="D574" s="10" t="s">
        <v>9</v>
      </c>
      <c r="E574" s="13" t="s">
        <v>12</v>
      </c>
      <c r="F574" s="29">
        <v>70.97</v>
      </c>
    </row>
    <row r="575" hidden="1">
      <c r="A575" s="70">
        <v>46191.0</v>
      </c>
      <c r="B575" s="74"/>
      <c r="C575" s="74" t="s">
        <v>1120</v>
      </c>
      <c r="D575" s="10" t="s">
        <v>9</v>
      </c>
      <c r="E575" s="13" t="s">
        <v>12</v>
      </c>
      <c r="F575" s="29">
        <v>200.97</v>
      </c>
    </row>
    <row r="576" hidden="1">
      <c r="A576" s="70">
        <v>46191.0</v>
      </c>
      <c r="B576" s="65"/>
      <c r="C576" s="65" t="s">
        <v>1121</v>
      </c>
      <c r="D576" s="10" t="s">
        <v>9</v>
      </c>
      <c r="E576" s="13" t="s">
        <v>12</v>
      </c>
      <c r="F576" s="29">
        <v>145.97</v>
      </c>
    </row>
    <row r="577" hidden="1">
      <c r="A577" s="70">
        <v>46191.0</v>
      </c>
      <c r="B577" s="20"/>
      <c r="C577" s="20" t="s">
        <v>1122</v>
      </c>
      <c r="D577" s="10" t="s">
        <v>9</v>
      </c>
      <c r="E577" s="13" t="s">
        <v>12</v>
      </c>
      <c r="F577" s="29">
        <v>70.97</v>
      </c>
    </row>
    <row r="578" hidden="1">
      <c r="A578" s="70">
        <v>46191.0</v>
      </c>
      <c r="B578" s="74"/>
      <c r="C578" s="74" t="s">
        <v>1123</v>
      </c>
      <c r="D578" s="10" t="s">
        <v>9</v>
      </c>
      <c r="E578" s="13" t="s">
        <v>12</v>
      </c>
      <c r="F578" s="29">
        <v>80.97</v>
      </c>
    </row>
    <row r="579" hidden="1">
      <c r="A579" s="70">
        <v>46191.0</v>
      </c>
      <c r="B579" s="74"/>
      <c r="C579" s="74" t="s">
        <v>1124</v>
      </c>
      <c r="D579" s="10" t="s">
        <v>9</v>
      </c>
      <c r="E579" s="13" t="s">
        <v>12</v>
      </c>
      <c r="F579" s="29">
        <v>35.97</v>
      </c>
    </row>
    <row r="580" hidden="1">
      <c r="A580" s="70">
        <v>46191.0</v>
      </c>
      <c r="B580" s="74"/>
      <c r="C580" s="74" t="s">
        <v>1125</v>
      </c>
      <c r="D580" s="10" t="s">
        <v>9</v>
      </c>
      <c r="E580" s="13" t="s">
        <v>12</v>
      </c>
      <c r="F580" s="29">
        <v>200.97</v>
      </c>
    </row>
    <row r="581" hidden="1">
      <c r="A581" s="70">
        <v>46191.0</v>
      </c>
      <c r="B581" s="74"/>
      <c r="C581" s="74" t="s">
        <v>134</v>
      </c>
      <c r="D581" s="10" t="s">
        <v>9</v>
      </c>
      <c r="E581" s="13" t="s">
        <v>12</v>
      </c>
      <c r="F581" s="29">
        <v>45.97</v>
      </c>
    </row>
    <row r="582" hidden="1">
      <c r="A582" s="70">
        <v>46191.0</v>
      </c>
      <c r="B582" s="20"/>
      <c r="C582" s="20" t="s">
        <v>1126</v>
      </c>
      <c r="D582" s="10" t="s">
        <v>9</v>
      </c>
      <c r="E582" s="13" t="s">
        <v>12</v>
      </c>
      <c r="F582" s="29">
        <v>45.97</v>
      </c>
    </row>
    <row r="583" hidden="1">
      <c r="A583" s="70">
        <v>46191.0</v>
      </c>
      <c r="B583" s="74"/>
      <c r="C583" s="74" t="s">
        <v>1127</v>
      </c>
      <c r="D583" s="10" t="s">
        <v>9</v>
      </c>
      <c r="E583" s="13" t="s">
        <v>12</v>
      </c>
      <c r="F583" s="29">
        <v>150.97</v>
      </c>
    </row>
    <row r="584" hidden="1">
      <c r="A584" s="23"/>
      <c r="B584" s="59"/>
      <c r="C584" s="59"/>
      <c r="D584" s="62"/>
      <c r="E584" s="23"/>
      <c r="F584" s="23"/>
      <c r="G584" s="23"/>
    </row>
    <row r="585" hidden="1">
      <c r="A585" s="70">
        <v>46197.0</v>
      </c>
      <c r="B585" s="74"/>
      <c r="C585" s="74">
        <v>5.304517207E9</v>
      </c>
      <c r="D585" s="10" t="s">
        <v>9</v>
      </c>
      <c r="E585" s="13" t="s">
        <v>12</v>
      </c>
      <c r="F585" s="29">
        <v>38.97</v>
      </c>
    </row>
    <row r="586" hidden="1">
      <c r="A586" s="70">
        <v>46197.0</v>
      </c>
      <c r="B586" s="96"/>
      <c r="C586" s="96">
        <v>5.304517665E9</v>
      </c>
      <c r="D586" s="10" t="s">
        <v>9</v>
      </c>
      <c r="E586" s="13" t="s">
        <v>12</v>
      </c>
      <c r="F586" s="29">
        <v>185.97</v>
      </c>
    </row>
    <row r="587" hidden="1">
      <c r="A587" s="70">
        <v>46197.0</v>
      </c>
      <c r="B587" s="96"/>
      <c r="C587" s="96">
        <v>5.304530651E9</v>
      </c>
      <c r="D587" s="10" t="s">
        <v>9</v>
      </c>
      <c r="E587" s="13" t="s">
        <v>12</v>
      </c>
      <c r="F587" s="29">
        <v>38.97</v>
      </c>
    </row>
    <row r="588" hidden="1">
      <c r="A588" s="70">
        <v>46197.0</v>
      </c>
      <c r="B588" s="96"/>
      <c r="C588" s="96">
        <v>5.304531506E9</v>
      </c>
      <c r="D588" s="10" t="s">
        <v>9</v>
      </c>
      <c r="E588" s="13" t="s">
        <v>12</v>
      </c>
      <c r="F588" s="29">
        <v>95.97</v>
      </c>
    </row>
    <row r="589" hidden="1">
      <c r="A589" s="70">
        <v>46197.0</v>
      </c>
      <c r="B589" s="96"/>
      <c r="C589" s="96">
        <v>5.304529484E9</v>
      </c>
      <c r="D589" s="10" t="s">
        <v>9</v>
      </c>
      <c r="E589" s="13" t="s">
        <v>12</v>
      </c>
      <c r="F589" s="29">
        <v>75.97</v>
      </c>
    </row>
    <row r="590" hidden="1">
      <c r="A590" s="70">
        <v>46197.0</v>
      </c>
      <c r="B590" s="121"/>
      <c r="C590" s="121">
        <v>8.0884311E8</v>
      </c>
      <c r="D590" s="10" t="s">
        <v>9</v>
      </c>
      <c r="E590" s="13" t="s">
        <v>12</v>
      </c>
      <c r="F590" s="29">
        <v>55.97</v>
      </c>
    </row>
    <row r="591" hidden="1">
      <c r="A591" s="70">
        <v>46197.0</v>
      </c>
      <c r="B591" s="96"/>
      <c r="C591" s="96">
        <v>5.304513456E9</v>
      </c>
      <c r="D591" s="10" t="s">
        <v>9</v>
      </c>
      <c r="E591" s="13" t="s">
        <v>12</v>
      </c>
      <c r="F591" s="29">
        <v>75.97</v>
      </c>
    </row>
    <row r="592" hidden="1">
      <c r="A592" s="70">
        <v>46197.0</v>
      </c>
      <c r="B592" s="96"/>
      <c r="C592" s="96">
        <v>5.304529754E9</v>
      </c>
      <c r="D592" s="10" t="s">
        <v>9</v>
      </c>
      <c r="E592" s="13" t="s">
        <v>12</v>
      </c>
      <c r="F592" s="29">
        <v>27.97</v>
      </c>
    </row>
    <row r="593" hidden="1">
      <c r="A593" s="70">
        <v>46197.0</v>
      </c>
      <c r="B593" s="126"/>
      <c r="C593" s="126">
        <v>3.8740476E8</v>
      </c>
      <c r="D593" s="10" t="s">
        <v>9</v>
      </c>
      <c r="E593" s="13" t="s">
        <v>12</v>
      </c>
      <c r="F593" s="29">
        <v>45.97</v>
      </c>
    </row>
    <row r="594" hidden="1">
      <c r="A594" s="70">
        <v>46197.0</v>
      </c>
      <c r="B594" s="96"/>
      <c r="C594" s="96">
        <v>5.304525109E9</v>
      </c>
      <c r="D594" s="10" t="s">
        <v>9</v>
      </c>
      <c r="E594" s="13" t="s">
        <v>12</v>
      </c>
      <c r="F594" s="29">
        <v>35.97</v>
      </c>
    </row>
    <row r="595" hidden="1">
      <c r="A595" s="70">
        <v>46197.0</v>
      </c>
      <c r="B595" s="96"/>
      <c r="C595" s="96">
        <v>5.304514258E9</v>
      </c>
      <c r="D595" s="10" t="s">
        <v>9</v>
      </c>
      <c r="E595" s="13" t="s">
        <v>12</v>
      </c>
      <c r="F595" s="29">
        <v>23.97</v>
      </c>
    </row>
    <row r="596" hidden="1">
      <c r="A596" s="70">
        <v>46197.0</v>
      </c>
      <c r="B596" s="96"/>
      <c r="C596" s="96">
        <v>5.304516862E9</v>
      </c>
      <c r="D596" s="10" t="s">
        <v>9</v>
      </c>
      <c r="E596" s="13" t="s">
        <v>12</v>
      </c>
      <c r="F596" s="29">
        <v>75.97</v>
      </c>
    </row>
    <row r="597" hidden="1">
      <c r="A597" s="70">
        <v>46197.0</v>
      </c>
      <c r="B597" s="121"/>
      <c r="C597" s="121" t="s">
        <v>1130</v>
      </c>
      <c r="D597" s="10" t="s">
        <v>9</v>
      </c>
      <c r="E597" s="13" t="s">
        <v>12</v>
      </c>
      <c r="F597" s="99" t="s">
        <v>1131</v>
      </c>
    </row>
    <row r="598" hidden="1">
      <c r="A598" s="70">
        <v>46197.0</v>
      </c>
      <c r="B598" s="65"/>
      <c r="C598" s="65" t="s">
        <v>1132</v>
      </c>
      <c r="D598" s="10" t="s">
        <v>9</v>
      </c>
      <c r="E598" s="13" t="s">
        <v>12</v>
      </c>
      <c r="F598" s="29">
        <v>37.97</v>
      </c>
      <c r="G598" s="29">
        <v>2.0</v>
      </c>
    </row>
    <row r="599" hidden="1">
      <c r="A599" s="70">
        <v>46197.0</v>
      </c>
      <c r="B599" s="20"/>
      <c r="C599" s="20">
        <v>5.304514166E9</v>
      </c>
      <c r="D599" s="10" t="s">
        <v>9</v>
      </c>
      <c r="E599" s="13" t="s">
        <v>12</v>
      </c>
      <c r="F599" s="29">
        <v>95.97</v>
      </c>
    </row>
    <row r="600" hidden="1">
      <c r="A600" s="70">
        <v>46197.0</v>
      </c>
      <c r="B600" s="121"/>
      <c r="C600" s="121">
        <v>5.304505209E9</v>
      </c>
      <c r="D600" s="10" t="s">
        <v>9</v>
      </c>
      <c r="E600" s="13" t="s">
        <v>12</v>
      </c>
      <c r="F600" s="29">
        <v>60.97</v>
      </c>
    </row>
    <row r="601" hidden="1">
      <c r="A601" s="70">
        <v>46197.0</v>
      </c>
      <c r="B601" s="96"/>
      <c r="C601" s="96">
        <v>5.304519115E9</v>
      </c>
      <c r="D601" s="10" t="s">
        <v>9</v>
      </c>
      <c r="E601" s="13" t="s">
        <v>12</v>
      </c>
      <c r="F601" s="29">
        <v>32.97</v>
      </c>
    </row>
    <row r="602" hidden="1">
      <c r="A602" s="70">
        <v>46197.0</v>
      </c>
      <c r="B602" s="121"/>
      <c r="C602" s="121">
        <v>5.304519344E9</v>
      </c>
      <c r="D602" s="10" t="s">
        <v>9</v>
      </c>
      <c r="E602" s="13" t="s">
        <v>12</v>
      </c>
      <c r="F602" s="29">
        <v>63.97</v>
      </c>
    </row>
    <row r="603" hidden="1">
      <c r="A603" s="70">
        <v>46197.0</v>
      </c>
      <c r="B603" s="121"/>
      <c r="C603" s="121">
        <v>5.304534886E9</v>
      </c>
      <c r="D603" s="10" t="s">
        <v>9</v>
      </c>
      <c r="E603" s="13" t="s">
        <v>12</v>
      </c>
      <c r="F603" s="29">
        <v>21.97</v>
      </c>
    </row>
    <row r="604" hidden="1">
      <c r="A604" s="70">
        <v>46197.0</v>
      </c>
      <c r="B604" s="86"/>
      <c r="C604" s="86">
        <v>5.61940444E8</v>
      </c>
      <c r="D604" s="10" t="s">
        <v>9</v>
      </c>
      <c r="E604" s="13" t="s">
        <v>12</v>
      </c>
      <c r="F604" s="29">
        <v>150.97</v>
      </c>
    </row>
    <row r="605" hidden="1">
      <c r="A605" s="70">
        <v>46197.0</v>
      </c>
      <c r="B605" s="20"/>
      <c r="C605" s="20">
        <v>3.165366E8</v>
      </c>
      <c r="D605" s="10" t="s">
        <v>9</v>
      </c>
      <c r="E605" s="13" t="s">
        <v>12</v>
      </c>
      <c r="F605" s="29">
        <v>60.97</v>
      </c>
    </row>
    <row r="606" hidden="1">
      <c r="A606" s="70">
        <v>46197.0</v>
      </c>
      <c r="B606" s="20"/>
      <c r="C606" s="20">
        <v>5.304530657E9</v>
      </c>
      <c r="D606" s="10" t="s">
        <v>9</v>
      </c>
      <c r="E606" s="13" t="s">
        <v>12</v>
      </c>
      <c r="F606" s="29">
        <v>35.97</v>
      </c>
    </row>
    <row r="607" hidden="1">
      <c r="A607" s="70">
        <v>46197.0</v>
      </c>
      <c r="B607" s="96"/>
      <c r="C607" s="96">
        <v>5.304530711E9</v>
      </c>
      <c r="D607" s="10" t="s">
        <v>9</v>
      </c>
      <c r="E607" s="13" t="s">
        <v>12</v>
      </c>
      <c r="F607" s="29">
        <v>27.97</v>
      </c>
    </row>
    <row r="608" hidden="1">
      <c r="A608" s="70">
        <v>46197.0</v>
      </c>
      <c r="B608" s="86"/>
      <c r="C608" s="86">
        <v>2.41798231E8</v>
      </c>
      <c r="D608" s="10" t="s">
        <v>9</v>
      </c>
      <c r="E608" s="13" t="s">
        <v>12</v>
      </c>
      <c r="F608" s="29">
        <v>45.97</v>
      </c>
    </row>
    <row r="609" hidden="1">
      <c r="A609" s="70">
        <v>46197.0</v>
      </c>
      <c r="B609" s="96"/>
      <c r="C609" s="96">
        <v>5.304518633E9</v>
      </c>
      <c r="D609" s="10" t="s">
        <v>9</v>
      </c>
      <c r="E609" s="13" t="s">
        <v>12</v>
      </c>
      <c r="F609" s="29">
        <v>95.97</v>
      </c>
    </row>
    <row r="610" hidden="1">
      <c r="A610" s="23"/>
      <c r="B610" s="59"/>
      <c r="C610" s="59"/>
      <c r="D610" s="62"/>
      <c r="E610" s="23"/>
      <c r="F610" s="23"/>
      <c r="G610" s="23"/>
    </row>
    <row r="611" hidden="1">
      <c r="A611" s="70">
        <v>46198.0</v>
      </c>
      <c r="B611" s="86"/>
      <c r="C611" s="86" t="s">
        <v>1139</v>
      </c>
      <c r="D611" s="10" t="s">
        <v>9</v>
      </c>
      <c r="E611" s="13" t="s">
        <v>12</v>
      </c>
      <c r="F611" s="29">
        <v>85.97</v>
      </c>
    </row>
    <row r="612" hidden="1">
      <c r="A612" s="70">
        <v>46198.0</v>
      </c>
      <c r="B612" s="20"/>
      <c r="C612" s="20">
        <v>1.39008507E8</v>
      </c>
      <c r="D612" s="10" t="s">
        <v>9</v>
      </c>
      <c r="E612" s="13" t="s">
        <v>12</v>
      </c>
      <c r="F612" s="29">
        <v>75.97</v>
      </c>
    </row>
    <row r="613" hidden="1">
      <c r="A613" s="70">
        <v>46198.0</v>
      </c>
      <c r="B613" s="96"/>
      <c r="C613" s="96">
        <v>5.304536819E9</v>
      </c>
      <c r="D613" s="10" t="s">
        <v>9</v>
      </c>
      <c r="E613" s="13" t="s">
        <v>12</v>
      </c>
      <c r="F613" s="29">
        <v>75.97</v>
      </c>
    </row>
    <row r="614" hidden="1">
      <c r="A614" s="70">
        <v>46198.0</v>
      </c>
      <c r="B614" s="96"/>
      <c r="C614" s="96">
        <v>5.304529571E9</v>
      </c>
      <c r="D614" s="10" t="s">
        <v>9</v>
      </c>
      <c r="E614" s="13" t="s">
        <v>12</v>
      </c>
      <c r="F614" s="29">
        <v>65.97</v>
      </c>
    </row>
    <row r="615" hidden="1">
      <c r="A615" s="70">
        <v>46198.0</v>
      </c>
      <c r="B615" s="74"/>
      <c r="C615" s="74">
        <v>5.304513609E9</v>
      </c>
      <c r="D615" s="10" t="s">
        <v>9</v>
      </c>
      <c r="E615" s="13" t="s">
        <v>12</v>
      </c>
      <c r="F615" s="29">
        <v>25.97</v>
      </c>
    </row>
    <row r="616" hidden="1">
      <c r="A616" s="70">
        <v>46198.0</v>
      </c>
      <c r="B616" s="121"/>
      <c r="C616" s="121">
        <v>2.41675705E8</v>
      </c>
      <c r="D616" s="10" t="s">
        <v>9</v>
      </c>
      <c r="E616" s="13" t="s">
        <v>12</v>
      </c>
      <c r="F616" s="29">
        <v>45.97</v>
      </c>
      <c r="G616" s="29">
        <v>4.0</v>
      </c>
    </row>
    <row r="617" hidden="1">
      <c r="A617" s="70">
        <v>46198.0</v>
      </c>
      <c r="B617" s="86"/>
      <c r="C617" s="86">
        <v>2.41675704E8</v>
      </c>
      <c r="D617" s="10" t="s">
        <v>9</v>
      </c>
      <c r="E617" s="13" t="s">
        <v>12</v>
      </c>
      <c r="F617" s="29">
        <v>30.97</v>
      </c>
    </row>
    <row r="618" hidden="1">
      <c r="A618" s="70">
        <v>46198.0</v>
      </c>
      <c r="B618" s="20"/>
      <c r="C618" s="20">
        <v>5.304506551E9</v>
      </c>
      <c r="D618" s="10" t="s">
        <v>9</v>
      </c>
      <c r="E618" s="13" t="s">
        <v>12</v>
      </c>
      <c r="F618" s="29">
        <v>21.97</v>
      </c>
    </row>
    <row r="619" hidden="1">
      <c r="A619" s="70">
        <v>46198.0</v>
      </c>
      <c r="B619" s="96"/>
      <c r="C619" s="96">
        <v>5.304513471E9</v>
      </c>
      <c r="D619" s="10" t="s">
        <v>9</v>
      </c>
      <c r="E619" s="13" t="s">
        <v>12</v>
      </c>
      <c r="F619" s="29">
        <v>21.97</v>
      </c>
    </row>
    <row r="620" hidden="1">
      <c r="A620" s="70">
        <v>46198.0</v>
      </c>
      <c r="B620" s="96"/>
      <c r="C620" s="96">
        <v>5.304519093E9</v>
      </c>
      <c r="D620" s="10" t="s">
        <v>9</v>
      </c>
      <c r="E620" s="13" t="s">
        <v>12</v>
      </c>
      <c r="F620" s="29">
        <v>25.97</v>
      </c>
    </row>
    <row r="621" hidden="1">
      <c r="A621" s="70">
        <v>46198.0</v>
      </c>
      <c r="B621" s="96"/>
      <c r="C621" s="96">
        <v>5.304534557E9</v>
      </c>
      <c r="D621" s="10" t="s">
        <v>9</v>
      </c>
      <c r="E621" s="13" t="s">
        <v>12</v>
      </c>
      <c r="F621" s="29">
        <v>65.97</v>
      </c>
    </row>
    <row r="622" hidden="1">
      <c r="A622" s="70">
        <v>46198.0</v>
      </c>
      <c r="B622" s="20"/>
      <c r="C622" s="20">
        <v>5.304511344E9</v>
      </c>
      <c r="D622" s="10" t="s">
        <v>9</v>
      </c>
      <c r="E622" s="13" t="s">
        <v>12</v>
      </c>
      <c r="F622" s="29">
        <v>50.97</v>
      </c>
    </row>
    <row r="623" hidden="1">
      <c r="A623" s="70">
        <v>46198.0</v>
      </c>
      <c r="B623" s="96"/>
      <c r="C623" s="96">
        <v>5.304536607E9</v>
      </c>
      <c r="D623" s="10" t="s">
        <v>9</v>
      </c>
      <c r="E623" s="13" t="s">
        <v>12</v>
      </c>
      <c r="F623" s="29">
        <v>49.97</v>
      </c>
      <c r="G623" s="29">
        <v>2.0</v>
      </c>
    </row>
    <row r="624" hidden="1">
      <c r="A624" s="70">
        <v>46198.0</v>
      </c>
      <c r="B624" s="20"/>
      <c r="C624" s="20">
        <v>5.304514774E9</v>
      </c>
      <c r="D624" s="10" t="s">
        <v>9</v>
      </c>
      <c r="E624" s="13" t="s">
        <v>12</v>
      </c>
      <c r="F624" s="29">
        <v>45.97</v>
      </c>
    </row>
    <row r="625" hidden="1">
      <c r="A625" s="70">
        <v>46198.0</v>
      </c>
      <c r="B625" s="96"/>
      <c r="C625" s="96">
        <v>5.304522918E9</v>
      </c>
      <c r="D625" s="10" t="s">
        <v>9</v>
      </c>
      <c r="E625" s="13" t="s">
        <v>12</v>
      </c>
      <c r="F625" s="29">
        <v>25.97</v>
      </c>
    </row>
    <row r="626" hidden="1">
      <c r="A626" s="70">
        <v>46198.0</v>
      </c>
      <c r="B626" s="96"/>
      <c r="C626" s="96">
        <v>5.304535641E9</v>
      </c>
      <c r="D626" s="10" t="s">
        <v>9</v>
      </c>
      <c r="E626" s="13" t="s">
        <v>12</v>
      </c>
      <c r="F626" s="29">
        <v>32.97</v>
      </c>
      <c r="G626" s="29">
        <v>3.0</v>
      </c>
    </row>
    <row r="627" hidden="1">
      <c r="A627" s="70">
        <v>46198.0</v>
      </c>
      <c r="B627" s="20"/>
      <c r="C627" s="20">
        <v>5.304525957E9</v>
      </c>
      <c r="D627" s="10" t="s">
        <v>9</v>
      </c>
      <c r="E627" s="13" t="s">
        <v>12</v>
      </c>
      <c r="F627" s="29">
        <v>45.97</v>
      </c>
    </row>
    <row r="628" hidden="1">
      <c r="A628" s="70">
        <v>46198.0</v>
      </c>
      <c r="B628" s="96"/>
      <c r="C628" s="96">
        <v>5.304519154E9</v>
      </c>
      <c r="D628" s="10" t="s">
        <v>9</v>
      </c>
      <c r="E628" s="13" t="s">
        <v>12</v>
      </c>
      <c r="F628" s="29">
        <v>23.97</v>
      </c>
    </row>
    <row r="629" hidden="1">
      <c r="A629" s="70">
        <v>46198.0</v>
      </c>
      <c r="B629" s="20"/>
      <c r="C629" s="20">
        <v>5.304505165E9</v>
      </c>
      <c r="D629" s="10" t="s">
        <v>9</v>
      </c>
      <c r="E629" s="13" t="s">
        <v>12</v>
      </c>
      <c r="F629" s="29">
        <v>21.97</v>
      </c>
    </row>
    <row r="630" hidden="1">
      <c r="A630" s="70">
        <v>46198.0</v>
      </c>
      <c r="B630" s="37"/>
      <c r="C630" s="37"/>
      <c r="D630" s="10" t="s">
        <v>9</v>
      </c>
      <c r="E630" s="13" t="s">
        <v>12</v>
      </c>
    </row>
    <row r="631" hidden="1">
      <c r="A631" s="23"/>
      <c r="B631" s="59"/>
      <c r="C631" s="59"/>
      <c r="D631" s="62"/>
      <c r="E631" s="23"/>
      <c r="F631" s="23"/>
      <c r="G631" s="23"/>
    </row>
    <row r="632" hidden="1">
      <c r="A632" s="70">
        <v>46202.0</v>
      </c>
      <c r="B632" s="121"/>
      <c r="C632" s="121">
        <v>5.304538043E9</v>
      </c>
      <c r="D632" s="10" t="s">
        <v>9</v>
      </c>
      <c r="E632" s="13" t="s">
        <v>12</v>
      </c>
      <c r="F632" s="29">
        <v>35.97</v>
      </c>
    </row>
    <row r="633" hidden="1">
      <c r="A633" s="70">
        <v>46202.0</v>
      </c>
      <c r="B633" s="96"/>
      <c r="C633" s="96">
        <v>5.304522331E9</v>
      </c>
      <c r="D633" s="10" t="s">
        <v>9</v>
      </c>
      <c r="E633" s="13" t="s">
        <v>12</v>
      </c>
      <c r="F633" s="29">
        <v>25.97</v>
      </c>
    </row>
    <row r="634" hidden="1">
      <c r="A634" s="70">
        <v>46202.0</v>
      </c>
      <c r="B634" s="20"/>
      <c r="C634" s="20">
        <v>5.304520509E9</v>
      </c>
      <c r="D634" s="10" t="s">
        <v>9</v>
      </c>
      <c r="E634" s="13" t="s">
        <v>12</v>
      </c>
      <c r="F634" s="29">
        <v>35.97</v>
      </c>
    </row>
    <row r="635" hidden="1">
      <c r="A635" s="70">
        <v>46202.0</v>
      </c>
      <c r="B635" s="96"/>
      <c r="C635" s="96">
        <v>5.304525958E9</v>
      </c>
      <c r="D635" s="10" t="s">
        <v>9</v>
      </c>
      <c r="E635" s="13" t="s">
        <v>12</v>
      </c>
      <c r="F635" s="29">
        <v>25.97</v>
      </c>
    </row>
    <row r="636" hidden="1">
      <c r="A636" s="70">
        <v>46202.0</v>
      </c>
      <c r="B636" s="121"/>
      <c r="C636" s="121">
        <v>5.304530819E9</v>
      </c>
      <c r="D636" s="10" t="s">
        <v>9</v>
      </c>
      <c r="E636" s="13" t="s">
        <v>12</v>
      </c>
      <c r="F636" s="29">
        <v>25.97</v>
      </c>
    </row>
    <row r="637" hidden="1">
      <c r="A637" s="70">
        <v>46202.0</v>
      </c>
      <c r="B637" s="121"/>
      <c r="C637" s="121">
        <v>5.304520302E9</v>
      </c>
      <c r="D637" s="10" t="s">
        <v>9</v>
      </c>
      <c r="E637" s="13" t="s">
        <v>12</v>
      </c>
      <c r="F637" s="29">
        <v>45.97</v>
      </c>
    </row>
    <row r="638" hidden="1">
      <c r="A638" s="70">
        <v>46202.0</v>
      </c>
      <c r="B638" s="20"/>
      <c r="C638" s="20">
        <v>5.304523152E9</v>
      </c>
      <c r="D638" s="10" t="s">
        <v>9</v>
      </c>
      <c r="E638" s="13" t="s">
        <v>12</v>
      </c>
      <c r="F638" s="29">
        <v>12.97</v>
      </c>
      <c r="G638" s="29">
        <v>18.0</v>
      </c>
    </row>
    <row r="639" hidden="1">
      <c r="A639" s="70">
        <v>46202.0</v>
      </c>
      <c r="B639" s="20"/>
      <c r="C639" s="20">
        <v>5.304523788E9</v>
      </c>
      <c r="D639" s="10" t="s">
        <v>9</v>
      </c>
      <c r="E639" s="13" t="s">
        <v>12</v>
      </c>
      <c r="F639" s="29">
        <v>30.97</v>
      </c>
    </row>
    <row r="640" hidden="1">
      <c r="A640" s="70">
        <v>46202.0</v>
      </c>
      <c r="B640" s="96"/>
      <c r="C640" s="96">
        <v>5.304523053E9</v>
      </c>
      <c r="D640" s="10" t="s">
        <v>9</v>
      </c>
      <c r="E640" s="13" t="s">
        <v>12</v>
      </c>
      <c r="F640" s="29">
        <v>28.97</v>
      </c>
      <c r="G640" s="29">
        <v>2.0</v>
      </c>
    </row>
    <row r="641" hidden="1">
      <c r="A641" s="70">
        <v>46202.0</v>
      </c>
      <c r="B641" s="96"/>
      <c r="C641" s="96">
        <v>5.304537689E9</v>
      </c>
      <c r="D641" s="10" t="s">
        <v>9</v>
      </c>
      <c r="E641" s="13" t="s">
        <v>12</v>
      </c>
      <c r="F641" s="29">
        <v>25.97</v>
      </c>
      <c r="G641" s="29">
        <v>2.0</v>
      </c>
    </row>
    <row r="642" hidden="1">
      <c r="A642" s="23"/>
      <c r="B642" s="59"/>
      <c r="C642" s="59"/>
      <c r="D642" s="62"/>
      <c r="E642" s="23"/>
      <c r="F642" s="23"/>
      <c r="G642" s="23"/>
    </row>
    <row r="643" hidden="1">
      <c r="A643" s="70">
        <v>46203.0</v>
      </c>
      <c r="B643" s="20"/>
      <c r="C643" s="20" t="s">
        <v>1163</v>
      </c>
      <c r="D643" s="10" t="s">
        <v>9</v>
      </c>
      <c r="E643" s="13" t="s">
        <v>12</v>
      </c>
      <c r="F643" s="29">
        <v>135.97</v>
      </c>
    </row>
    <row r="644" hidden="1">
      <c r="A644" s="70">
        <v>46203.0</v>
      </c>
      <c r="B644" s="74"/>
      <c r="C644" s="74" t="s">
        <v>489</v>
      </c>
      <c r="D644" s="10" t="s">
        <v>9</v>
      </c>
      <c r="E644" s="13" t="s">
        <v>12</v>
      </c>
      <c r="F644" s="29">
        <v>65.97</v>
      </c>
    </row>
    <row r="645" hidden="1">
      <c r="A645" s="70">
        <v>46203.0</v>
      </c>
      <c r="B645" s="20"/>
      <c r="C645" s="20" t="s">
        <v>161</v>
      </c>
      <c r="D645" s="10" t="s">
        <v>9</v>
      </c>
      <c r="E645" s="13" t="s">
        <v>12</v>
      </c>
      <c r="F645" s="29">
        <v>75.97</v>
      </c>
    </row>
    <row r="646" hidden="1">
      <c r="A646" s="70">
        <v>46203.0</v>
      </c>
      <c r="B646" s="74"/>
      <c r="C646" s="74" t="s">
        <v>1168</v>
      </c>
      <c r="D646" s="10" t="s">
        <v>9</v>
      </c>
      <c r="E646" s="13" t="s">
        <v>12</v>
      </c>
      <c r="F646" s="29">
        <v>55.97</v>
      </c>
      <c r="G646" s="29">
        <v>2.0</v>
      </c>
    </row>
    <row r="647" hidden="1">
      <c r="A647" s="70">
        <v>46203.0</v>
      </c>
      <c r="B647" s="20"/>
      <c r="C647" s="20" t="s">
        <v>180</v>
      </c>
      <c r="D647" s="10" t="s">
        <v>9</v>
      </c>
      <c r="E647" s="13" t="s">
        <v>12</v>
      </c>
      <c r="F647" s="29">
        <v>45.97</v>
      </c>
    </row>
    <row r="648" hidden="1">
      <c r="A648" s="70">
        <v>46203.0</v>
      </c>
      <c r="B648" s="20"/>
      <c r="C648" s="20" t="s">
        <v>1170</v>
      </c>
      <c r="D648" s="10" t="s">
        <v>9</v>
      </c>
      <c r="E648" s="13" t="s">
        <v>12</v>
      </c>
      <c r="F648" s="29">
        <v>55.97</v>
      </c>
    </row>
    <row r="649" hidden="1">
      <c r="A649" s="70">
        <v>46203.0</v>
      </c>
      <c r="B649" s="20"/>
      <c r="C649" s="20" t="s">
        <v>239</v>
      </c>
      <c r="D649" s="10" t="s">
        <v>9</v>
      </c>
      <c r="E649" s="13" t="s">
        <v>12</v>
      </c>
      <c r="F649" s="29">
        <v>85.97</v>
      </c>
      <c r="G649" s="29">
        <v>2.0</v>
      </c>
    </row>
    <row r="650" hidden="1">
      <c r="A650" s="70">
        <v>46203.0</v>
      </c>
      <c r="B650" s="20"/>
      <c r="C650" s="20" t="s">
        <v>1171</v>
      </c>
      <c r="D650" s="10" t="s">
        <v>9</v>
      </c>
      <c r="E650" s="13" t="s">
        <v>12</v>
      </c>
      <c r="F650" s="29">
        <v>85.97</v>
      </c>
    </row>
    <row r="651" hidden="1">
      <c r="A651" s="70">
        <v>46203.0</v>
      </c>
      <c r="B651" s="74"/>
      <c r="C651" s="74" t="s">
        <v>1172</v>
      </c>
      <c r="D651" s="10" t="s">
        <v>9</v>
      </c>
      <c r="E651" s="13" t="s">
        <v>12</v>
      </c>
      <c r="F651" s="29">
        <v>85.97</v>
      </c>
    </row>
    <row r="652" hidden="1">
      <c r="A652" s="70">
        <v>46203.0</v>
      </c>
      <c r="B652" s="20"/>
      <c r="C652" s="20" t="s">
        <v>1173</v>
      </c>
      <c r="D652" s="10" t="s">
        <v>9</v>
      </c>
      <c r="E652" s="13" t="s">
        <v>12</v>
      </c>
      <c r="F652" s="29">
        <v>85.97</v>
      </c>
      <c r="G652" s="29">
        <v>3.0</v>
      </c>
    </row>
    <row r="653" hidden="1">
      <c r="A653" s="70">
        <v>46203.0</v>
      </c>
      <c r="B653" s="65"/>
      <c r="C653" s="65" t="s">
        <v>1174</v>
      </c>
      <c r="D653" s="10" t="s">
        <v>9</v>
      </c>
      <c r="E653" s="13" t="s">
        <v>12</v>
      </c>
      <c r="F653" s="29">
        <v>75.97</v>
      </c>
    </row>
    <row r="654" hidden="1">
      <c r="A654" s="70">
        <v>46203.0</v>
      </c>
      <c r="B654" s="74"/>
      <c r="C654" s="74" t="s">
        <v>1176</v>
      </c>
      <c r="D654" s="10" t="s">
        <v>9</v>
      </c>
      <c r="E654" s="13" t="s">
        <v>12</v>
      </c>
      <c r="F654" s="29">
        <v>50.97</v>
      </c>
    </row>
    <row r="655" hidden="1">
      <c r="A655" s="70">
        <v>46203.0</v>
      </c>
      <c r="B655" s="74"/>
      <c r="C655" s="74" t="s">
        <v>1177</v>
      </c>
      <c r="D655" s="10" t="s">
        <v>9</v>
      </c>
      <c r="E655" s="13" t="s">
        <v>12</v>
      </c>
      <c r="F655" s="29">
        <v>175.97</v>
      </c>
    </row>
    <row r="656" hidden="1">
      <c r="A656" s="70">
        <v>46203.0</v>
      </c>
      <c r="B656" s="20"/>
      <c r="C656" s="20" t="s">
        <v>1179</v>
      </c>
      <c r="D656" s="10" t="s">
        <v>9</v>
      </c>
      <c r="E656" s="13" t="s">
        <v>12</v>
      </c>
      <c r="F656" s="29">
        <v>80.97</v>
      </c>
    </row>
    <row r="657" hidden="1">
      <c r="A657" s="70">
        <v>46203.0</v>
      </c>
      <c r="B657" s="74"/>
      <c r="C657" s="74" t="s">
        <v>1181</v>
      </c>
      <c r="D657" s="10" t="s">
        <v>9</v>
      </c>
      <c r="E657" s="13" t="s">
        <v>12</v>
      </c>
      <c r="F657" s="29">
        <v>150.97</v>
      </c>
    </row>
    <row r="658" hidden="1">
      <c r="A658" s="23"/>
      <c r="B658" s="59"/>
      <c r="C658" s="59"/>
      <c r="D658" s="62"/>
      <c r="E658" s="23"/>
      <c r="F658" s="23"/>
      <c r="G658" s="23"/>
      <c r="H658" s="23"/>
    </row>
    <row r="659" hidden="1">
      <c r="A659" s="70">
        <v>46204.0</v>
      </c>
      <c r="B659" s="74"/>
      <c r="C659" s="74" t="s">
        <v>1183</v>
      </c>
      <c r="D659" s="10" t="s">
        <v>9</v>
      </c>
      <c r="E659" s="13" t="s">
        <v>12</v>
      </c>
      <c r="F659" s="29">
        <v>125.97</v>
      </c>
    </row>
    <row r="660" hidden="1">
      <c r="A660" s="70">
        <v>46204.0</v>
      </c>
      <c r="B660" s="74"/>
      <c r="C660" s="74" t="s">
        <v>1186</v>
      </c>
      <c r="D660" s="10" t="s">
        <v>9</v>
      </c>
      <c r="E660" s="13" t="s">
        <v>12</v>
      </c>
      <c r="F660" s="29">
        <v>25.97</v>
      </c>
    </row>
    <row r="661" hidden="1">
      <c r="A661" s="70">
        <v>46204.0</v>
      </c>
      <c r="B661" s="20"/>
      <c r="C661" s="20" t="s">
        <v>1188</v>
      </c>
      <c r="D661" s="10" t="s">
        <v>9</v>
      </c>
      <c r="E661" s="13" t="s">
        <v>12</v>
      </c>
      <c r="F661" s="29">
        <v>185.97</v>
      </c>
    </row>
    <row r="662" hidden="1">
      <c r="A662" s="70">
        <v>46204.0</v>
      </c>
      <c r="B662" s="74"/>
      <c r="C662" s="74" t="s">
        <v>1189</v>
      </c>
      <c r="D662" s="10" t="s">
        <v>9</v>
      </c>
      <c r="E662" s="13" t="s">
        <v>12</v>
      </c>
      <c r="F662" s="29">
        <v>99.97</v>
      </c>
    </row>
    <row r="663" hidden="1">
      <c r="A663" s="70">
        <v>46204.0</v>
      </c>
      <c r="B663" s="20"/>
      <c r="C663" s="20" t="s">
        <v>1191</v>
      </c>
      <c r="D663" s="10" t="s">
        <v>9</v>
      </c>
      <c r="E663" s="13" t="s">
        <v>12</v>
      </c>
      <c r="F663" s="29">
        <v>40.97</v>
      </c>
    </row>
    <row r="664" hidden="1">
      <c r="A664" s="70">
        <v>46204.0</v>
      </c>
      <c r="B664" s="74"/>
      <c r="C664" s="74" t="s">
        <v>1194</v>
      </c>
      <c r="D664" s="10" t="s">
        <v>9</v>
      </c>
      <c r="E664" s="13" t="s">
        <v>12</v>
      </c>
      <c r="F664" s="29">
        <v>30.97</v>
      </c>
    </row>
    <row r="665" hidden="1">
      <c r="A665" s="70">
        <v>46204.0</v>
      </c>
      <c r="B665" s="20"/>
      <c r="C665" s="20" t="s">
        <v>1196</v>
      </c>
      <c r="D665" s="10" t="s">
        <v>9</v>
      </c>
      <c r="E665" s="13" t="s">
        <v>12</v>
      </c>
      <c r="F665" s="29">
        <v>99.97</v>
      </c>
    </row>
    <row r="666" hidden="1">
      <c r="A666" s="70">
        <v>46204.0</v>
      </c>
      <c r="B666" s="74"/>
      <c r="C666" s="74" t="s">
        <v>1198</v>
      </c>
      <c r="D666" s="10" t="s">
        <v>9</v>
      </c>
      <c r="E666" s="13" t="s">
        <v>12</v>
      </c>
      <c r="F666" s="29">
        <v>45.97</v>
      </c>
    </row>
    <row r="667" hidden="1">
      <c r="A667" s="70">
        <v>46204.0</v>
      </c>
      <c r="B667" s="74"/>
      <c r="C667" s="74" t="s">
        <v>1199</v>
      </c>
      <c r="D667" s="10" t="s">
        <v>9</v>
      </c>
      <c r="E667" s="13" t="s">
        <v>12</v>
      </c>
      <c r="F667" s="29">
        <v>125.97</v>
      </c>
    </row>
    <row r="668" hidden="1">
      <c r="A668" s="70">
        <v>46204.0</v>
      </c>
      <c r="B668" s="74"/>
      <c r="C668" s="74" t="s">
        <v>1201</v>
      </c>
      <c r="D668" s="10" t="s">
        <v>9</v>
      </c>
      <c r="E668" s="13" t="s">
        <v>12</v>
      </c>
      <c r="F668" s="29">
        <v>85.97</v>
      </c>
    </row>
    <row r="669" hidden="1">
      <c r="A669" s="70">
        <v>46204.0</v>
      </c>
      <c r="B669" s="20"/>
      <c r="C669" s="20" t="s">
        <v>1202</v>
      </c>
      <c r="D669" s="10" t="s">
        <v>9</v>
      </c>
      <c r="E669" s="13" t="s">
        <v>12</v>
      </c>
      <c r="F669" s="29">
        <v>150.97</v>
      </c>
    </row>
    <row r="670" hidden="1">
      <c r="A670" s="70">
        <v>46204.0</v>
      </c>
      <c r="B670" s="74"/>
      <c r="C670" s="74" t="s">
        <v>1204</v>
      </c>
      <c r="D670" s="10" t="s">
        <v>9</v>
      </c>
      <c r="E670" s="13" t="s">
        <v>12</v>
      </c>
      <c r="F670" s="29">
        <v>125.97</v>
      </c>
    </row>
    <row r="671" hidden="1">
      <c r="A671" s="70">
        <v>46204.0</v>
      </c>
      <c r="B671" s="20"/>
      <c r="C671" s="20" t="s">
        <v>1206</v>
      </c>
      <c r="D671" s="10" t="s">
        <v>9</v>
      </c>
      <c r="E671" s="13" t="s">
        <v>12</v>
      </c>
      <c r="F671" s="29">
        <v>75.97</v>
      </c>
      <c r="G671" s="29">
        <v>3.0</v>
      </c>
    </row>
    <row r="672" hidden="1">
      <c r="A672" s="70">
        <v>46204.0</v>
      </c>
      <c r="B672" s="74"/>
      <c r="C672" s="74" t="s">
        <v>1207</v>
      </c>
      <c r="D672" s="10" t="s">
        <v>9</v>
      </c>
      <c r="E672" s="13" t="s">
        <v>12</v>
      </c>
      <c r="F672" s="29">
        <v>85.97</v>
      </c>
    </row>
    <row r="673" hidden="1">
      <c r="A673" s="70">
        <v>46204.0</v>
      </c>
      <c r="B673" s="74"/>
      <c r="C673" s="74" t="s">
        <v>1209</v>
      </c>
      <c r="D673" s="10" t="s">
        <v>9</v>
      </c>
      <c r="E673" s="13" t="s">
        <v>12</v>
      </c>
      <c r="F673" s="29">
        <v>87.97</v>
      </c>
    </row>
    <row r="674" hidden="1">
      <c r="A674" s="70">
        <v>46204.0</v>
      </c>
      <c r="B674" s="74"/>
      <c r="C674" s="74" t="s">
        <v>1211</v>
      </c>
      <c r="D674" s="10" t="s">
        <v>9</v>
      </c>
      <c r="E674" s="13" t="s">
        <v>12</v>
      </c>
      <c r="F674" s="29">
        <v>125.97</v>
      </c>
    </row>
    <row r="675" hidden="1">
      <c r="A675" s="70">
        <v>46204.0</v>
      </c>
      <c r="B675" s="74"/>
      <c r="C675" s="74" t="s">
        <v>1213</v>
      </c>
      <c r="D675" s="10" t="s">
        <v>9</v>
      </c>
      <c r="E675" s="13" t="s">
        <v>12</v>
      </c>
      <c r="F675" s="29">
        <v>299.97</v>
      </c>
    </row>
    <row r="676" hidden="1">
      <c r="A676" s="70">
        <v>46204.0</v>
      </c>
      <c r="B676" s="74"/>
      <c r="C676" s="74" t="s">
        <v>1215</v>
      </c>
      <c r="D676" s="10" t="s">
        <v>9</v>
      </c>
      <c r="E676" s="13" t="s">
        <v>12</v>
      </c>
      <c r="F676" s="29">
        <v>125.97</v>
      </c>
    </row>
    <row r="677" hidden="1">
      <c r="A677" s="70">
        <v>46204.0</v>
      </c>
      <c r="B677" s="74"/>
      <c r="C677" s="74" t="s">
        <v>1216</v>
      </c>
      <c r="D677" s="10" t="s">
        <v>9</v>
      </c>
      <c r="E677" s="13" t="s">
        <v>12</v>
      </c>
      <c r="F677" s="29">
        <v>125.97</v>
      </c>
    </row>
    <row r="678" hidden="1">
      <c r="A678" s="70">
        <v>46204.0</v>
      </c>
      <c r="B678" s="20"/>
      <c r="C678" s="20" t="s">
        <v>1218</v>
      </c>
      <c r="D678" s="10" t="s">
        <v>9</v>
      </c>
      <c r="E678" s="13" t="s">
        <v>12</v>
      </c>
      <c r="F678" s="29">
        <v>75.97</v>
      </c>
    </row>
    <row r="679" hidden="1">
      <c r="A679" s="70">
        <v>46204.0</v>
      </c>
      <c r="B679" s="74"/>
      <c r="C679" s="74" t="s">
        <v>72</v>
      </c>
      <c r="D679" s="10" t="s">
        <v>9</v>
      </c>
      <c r="E679" s="13" t="s">
        <v>12</v>
      </c>
      <c r="F679" s="29">
        <v>35.97</v>
      </c>
    </row>
    <row r="680" hidden="1">
      <c r="A680" s="98"/>
      <c r="B680" s="59"/>
      <c r="C680" s="59"/>
      <c r="D680" s="97"/>
      <c r="E680" s="69"/>
      <c r="F680" s="23"/>
      <c r="G680" s="23"/>
    </row>
    <row r="681" hidden="1">
      <c r="A681" s="70">
        <v>46205.0</v>
      </c>
      <c r="B681" s="74"/>
      <c r="C681" s="74" t="s">
        <v>1222</v>
      </c>
      <c r="D681" s="10" t="s">
        <v>9</v>
      </c>
      <c r="E681" s="13" t="s">
        <v>12</v>
      </c>
      <c r="F681" s="29">
        <v>95.97</v>
      </c>
    </row>
    <row r="682" hidden="1">
      <c r="A682" s="70">
        <v>46205.0</v>
      </c>
      <c r="B682" s="20"/>
      <c r="C682" s="20" t="s">
        <v>1224</v>
      </c>
      <c r="D682" s="10" t="s">
        <v>9</v>
      </c>
      <c r="E682" s="13" t="s">
        <v>12</v>
      </c>
      <c r="F682" s="29">
        <v>75.97</v>
      </c>
    </row>
    <row r="683" hidden="1">
      <c r="A683" s="70">
        <v>46205.0</v>
      </c>
      <c r="B683" s="20"/>
      <c r="C683" s="20" t="s">
        <v>868</v>
      </c>
      <c r="D683" s="10" t="s">
        <v>9</v>
      </c>
      <c r="E683" s="13" t="s">
        <v>12</v>
      </c>
      <c r="F683" s="29">
        <v>95.97</v>
      </c>
    </row>
    <row r="684" hidden="1">
      <c r="A684" s="70">
        <v>46205.0</v>
      </c>
      <c r="B684" s="20"/>
      <c r="C684" s="20" t="s">
        <v>1227</v>
      </c>
      <c r="D684" s="10" t="s">
        <v>9</v>
      </c>
      <c r="E684" s="13" t="s">
        <v>12</v>
      </c>
      <c r="F684" s="29">
        <v>75.97</v>
      </c>
    </row>
    <row r="685" hidden="1">
      <c r="A685" s="70">
        <v>46205.0</v>
      </c>
      <c r="B685" s="74"/>
      <c r="C685" s="74" t="s">
        <v>1229</v>
      </c>
      <c r="D685" s="10" t="s">
        <v>9</v>
      </c>
      <c r="E685" s="13" t="s">
        <v>12</v>
      </c>
      <c r="F685" s="29">
        <v>165.97</v>
      </c>
    </row>
    <row r="686" hidden="1">
      <c r="A686" s="70">
        <v>46205.0</v>
      </c>
      <c r="B686" s="74"/>
      <c r="C686" s="74" t="s">
        <v>1230</v>
      </c>
      <c r="D686" s="10" t="s">
        <v>9</v>
      </c>
      <c r="E686" s="13" t="s">
        <v>12</v>
      </c>
      <c r="F686" s="29">
        <v>215.97</v>
      </c>
    </row>
    <row r="687" hidden="1">
      <c r="A687" s="70">
        <v>46205.0</v>
      </c>
      <c r="B687" s="74"/>
      <c r="C687" s="74" t="s">
        <v>1231</v>
      </c>
      <c r="D687" s="10" t="s">
        <v>9</v>
      </c>
      <c r="E687" s="13" t="s">
        <v>12</v>
      </c>
      <c r="F687" s="29">
        <v>199.97</v>
      </c>
    </row>
    <row r="688" hidden="1">
      <c r="A688" s="70">
        <v>46205.0</v>
      </c>
      <c r="B688" s="20"/>
      <c r="C688" s="20">
        <v>1.54825001E8</v>
      </c>
      <c r="D688" s="10" t="s">
        <v>9</v>
      </c>
      <c r="E688" s="13" t="s">
        <v>12</v>
      </c>
      <c r="F688" s="29">
        <v>35.97</v>
      </c>
      <c r="G688" s="29">
        <v>3.0</v>
      </c>
    </row>
    <row r="689" hidden="1">
      <c r="A689" s="70">
        <v>46205.0</v>
      </c>
      <c r="B689" s="96"/>
      <c r="C689" s="96">
        <v>5.304520552E9</v>
      </c>
      <c r="D689" s="10" t="s">
        <v>9</v>
      </c>
      <c r="E689" s="13" t="s">
        <v>12</v>
      </c>
      <c r="F689" s="29">
        <v>215.97</v>
      </c>
    </row>
    <row r="690" hidden="1">
      <c r="A690" s="70">
        <v>46205.0</v>
      </c>
      <c r="B690" s="96"/>
      <c r="C690" s="96">
        <v>5.304529944E9</v>
      </c>
      <c r="D690" s="10" t="s">
        <v>9</v>
      </c>
      <c r="E690" s="13" t="s">
        <v>12</v>
      </c>
      <c r="F690" s="29">
        <v>115.97</v>
      </c>
    </row>
    <row r="691" hidden="1">
      <c r="A691" s="70">
        <v>46205.0</v>
      </c>
      <c r="B691" s="96"/>
      <c r="C691" s="96">
        <v>5.304514264E9</v>
      </c>
      <c r="D691" s="10" t="s">
        <v>9</v>
      </c>
      <c r="E691" s="13" t="s">
        <v>12</v>
      </c>
      <c r="F691" s="29">
        <v>30.97</v>
      </c>
    </row>
    <row r="692" hidden="1">
      <c r="A692" s="70">
        <v>46205.0</v>
      </c>
      <c r="B692" s="96"/>
      <c r="C692" s="96">
        <v>5.304528894E9</v>
      </c>
      <c r="D692" s="10" t="s">
        <v>9</v>
      </c>
      <c r="E692" s="13" t="s">
        <v>12</v>
      </c>
      <c r="F692" s="29">
        <v>25.97</v>
      </c>
    </row>
    <row r="693" hidden="1">
      <c r="A693" s="70">
        <v>46205.0</v>
      </c>
      <c r="B693" s="96"/>
      <c r="C693" s="96">
        <v>5.304532207E9</v>
      </c>
      <c r="D693" s="10" t="s">
        <v>9</v>
      </c>
      <c r="E693" s="13" t="s">
        <v>12</v>
      </c>
      <c r="F693" s="29">
        <v>25.97</v>
      </c>
    </row>
    <row r="694" hidden="1">
      <c r="A694" s="70">
        <v>46205.0</v>
      </c>
      <c r="B694" s="121"/>
      <c r="C694" s="121">
        <v>8.07555203E8</v>
      </c>
      <c r="D694" s="10" t="s">
        <v>9</v>
      </c>
      <c r="E694" s="13" t="s">
        <v>12</v>
      </c>
      <c r="F694" s="29">
        <v>55.97</v>
      </c>
      <c r="G694" s="29">
        <v>2.0</v>
      </c>
    </row>
    <row r="695" hidden="1">
      <c r="A695" s="70">
        <v>46205.0</v>
      </c>
      <c r="B695" s="96"/>
      <c r="C695" s="96">
        <v>5.304524493E9</v>
      </c>
      <c r="D695" s="10" t="s">
        <v>9</v>
      </c>
      <c r="E695" s="13" t="s">
        <v>12</v>
      </c>
      <c r="F695" s="29">
        <v>29.97</v>
      </c>
    </row>
    <row r="696" hidden="1">
      <c r="A696" s="70">
        <v>46205.0</v>
      </c>
      <c r="B696" s="96"/>
      <c r="C696" s="96">
        <v>5.304515318E9</v>
      </c>
      <c r="D696" s="10" t="s">
        <v>9</v>
      </c>
      <c r="E696" s="13" t="s">
        <v>12</v>
      </c>
      <c r="F696" s="29">
        <v>25.97</v>
      </c>
    </row>
    <row r="697" hidden="1">
      <c r="A697" s="70">
        <v>46205.0</v>
      </c>
      <c r="B697" s="20"/>
      <c r="C697" s="20">
        <v>5.304530818E9</v>
      </c>
      <c r="D697" s="10" t="s">
        <v>9</v>
      </c>
      <c r="E697" s="13" t="s">
        <v>12</v>
      </c>
      <c r="F697" s="29">
        <v>25.97</v>
      </c>
    </row>
    <row r="698" hidden="1">
      <c r="A698" s="70">
        <v>46205.0</v>
      </c>
      <c r="B698" s="96"/>
      <c r="C698" s="96">
        <v>5.304514266E9</v>
      </c>
      <c r="D698" s="10" t="s">
        <v>9</v>
      </c>
      <c r="E698" s="13" t="s">
        <v>12</v>
      </c>
      <c r="F698" s="29">
        <v>35.97</v>
      </c>
    </row>
    <row r="699" hidden="1">
      <c r="A699" s="70">
        <v>46205.0</v>
      </c>
      <c r="B699" s="20"/>
      <c r="C699" s="20">
        <v>5.30451138E9</v>
      </c>
      <c r="D699" s="10" t="s">
        <v>9</v>
      </c>
      <c r="E699" s="13" t="s">
        <v>12</v>
      </c>
      <c r="F699" s="29">
        <v>30.97</v>
      </c>
    </row>
    <row r="700" hidden="1">
      <c r="A700" s="70">
        <v>46205.0</v>
      </c>
      <c r="B700" s="96"/>
      <c r="C700" s="96">
        <v>5.30452102E9</v>
      </c>
      <c r="D700" s="10" t="s">
        <v>9</v>
      </c>
      <c r="E700" s="13" t="s">
        <v>12</v>
      </c>
      <c r="F700" s="29">
        <v>50.97</v>
      </c>
    </row>
    <row r="701" hidden="1">
      <c r="A701" s="70">
        <v>46205.0</v>
      </c>
      <c r="B701" s="74"/>
      <c r="C701" s="74">
        <v>5.304504897E9</v>
      </c>
      <c r="D701" s="10" t="s">
        <v>9</v>
      </c>
      <c r="E701" s="13" t="s">
        <v>12</v>
      </c>
      <c r="F701" s="29">
        <v>25.97</v>
      </c>
    </row>
    <row r="702" hidden="1">
      <c r="A702" s="70">
        <v>46205.0</v>
      </c>
      <c r="B702" s="20"/>
      <c r="C702" s="20">
        <v>5.304523155E9</v>
      </c>
      <c r="D702" s="10" t="s">
        <v>9</v>
      </c>
      <c r="E702" s="13" t="s">
        <v>12</v>
      </c>
      <c r="F702" s="29">
        <v>25.97</v>
      </c>
    </row>
    <row r="703" hidden="1">
      <c r="A703" s="70">
        <v>46205.0</v>
      </c>
      <c r="B703" s="20"/>
      <c r="C703" s="20">
        <v>5.304529714E9</v>
      </c>
      <c r="D703" s="10" t="s">
        <v>9</v>
      </c>
      <c r="E703" s="13" t="s">
        <v>12</v>
      </c>
      <c r="F703" s="29">
        <v>23.97</v>
      </c>
    </row>
    <row r="704" hidden="1">
      <c r="A704" s="70">
        <v>46205.0</v>
      </c>
      <c r="B704" s="20"/>
      <c r="C704" s="20">
        <v>5.304453707E9</v>
      </c>
      <c r="D704" s="10" t="s">
        <v>9</v>
      </c>
      <c r="E704" s="13" t="s">
        <v>12</v>
      </c>
      <c r="F704" s="29">
        <v>21.97</v>
      </c>
      <c r="G704" s="29">
        <v>6.0</v>
      </c>
    </row>
    <row r="705" hidden="1">
      <c r="A705" s="70">
        <v>46205.0</v>
      </c>
      <c r="B705" s="96"/>
      <c r="C705" s="96">
        <v>5.304522314E9</v>
      </c>
      <c r="D705" s="10" t="s">
        <v>9</v>
      </c>
      <c r="E705" s="13" t="s">
        <v>12</v>
      </c>
      <c r="F705" s="29">
        <v>21.97</v>
      </c>
      <c r="G705" s="29">
        <v>2.0</v>
      </c>
    </row>
    <row r="706" hidden="1">
      <c r="A706" s="151" t="s">
        <v>1262</v>
      </c>
      <c r="B706" s="59"/>
      <c r="C706" s="59"/>
      <c r="D706" s="62"/>
      <c r="E706" s="23"/>
      <c r="F706" s="23"/>
      <c r="G706" s="23"/>
    </row>
    <row r="707" hidden="1">
      <c r="A707" s="70">
        <v>46209.0</v>
      </c>
      <c r="B707" s="96"/>
      <c r="C707" s="96">
        <v>5.304513568E9</v>
      </c>
      <c r="D707" s="10" t="s">
        <v>9</v>
      </c>
      <c r="E707" s="13" t="s">
        <v>12</v>
      </c>
      <c r="F707" s="29">
        <v>30.97</v>
      </c>
    </row>
    <row r="708" hidden="1">
      <c r="A708" s="98"/>
      <c r="B708" s="59"/>
      <c r="C708" s="59"/>
      <c r="D708" s="97"/>
      <c r="E708" s="69"/>
      <c r="F708" s="23"/>
      <c r="G708" s="23"/>
    </row>
    <row r="709" hidden="1">
      <c r="A709" s="70">
        <v>46210.0</v>
      </c>
      <c r="B709" s="20"/>
      <c r="C709" s="20">
        <v>5.304505175E9</v>
      </c>
      <c r="D709" s="10" t="s">
        <v>9</v>
      </c>
      <c r="E709" s="13" t="s">
        <v>12</v>
      </c>
      <c r="F709" s="29">
        <v>23.97</v>
      </c>
    </row>
    <row r="710" hidden="1">
      <c r="A710" s="70">
        <v>46210.0</v>
      </c>
      <c r="B710" s="20"/>
      <c r="C710" s="20">
        <v>5.304513458E9</v>
      </c>
      <c r="D710" s="10" t="s">
        <v>9</v>
      </c>
      <c r="E710" s="13" t="s">
        <v>12</v>
      </c>
      <c r="F710" s="29">
        <v>45.97</v>
      </c>
    </row>
    <row r="711" hidden="1">
      <c r="A711" s="70">
        <v>46210.0</v>
      </c>
      <c r="B711" s="20"/>
      <c r="C711" s="20">
        <v>5.304509459E9</v>
      </c>
      <c r="D711" s="10" t="s">
        <v>9</v>
      </c>
      <c r="E711" s="13" t="s">
        <v>12</v>
      </c>
      <c r="F711" s="29">
        <v>20.97</v>
      </c>
    </row>
    <row r="712" hidden="1">
      <c r="A712" s="70">
        <v>46210.0</v>
      </c>
      <c r="B712" s="96"/>
      <c r="C712" s="96">
        <v>5.30452619E9</v>
      </c>
      <c r="D712" s="10" t="s">
        <v>9</v>
      </c>
      <c r="E712" s="13" t="s">
        <v>12</v>
      </c>
      <c r="F712" s="29">
        <v>57.97</v>
      </c>
    </row>
    <row r="713" hidden="1">
      <c r="A713" s="70">
        <v>46210.0</v>
      </c>
      <c r="B713" s="121"/>
      <c r="C713" s="121">
        <v>5.30452605E9</v>
      </c>
      <c r="D713" s="10" t="s">
        <v>9</v>
      </c>
      <c r="E713" s="13" t="s">
        <v>12</v>
      </c>
      <c r="F713" s="29">
        <v>21.97</v>
      </c>
    </row>
    <row r="714" hidden="1">
      <c r="A714" s="70">
        <v>46210.0</v>
      </c>
      <c r="B714" s="20"/>
      <c r="C714" s="20">
        <v>5.304514781E9</v>
      </c>
      <c r="D714" s="10" t="s">
        <v>9</v>
      </c>
      <c r="E714" s="13" t="s">
        <v>12</v>
      </c>
      <c r="F714" s="29">
        <v>50.97</v>
      </c>
    </row>
    <row r="715" hidden="1">
      <c r="A715" s="70">
        <v>46210.0</v>
      </c>
      <c r="B715" s="96"/>
      <c r="C715" s="96">
        <v>5.304523072E9</v>
      </c>
      <c r="D715" s="10" t="s">
        <v>9</v>
      </c>
      <c r="E715" s="13" t="s">
        <v>12</v>
      </c>
      <c r="F715" s="29">
        <v>23.97</v>
      </c>
    </row>
    <row r="716" hidden="1">
      <c r="A716" s="70">
        <v>46210.0</v>
      </c>
      <c r="B716" s="20"/>
      <c r="C716" s="20">
        <v>5.30453094E9</v>
      </c>
      <c r="D716" s="10" t="s">
        <v>9</v>
      </c>
      <c r="E716" s="13" t="s">
        <v>12</v>
      </c>
      <c r="F716" s="29">
        <v>70.97</v>
      </c>
    </row>
    <row r="717" hidden="1">
      <c r="A717" s="70">
        <v>46210.0</v>
      </c>
      <c r="B717" s="121"/>
      <c r="C717" s="121">
        <v>5.304508008E9</v>
      </c>
      <c r="D717" s="10" t="s">
        <v>9</v>
      </c>
      <c r="E717" s="13" t="s">
        <v>12</v>
      </c>
      <c r="F717" s="29">
        <v>33.97</v>
      </c>
    </row>
    <row r="718" hidden="1">
      <c r="A718" s="70">
        <v>46210.0</v>
      </c>
      <c r="B718" s="20"/>
      <c r="C718" s="20">
        <v>5.304531013E9</v>
      </c>
      <c r="D718" s="10" t="s">
        <v>9</v>
      </c>
      <c r="E718" s="13" t="s">
        <v>12</v>
      </c>
      <c r="F718" s="29">
        <v>40.97</v>
      </c>
    </row>
    <row r="719" hidden="1">
      <c r="A719" s="70">
        <v>46210.0</v>
      </c>
      <c r="B719" s="96"/>
      <c r="C719" s="96">
        <v>5.304530083E9</v>
      </c>
      <c r="D719" s="10" t="s">
        <v>9</v>
      </c>
      <c r="E719" s="13" t="s">
        <v>12</v>
      </c>
      <c r="F719" s="29">
        <v>40.97</v>
      </c>
    </row>
    <row r="720" hidden="1">
      <c r="A720" s="70">
        <v>46210.0</v>
      </c>
      <c r="B720" s="74"/>
      <c r="C720" s="74">
        <v>5.304533448E9</v>
      </c>
      <c r="D720" s="10" t="s">
        <v>9</v>
      </c>
      <c r="E720" s="13" t="s">
        <v>12</v>
      </c>
      <c r="F720" s="29">
        <v>24.97</v>
      </c>
    </row>
    <row r="721" hidden="1">
      <c r="A721" s="70">
        <v>46210.0</v>
      </c>
      <c r="B721" s="20"/>
      <c r="C721" s="20">
        <v>5.304532613E9</v>
      </c>
      <c r="D721" s="10" t="s">
        <v>9</v>
      </c>
      <c r="E721" s="13" t="s">
        <v>12</v>
      </c>
      <c r="F721" s="29">
        <v>22.97</v>
      </c>
    </row>
    <row r="722" hidden="1">
      <c r="A722" s="70">
        <v>46210.0</v>
      </c>
      <c r="B722" s="96"/>
      <c r="C722" s="96">
        <v>5.304532559E9</v>
      </c>
      <c r="D722" s="10" t="s">
        <v>9</v>
      </c>
      <c r="E722" s="13" t="s">
        <v>12</v>
      </c>
      <c r="F722" s="29">
        <v>25.97</v>
      </c>
      <c r="G722" s="29">
        <v>2.0</v>
      </c>
    </row>
    <row r="723" hidden="1">
      <c r="A723" s="70">
        <v>46210.0</v>
      </c>
      <c r="B723" s="121"/>
      <c r="C723" s="121">
        <v>5.304521234E9</v>
      </c>
      <c r="D723" s="10" t="s">
        <v>9</v>
      </c>
      <c r="E723" s="13" t="s">
        <v>12</v>
      </c>
      <c r="F723" s="29">
        <v>37.97</v>
      </c>
    </row>
    <row r="724" hidden="1">
      <c r="A724" s="23"/>
      <c r="B724" s="59"/>
      <c r="C724" s="59"/>
      <c r="D724" s="62"/>
      <c r="E724" s="23"/>
      <c r="F724" s="23"/>
      <c r="G724" s="23"/>
    </row>
    <row r="725" hidden="1">
      <c r="A725" s="70">
        <v>46211.0</v>
      </c>
      <c r="B725" s="96"/>
      <c r="C725" s="96">
        <v>5.30451934E9</v>
      </c>
      <c r="D725" s="10" t="s">
        <v>9</v>
      </c>
      <c r="E725" s="13" t="s">
        <v>12</v>
      </c>
      <c r="F725" s="29">
        <v>24.97</v>
      </c>
    </row>
    <row r="726" hidden="1">
      <c r="A726" s="70">
        <v>46211.0</v>
      </c>
      <c r="B726" s="96"/>
      <c r="C726" s="96">
        <v>5.304519116E9</v>
      </c>
      <c r="D726" s="10" t="s">
        <v>9</v>
      </c>
      <c r="E726" s="13" t="s">
        <v>12</v>
      </c>
      <c r="F726" s="29">
        <v>30.97</v>
      </c>
      <c r="G726" s="29">
        <v>2.0</v>
      </c>
    </row>
    <row r="727" hidden="1">
      <c r="A727" s="70">
        <v>46211.0</v>
      </c>
      <c r="B727" s="96"/>
      <c r="C727" s="96">
        <v>5.30452631E9</v>
      </c>
      <c r="D727" s="10" t="s">
        <v>9</v>
      </c>
      <c r="E727" s="13" t="s">
        <v>12</v>
      </c>
      <c r="F727" s="29">
        <v>21.97</v>
      </c>
    </row>
    <row r="728" hidden="1">
      <c r="A728" s="70">
        <v>46211.0</v>
      </c>
      <c r="B728" s="20"/>
      <c r="C728" s="20">
        <v>5.30453489E9</v>
      </c>
      <c r="D728" s="10" t="s">
        <v>9</v>
      </c>
      <c r="E728" s="13" t="s">
        <v>12</v>
      </c>
      <c r="F728" s="29">
        <v>35.97</v>
      </c>
    </row>
    <row r="729" hidden="1">
      <c r="A729" s="70">
        <v>46211.0</v>
      </c>
      <c r="B729" s="20"/>
      <c r="C729" s="20">
        <v>5.304524656E9</v>
      </c>
      <c r="D729" s="10" t="s">
        <v>9</v>
      </c>
      <c r="E729" s="13" t="s">
        <v>12</v>
      </c>
      <c r="F729" s="29">
        <v>35.97</v>
      </c>
    </row>
    <row r="730" hidden="1">
      <c r="A730" s="70">
        <v>46211.0</v>
      </c>
      <c r="B730" s="96"/>
      <c r="C730" s="96">
        <v>5.304529544E9</v>
      </c>
      <c r="D730" s="10" t="s">
        <v>9</v>
      </c>
      <c r="E730" s="13" t="s">
        <v>12</v>
      </c>
      <c r="F730" s="29">
        <v>55.97</v>
      </c>
    </row>
    <row r="731" hidden="1">
      <c r="A731" s="70">
        <v>46211.0</v>
      </c>
      <c r="B731" s="96"/>
      <c r="C731" s="96">
        <v>5.304524817E9</v>
      </c>
      <c r="D731" s="10" t="s">
        <v>9</v>
      </c>
      <c r="E731" s="13" t="s">
        <v>12</v>
      </c>
      <c r="F731" s="29">
        <v>25.97</v>
      </c>
      <c r="G731" s="29">
        <v>3.0</v>
      </c>
    </row>
    <row r="732" hidden="1">
      <c r="A732" s="70">
        <v>46211.0</v>
      </c>
      <c r="B732" s="20"/>
      <c r="C732" s="20">
        <v>5.304538014E9</v>
      </c>
      <c r="D732" s="10" t="s">
        <v>9</v>
      </c>
      <c r="E732" s="13" t="s">
        <v>12</v>
      </c>
      <c r="F732" s="29">
        <v>50.97</v>
      </c>
    </row>
    <row r="733" hidden="1">
      <c r="A733" s="70">
        <v>46211.0</v>
      </c>
      <c r="B733" s="96"/>
      <c r="C733" s="96">
        <v>5.304538954E9</v>
      </c>
      <c r="D733" s="10" t="s">
        <v>9</v>
      </c>
      <c r="E733" s="13" t="s">
        <v>12</v>
      </c>
      <c r="F733" s="29">
        <v>21.97</v>
      </c>
    </row>
    <row r="734" hidden="1">
      <c r="A734" s="70">
        <v>46211.0</v>
      </c>
      <c r="B734" s="20"/>
      <c r="C734" s="20">
        <v>5.30452158E9</v>
      </c>
      <c r="D734" s="10" t="s">
        <v>9</v>
      </c>
      <c r="E734" s="13" t="s">
        <v>12</v>
      </c>
      <c r="F734" s="29">
        <v>40.97</v>
      </c>
    </row>
    <row r="735" hidden="1">
      <c r="A735" s="70">
        <v>46211.0</v>
      </c>
      <c r="B735" s="121"/>
      <c r="C735" s="121">
        <v>5.304504073E9</v>
      </c>
      <c r="D735" s="10" t="s">
        <v>9</v>
      </c>
      <c r="E735" s="13" t="s">
        <v>12</v>
      </c>
      <c r="F735" s="29">
        <v>95.97</v>
      </c>
    </row>
    <row r="736" hidden="1">
      <c r="A736" s="70">
        <v>46211.0</v>
      </c>
      <c r="B736" s="20"/>
      <c r="C736" s="20">
        <v>5.304519194E9</v>
      </c>
      <c r="D736" s="10" t="s">
        <v>9</v>
      </c>
      <c r="E736" s="13" t="s">
        <v>12</v>
      </c>
      <c r="F736" s="29">
        <v>23.97</v>
      </c>
    </row>
    <row r="737" hidden="1">
      <c r="A737" s="70">
        <v>46211.0</v>
      </c>
      <c r="B737" s="96"/>
      <c r="C737" s="96">
        <v>5.304529602E9</v>
      </c>
      <c r="D737" s="10" t="s">
        <v>9</v>
      </c>
      <c r="E737" s="13" t="s">
        <v>12</v>
      </c>
      <c r="F737" s="29">
        <v>28.97</v>
      </c>
    </row>
    <row r="738" hidden="1">
      <c r="A738" s="70">
        <v>46211.0</v>
      </c>
      <c r="B738" s="20"/>
      <c r="C738" s="20">
        <v>5.304523789E9</v>
      </c>
      <c r="D738" s="10" t="s">
        <v>9</v>
      </c>
      <c r="E738" s="13" t="s">
        <v>12</v>
      </c>
      <c r="F738" s="29">
        <v>33.97</v>
      </c>
    </row>
    <row r="739" hidden="1">
      <c r="A739" s="70">
        <v>46211.0</v>
      </c>
      <c r="B739" s="20"/>
      <c r="C739" s="20">
        <v>5.304513591E9</v>
      </c>
      <c r="D739" s="10" t="s">
        <v>9</v>
      </c>
      <c r="E739" s="13" t="s">
        <v>12</v>
      </c>
      <c r="F739" s="29">
        <v>27.97</v>
      </c>
    </row>
    <row r="740" hidden="1">
      <c r="A740" s="70">
        <v>46211.0</v>
      </c>
      <c r="B740" s="160"/>
      <c r="C740" s="160" t="s">
        <v>1305</v>
      </c>
      <c r="D740" s="10" t="s">
        <v>9</v>
      </c>
      <c r="E740" s="13" t="s">
        <v>12</v>
      </c>
      <c r="F740" s="29">
        <v>75.97</v>
      </c>
      <c r="G740" s="29">
        <v>14.0</v>
      </c>
    </row>
    <row r="741" hidden="1">
      <c r="A741" s="70">
        <v>46211.0</v>
      </c>
      <c r="B741" s="20"/>
      <c r="C741" s="20">
        <v>5.304524953E9</v>
      </c>
      <c r="D741" s="10" t="s">
        <v>9</v>
      </c>
      <c r="E741" s="13" t="s">
        <v>12</v>
      </c>
      <c r="F741" s="29">
        <v>115.97</v>
      </c>
      <c r="G741" s="29">
        <v>3.0</v>
      </c>
    </row>
    <row r="742" hidden="1">
      <c r="A742" s="70">
        <v>46211.0</v>
      </c>
      <c r="B742" s="121"/>
      <c r="C742" s="121">
        <v>5.304523037E9</v>
      </c>
      <c r="D742" s="10" t="s">
        <v>9</v>
      </c>
      <c r="E742" s="13" t="s">
        <v>12</v>
      </c>
      <c r="F742" s="29">
        <v>70.97</v>
      </c>
    </row>
    <row r="743" hidden="1">
      <c r="A743" s="70">
        <v>46211.0</v>
      </c>
      <c r="B743" s="121"/>
      <c r="C743" s="121">
        <v>5.304507979E9</v>
      </c>
      <c r="D743" s="10" t="s">
        <v>9</v>
      </c>
      <c r="E743" s="13" t="s">
        <v>12</v>
      </c>
      <c r="F743" s="29">
        <v>95.97</v>
      </c>
    </row>
    <row r="744" hidden="1">
      <c r="A744" s="70">
        <v>46211.0</v>
      </c>
      <c r="B744" s="20"/>
      <c r="C744" s="20">
        <v>5.304537408E9</v>
      </c>
      <c r="D744" s="10" t="s">
        <v>9</v>
      </c>
      <c r="E744" s="13" t="s">
        <v>12</v>
      </c>
      <c r="F744" s="29">
        <v>39.97</v>
      </c>
    </row>
    <row r="745" hidden="1">
      <c r="A745" s="70">
        <v>46211.0</v>
      </c>
      <c r="B745" s="20"/>
      <c r="C745" s="20">
        <v>5.304531011E9</v>
      </c>
      <c r="D745" s="10" t="s">
        <v>9</v>
      </c>
      <c r="E745" s="13" t="s">
        <v>12</v>
      </c>
      <c r="F745" s="29">
        <v>39.97</v>
      </c>
      <c r="G745" s="29">
        <v>3.0</v>
      </c>
    </row>
    <row r="746" hidden="1">
      <c r="A746" s="70">
        <v>46211.0</v>
      </c>
      <c r="B746" s="20"/>
      <c r="C746" s="20">
        <v>5.304536847E9</v>
      </c>
      <c r="D746" s="10" t="s">
        <v>9</v>
      </c>
      <c r="E746" s="13" t="s">
        <v>12</v>
      </c>
      <c r="F746" s="29">
        <v>35.97</v>
      </c>
    </row>
    <row r="747" hidden="1">
      <c r="A747" s="70">
        <v>46211.0</v>
      </c>
      <c r="B747" s="20"/>
      <c r="C747" s="20">
        <v>2.18976438E8</v>
      </c>
      <c r="D747" s="10" t="s">
        <v>9</v>
      </c>
      <c r="E747" s="13" t="s">
        <v>12</v>
      </c>
      <c r="F747" s="29">
        <v>24.97</v>
      </c>
    </row>
    <row r="748" hidden="1">
      <c r="A748" s="70">
        <v>46211.0</v>
      </c>
      <c r="B748" s="121"/>
      <c r="C748" s="121">
        <v>2.18976439E8</v>
      </c>
      <c r="D748" s="10" t="s">
        <v>9</v>
      </c>
      <c r="E748" s="13" t="s">
        <v>12</v>
      </c>
      <c r="F748" s="29">
        <v>24.97</v>
      </c>
      <c r="G748" s="29">
        <v>3.0</v>
      </c>
    </row>
    <row r="749" hidden="1">
      <c r="A749" s="70">
        <v>46211.0</v>
      </c>
      <c r="B749" s="86"/>
      <c r="C749" s="86">
        <v>2.18976443E8</v>
      </c>
      <c r="D749" s="10" t="s">
        <v>9</v>
      </c>
      <c r="E749" s="13" t="s">
        <v>12</v>
      </c>
      <c r="F749" s="29">
        <v>15.97</v>
      </c>
      <c r="G749" s="29">
        <v>2.0</v>
      </c>
    </row>
    <row r="750" hidden="1">
      <c r="A750" s="23"/>
      <c r="B750" s="59"/>
      <c r="C750" s="59"/>
      <c r="D750" s="62"/>
      <c r="E750" s="23"/>
      <c r="F750" s="23"/>
      <c r="G750" s="23"/>
    </row>
    <row r="751" hidden="1">
      <c r="A751" s="70">
        <v>46212.0</v>
      </c>
      <c r="B751" s="86"/>
      <c r="C751" s="86">
        <v>2.18976447E8</v>
      </c>
      <c r="D751" s="10" t="s">
        <v>9</v>
      </c>
      <c r="E751" s="13" t="s">
        <v>12</v>
      </c>
      <c r="F751" s="29">
        <v>22.97</v>
      </c>
      <c r="G751" s="29">
        <v>2.0</v>
      </c>
    </row>
    <row r="752" hidden="1">
      <c r="A752" s="70">
        <v>46212.0</v>
      </c>
      <c r="B752" s="20"/>
      <c r="C752" s="20">
        <v>2.42220127E8</v>
      </c>
      <c r="D752" s="10" t="s">
        <v>9</v>
      </c>
      <c r="E752" s="13" t="s">
        <v>12</v>
      </c>
      <c r="F752" s="29">
        <v>21.97</v>
      </c>
    </row>
    <row r="753" hidden="1">
      <c r="A753" s="70">
        <v>46212.0</v>
      </c>
      <c r="B753" s="86"/>
      <c r="C753" s="86">
        <v>1.375391E8</v>
      </c>
      <c r="D753" s="10" t="s">
        <v>9</v>
      </c>
      <c r="E753" s="13" t="s">
        <v>12</v>
      </c>
      <c r="F753" s="29">
        <v>50.97</v>
      </c>
    </row>
    <row r="754" hidden="1">
      <c r="A754" s="70">
        <v>46212.0</v>
      </c>
      <c r="B754" s="20"/>
      <c r="C754" s="20">
        <v>2.42044113E8</v>
      </c>
      <c r="D754" s="10" t="s">
        <v>9</v>
      </c>
      <c r="E754" s="13" t="s">
        <v>12</v>
      </c>
      <c r="F754" s="29">
        <v>29.97</v>
      </c>
      <c r="G754" s="29">
        <v>2.0</v>
      </c>
    </row>
    <row r="755" hidden="1">
      <c r="A755" s="70">
        <v>46212.0</v>
      </c>
      <c r="B755" s="20"/>
      <c r="C755" s="20">
        <v>2.41850615E8</v>
      </c>
      <c r="D755" s="10" t="s">
        <v>9</v>
      </c>
      <c r="E755" s="13" t="s">
        <v>12</v>
      </c>
      <c r="F755" s="29">
        <v>23.97</v>
      </c>
    </row>
    <row r="756" hidden="1">
      <c r="A756" s="70">
        <v>46212.0</v>
      </c>
      <c r="B756" s="86"/>
      <c r="C756" s="86">
        <v>3.16536602E8</v>
      </c>
      <c r="D756" s="10" t="s">
        <v>9</v>
      </c>
      <c r="E756" s="13" t="s">
        <v>12</v>
      </c>
      <c r="F756" s="29">
        <v>75.97</v>
      </c>
    </row>
    <row r="757" hidden="1">
      <c r="A757" s="70">
        <v>46212.0</v>
      </c>
      <c r="B757" s="86"/>
      <c r="C757" s="86">
        <v>1.34616701E8</v>
      </c>
      <c r="D757" s="10" t="s">
        <v>9</v>
      </c>
      <c r="E757" s="13" t="s">
        <v>12</v>
      </c>
      <c r="F757" s="29">
        <v>20.97</v>
      </c>
      <c r="G757" s="29">
        <v>2.0</v>
      </c>
    </row>
    <row r="758" hidden="1">
      <c r="A758" s="70">
        <v>46212.0</v>
      </c>
      <c r="B758" s="86"/>
      <c r="C758" s="86">
        <v>1.347193E8</v>
      </c>
      <c r="D758" s="10" t="s">
        <v>9</v>
      </c>
      <c r="E758" s="13" t="s">
        <v>12</v>
      </c>
      <c r="F758" s="29">
        <v>21.97</v>
      </c>
      <c r="G758" s="29">
        <v>3.0</v>
      </c>
    </row>
    <row r="759" hidden="1">
      <c r="A759" s="70">
        <v>46212.0</v>
      </c>
      <c r="B759" s="20"/>
      <c r="C759" s="20">
        <v>1.372636E8</v>
      </c>
      <c r="D759" s="10" t="s">
        <v>9</v>
      </c>
      <c r="E759" s="13" t="s">
        <v>12</v>
      </c>
      <c r="F759" s="29">
        <v>38.97</v>
      </c>
    </row>
    <row r="760" hidden="1">
      <c r="A760" s="70">
        <v>46212.0</v>
      </c>
      <c r="B760" s="86"/>
      <c r="C760" s="86">
        <v>2.42220119E8</v>
      </c>
      <c r="D760" s="10" t="s">
        <v>9</v>
      </c>
      <c r="E760" s="13" t="s">
        <v>12</v>
      </c>
      <c r="F760" s="29">
        <v>23.97</v>
      </c>
      <c r="G760" s="29">
        <v>2.0</v>
      </c>
    </row>
    <row r="761" hidden="1">
      <c r="A761" s="70">
        <v>46212.0</v>
      </c>
      <c r="B761" s="20"/>
      <c r="C761" s="20">
        <v>2.42220206E8</v>
      </c>
      <c r="D761" s="10" t="s">
        <v>9</v>
      </c>
      <c r="E761" s="13" t="s">
        <v>12</v>
      </c>
      <c r="F761" s="29">
        <v>35.97</v>
      </c>
    </row>
    <row r="762" hidden="1">
      <c r="A762" s="70">
        <v>46212.0</v>
      </c>
      <c r="B762" s="20"/>
      <c r="C762" s="20">
        <v>2.42220204E8</v>
      </c>
      <c r="D762" s="10" t="s">
        <v>9</v>
      </c>
      <c r="E762" s="13" t="s">
        <v>12</v>
      </c>
      <c r="F762" s="29">
        <v>31.97</v>
      </c>
    </row>
    <row r="763" hidden="1">
      <c r="A763" s="70">
        <v>46212.0</v>
      </c>
      <c r="B763" s="20"/>
      <c r="C763" s="20">
        <v>2.42219302E8</v>
      </c>
      <c r="D763" s="10" t="s">
        <v>9</v>
      </c>
      <c r="E763" s="13" t="s">
        <v>12</v>
      </c>
      <c r="F763" s="29">
        <v>25.97</v>
      </c>
    </row>
    <row r="764" hidden="1">
      <c r="A764" s="70">
        <v>46212.0</v>
      </c>
      <c r="B764" s="86"/>
      <c r="C764" s="86">
        <v>2.42220208E8</v>
      </c>
      <c r="D764" s="10" t="s">
        <v>9</v>
      </c>
      <c r="E764" s="13" t="s">
        <v>12</v>
      </c>
      <c r="F764" s="29">
        <v>23.97</v>
      </c>
    </row>
    <row r="765" hidden="1">
      <c r="A765" s="70">
        <v>46212.0</v>
      </c>
      <c r="B765" s="20"/>
      <c r="C765" s="20">
        <v>1.40156196176E11</v>
      </c>
      <c r="D765" s="10" t="s">
        <v>9</v>
      </c>
      <c r="E765" s="13" t="s">
        <v>12</v>
      </c>
      <c r="F765" s="29">
        <v>25.97</v>
      </c>
      <c r="G765" s="29">
        <v>2.0</v>
      </c>
    </row>
    <row r="766" hidden="1">
      <c r="A766" s="70">
        <v>46212.0</v>
      </c>
      <c r="B766" s="165"/>
      <c r="C766" s="165" t="s">
        <v>1340</v>
      </c>
      <c r="D766" s="10" t="s">
        <v>9</v>
      </c>
      <c r="E766" s="13" t="s">
        <v>12</v>
      </c>
      <c r="F766" s="29">
        <v>49.97</v>
      </c>
    </row>
    <row r="767" hidden="1">
      <c r="A767" s="70">
        <v>46212.0</v>
      </c>
      <c r="B767" s="86"/>
      <c r="C767" s="86">
        <v>3.16436E8</v>
      </c>
      <c r="D767" s="10" t="s">
        <v>9</v>
      </c>
      <c r="E767" s="13" t="s">
        <v>12</v>
      </c>
      <c r="F767" s="29">
        <v>21.97</v>
      </c>
      <c r="G767" s="29">
        <v>2.0</v>
      </c>
    </row>
    <row r="768" hidden="1">
      <c r="A768" s="70">
        <v>46212.0</v>
      </c>
      <c r="B768" s="86"/>
      <c r="C768" s="86">
        <v>1.34711401E8</v>
      </c>
      <c r="D768" s="10" t="s">
        <v>9</v>
      </c>
      <c r="E768" s="13" t="s">
        <v>12</v>
      </c>
      <c r="F768" s="29">
        <v>20.97</v>
      </c>
      <c r="G768" s="29">
        <v>2.0</v>
      </c>
    </row>
    <row r="769" hidden="1">
      <c r="A769" s="70">
        <v>46212.0</v>
      </c>
      <c r="B769" s="86"/>
      <c r="C769" s="86" t="s">
        <v>176</v>
      </c>
      <c r="D769" s="10" t="s">
        <v>9</v>
      </c>
      <c r="E769" s="13" t="s">
        <v>12</v>
      </c>
      <c r="F769" s="29">
        <v>21.97</v>
      </c>
    </row>
    <row r="770" hidden="1">
      <c r="A770" s="70">
        <v>46212.0</v>
      </c>
      <c r="B770" s="86"/>
      <c r="C770" s="86">
        <v>2.40561701E8</v>
      </c>
      <c r="D770" s="10" t="s">
        <v>9</v>
      </c>
      <c r="E770" s="13" t="s">
        <v>12</v>
      </c>
      <c r="F770" s="29">
        <v>22.97</v>
      </c>
      <c r="G770" s="29">
        <v>2.0</v>
      </c>
    </row>
    <row r="771" hidden="1">
      <c r="A771" s="70">
        <v>46212.0</v>
      </c>
      <c r="B771" s="20"/>
      <c r="C771" s="20">
        <v>1.54579101E8</v>
      </c>
      <c r="D771" s="10" t="s">
        <v>9</v>
      </c>
      <c r="E771" s="13" t="s">
        <v>12</v>
      </c>
      <c r="F771" s="29">
        <v>21.97</v>
      </c>
      <c r="G771" s="29">
        <v>2.0</v>
      </c>
    </row>
    <row r="772" hidden="1">
      <c r="A772" s="70">
        <v>46212.0</v>
      </c>
      <c r="B772" s="20"/>
      <c r="C772" s="20">
        <v>8.07445905E8</v>
      </c>
      <c r="D772" s="10" t="s">
        <v>9</v>
      </c>
      <c r="E772" s="13" t="s">
        <v>12</v>
      </c>
      <c r="F772" s="29">
        <v>50.97</v>
      </c>
    </row>
    <row r="773" hidden="1">
      <c r="A773" s="70">
        <v>46212.0</v>
      </c>
      <c r="B773" s="86"/>
      <c r="C773" s="86">
        <v>1.34793511E8</v>
      </c>
      <c r="D773" s="10" t="s">
        <v>9</v>
      </c>
      <c r="E773" s="13" t="s">
        <v>12</v>
      </c>
      <c r="F773" s="29">
        <v>25.97</v>
      </c>
    </row>
    <row r="774" hidden="1">
      <c r="A774" s="70">
        <v>46212.0</v>
      </c>
      <c r="B774" s="20"/>
      <c r="C774" s="20">
        <v>2.42278801E8</v>
      </c>
      <c r="D774" s="10" t="s">
        <v>9</v>
      </c>
      <c r="E774" s="13" t="s">
        <v>12</v>
      </c>
      <c r="F774" s="29">
        <v>20.97</v>
      </c>
    </row>
    <row r="775" hidden="1">
      <c r="A775" s="70">
        <v>46212.0</v>
      </c>
      <c r="B775" s="20"/>
      <c r="C775" s="20">
        <v>1.40156010054E11</v>
      </c>
      <c r="D775" s="10" t="s">
        <v>9</v>
      </c>
      <c r="E775" s="13" t="s">
        <v>12</v>
      </c>
      <c r="F775" s="29">
        <v>23.97</v>
      </c>
    </row>
    <row r="776" hidden="1">
      <c r="A776" s="23"/>
      <c r="B776" s="59"/>
      <c r="C776" s="59"/>
      <c r="D776" s="62"/>
      <c r="E776" s="23"/>
      <c r="F776" s="23"/>
      <c r="G776" s="23"/>
    </row>
    <row r="777" hidden="1">
      <c r="A777" s="70">
        <v>46213.0</v>
      </c>
      <c r="B777" s="20"/>
      <c r="C777" s="20">
        <v>2.41870104E8</v>
      </c>
      <c r="D777" s="10" t="s">
        <v>9</v>
      </c>
      <c r="E777" s="13" t="s">
        <v>12</v>
      </c>
      <c r="F777" s="29">
        <v>25.97</v>
      </c>
      <c r="G777" s="29">
        <v>2.0</v>
      </c>
    </row>
    <row r="778" hidden="1">
      <c r="A778" s="70">
        <v>46213.0</v>
      </c>
      <c r="B778" s="20"/>
      <c r="C778" s="20">
        <v>1.40172164018E11</v>
      </c>
      <c r="D778" s="10" t="s">
        <v>9</v>
      </c>
      <c r="E778" s="13" t="s">
        <v>12</v>
      </c>
      <c r="F778" s="29">
        <v>67.97</v>
      </c>
    </row>
    <row r="779" hidden="1">
      <c r="A779" s="70">
        <v>46213.0</v>
      </c>
      <c r="B779" s="20"/>
      <c r="C779" s="20">
        <v>3.165583E8</v>
      </c>
      <c r="D779" s="10" t="s">
        <v>9</v>
      </c>
      <c r="E779" s="13" t="s">
        <v>12</v>
      </c>
      <c r="F779" s="29">
        <v>45.97</v>
      </c>
    </row>
    <row r="780" hidden="1">
      <c r="A780" s="70">
        <v>46213.0</v>
      </c>
      <c r="B780" s="86"/>
      <c r="C780" s="86">
        <v>8.08608802E8</v>
      </c>
      <c r="D780" s="10" t="s">
        <v>9</v>
      </c>
      <c r="E780" s="13" t="s">
        <v>12</v>
      </c>
      <c r="F780" s="29">
        <v>70.97</v>
      </c>
    </row>
    <row r="781" hidden="1">
      <c r="A781" s="70">
        <v>46213.0</v>
      </c>
      <c r="B781" s="20"/>
      <c r="C781" s="20">
        <v>2.97259524E8</v>
      </c>
      <c r="D781" s="10" t="s">
        <v>9</v>
      </c>
      <c r="E781" s="13" t="s">
        <v>12</v>
      </c>
      <c r="F781" s="29">
        <v>55.97</v>
      </c>
    </row>
    <row r="782" hidden="1">
      <c r="A782" s="70">
        <v>46213.0</v>
      </c>
      <c r="B782" s="86"/>
      <c r="C782" s="86">
        <v>2.42095406E8</v>
      </c>
      <c r="D782" s="10" t="s">
        <v>9</v>
      </c>
      <c r="E782" s="13" t="s">
        <v>12</v>
      </c>
      <c r="F782" s="29">
        <v>25.97</v>
      </c>
    </row>
    <row r="783" hidden="1">
      <c r="A783" s="70">
        <v>46213.0</v>
      </c>
      <c r="B783" s="20"/>
      <c r="C783" s="20">
        <v>1.54762601E8</v>
      </c>
      <c r="D783" s="10" t="s">
        <v>9</v>
      </c>
      <c r="E783" s="13" t="s">
        <v>12</v>
      </c>
      <c r="F783" s="29">
        <v>50.97</v>
      </c>
      <c r="G783" s="29">
        <v>2.0</v>
      </c>
    </row>
    <row r="784" hidden="1">
      <c r="A784" s="70">
        <v>46213.0</v>
      </c>
      <c r="B784" s="86"/>
      <c r="C784" s="86" t="s">
        <v>1162</v>
      </c>
      <c r="D784" s="10" t="s">
        <v>9</v>
      </c>
      <c r="E784" s="13" t="s">
        <v>12</v>
      </c>
      <c r="F784" s="29">
        <v>70.97</v>
      </c>
    </row>
    <row r="785" hidden="1">
      <c r="A785" s="70">
        <v>46213.0</v>
      </c>
      <c r="B785" s="86"/>
      <c r="C785" s="86">
        <v>2.41760401E8</v>
      </c>
      <c r="D785" s="10" t="s">
        <v>9</v>
      </c>
      <c r="E785" s="13" t="s">
        <v>12</v>
      </c>
      <c r="F785" s="29">
        <v>30.97</v>
      </c>
      <c r="G785" s="29">
        <v>2.0</v>
      </c>
    </row>
    <row r="786" hidden="1">
      <c r="A786" s="70">
        <v>46213.0</v>
      </c>
      <c r="B786" s="86"/>
      <c r="C786" s="86">
        <v>3.18578506E8</v>
      </c>
      <c r="D786" s="10" t="s">
        <v>9</v>
      </c>
      <c r="E786" s="13" t="s">
        <v>12</v>
      </c>
      <c r="F786" s="29">
        <v>32.97</v>
      </c>
    </row>
    <row r="787" hidden="1">
      <c r="A787" s="70">
        <v>46213.0</v>
      </c>
      <c r="B787" s="86"/>
      <c r="C787" s="86" t="s">
        <v>1366</v>
      </c>
      <c r="D787" s="10" t="s">
        <v>9</v>
      </c>
      <c r="E787" s="13" t="s">
        <v>12</v>
      </c>
      <c r="F787" s="29">
        <v>25.97</v>
      </c>
      <c r="G787" s="29">
        <v>2.0</v>
      </c>
    </row>
    <row r="788" hidden="1">
      <c r="A788" s="70">
        <v>46213.0</v>
      </c>
      <c r="B788" s="86"/>
      <c r="C788" s="86">
        <v>2.41829002E8</v>
      </c>
      <c r="D788" s="10" t="s">
        <v>9</v>
      </c>
      <c r="E788" s="13" t="s">
        <v>12</v>
      </c>
      <c r="F788" s="29">
        <v>25.97</v>
      </c>
    </row>
    <row r="789" hidden="1">
      <c r="A789" s="70">
        <v>46213.0</v>
      </c>
      <c r="B789" s="20"/>
      <c r="C789" s="20">
        <v>2.18781101E8</v>
      </c>
      <c r="D789" s="10" t="s">
        <v>9</v>
      </c>
      <c r="E789" s="13" t="s">
        <v>12</v>
      </c>
      <c r="F789" s="29">
        <v>23.97</v>
      </c>
    </row>
    <row r="790" hidden="1">
      <c r="A790" s="70">
        <v>46213.0</v>
      </c>
      <c r="B790" s="86"/>
      <c r="C790" s="86">
        <v>2.15474201E8</v>
      </c>
      <c r="D790" s="10" t="s">
        <v>9</v>
      </c>
      <c r="E790" s="13" t="s">
        <v>12</v>
      </c>
      <c r="F790" s="29">
        <v>25.97</v>
      </c>
    </row>
    <row r="791" hidden="1">
      <c r="A791" s="70">
        <v>46213.0</v>
      </c>
      <c r="B791" s="20"/>
      <c r="C791" s="20" t="s">
        <v>1370</v>
      </c>
      <c r="D791" s="10" t="s">
        <v>9</v>
      </c>
      <c r="E791" s="13" t="s">
        <v>12</v>
      </c>
      <c r="F791" s="29">
        <v>50.97</v>
      </c>
    </row>
    <row r="792" hidden="1">
      <c r="A792" s="98"/>
      <c r="B792" s="59"/>
      <c r="C792" s="59"/>
      <c r="D792" s="62"/>
      <c r="E792" s="23"/>
      <c r="F792" s="23"/>
      <c r="G792" s="23"/>
    </row>
    <row r="793" hidden="1">
      <c r="A793" s="70">
        <v>46216.0</v>
      </c>
      <c r="B793" s="20"/>
      <c r="C793" s="20">
        <v>5.303918214E9</v>
      </c>
      <c r="D793" s="10" t="s">
        <v>9</v>
      </c>
      <c r="E793" s="13" t="s">
        <v>12</v>
      </c>
      <c r="F793" s="29">
        <v>22.97</v>
      </c>
      <c r="G793" s="29">
        <v>2.0</v>
      </c>
    </row>
    <row r="794" hidden="1">
      <c r="A794" s="70">
        <v>46216.0</v>
      </c>
      <c r="B794" s="20"/>
      <c r="C794" s="20">
        <v>5.303918775E9</v>
      </c>
      <c r="D794" s="10" t="s">
        <v>9</v>
      </c>
      <c r="E794" s="13" t="s">
        <v>12</v>
      </c>
      <c r="F794" s="29">
        <v>21.97</v>
      </c>
      <c r="G794" s="29">
        <v>8.0</v>
      </c>
    </row>
    <row r="795" hidden="1">
      <c r="A795" s="70">
        <v>46216.0</v>
      </c>
      <c r="B795" s="20"/>
      <c r="C795" s="20">
        <v>5.303918358E9</v>
      </c>
      <c r="D795" s="10" t="s">
        <v>9</v>
      </c>
      <c r="E795" s="13" t="s">
        <v>12</v>
      </c>
      <c r="F795" s="29">
        <v>23.97</v>
      </c>
      <c r="G795" s="29">
        <v>2.0</v>
      </c>
    </row>
    <row r="796" hidden="1">
      <c r="A796" s="70">
        <v>46216.0</v>
      </c>
      <c r="B796" s="96"/>
      <c r="C796" s="96">
        <v>5.303918892E9</v>
      </c>
      <c r="D796" s="10" t="s">
        <v>9</v>
      </c>
      <c r="E796" s="13" t="s">
        <v>12</v>
      </c>
      <c r="F796" s="29">
        <v>34.97</v>
      </c>
      <c r="G796" s="29">
        <v>4.0</v>
      </c>
    </row>
    <row r="797" hidden="1">
      <c r="A797" s="70">
        <v>46216.0</v>
      </c>
      <c r="B797" s="20"/>
      <c r="C797" s="20">
        <v>5.303918776E9</v>
      </c>
      <c r="D797" s="10" t="s">
        <v>9</v>
      </c>
      <c r="E797" s="13" t="s">
        <v>12</v>
      </c>
      <c r="F797" s="29">
        <v>28.97</v>
      </c>
    </row>
    <row r="798" hidden="1">
      <c r="A798" s="70">
        <v>46216.0</v>
      </c>
      <c r="B798" s="20"/>
      <c r="C798" s="20">
        <v>5.303918849E9</v>
      </c>
      <c r="D798" s="10" t="s">
        <v>9</v>
      </c>
      <c r="E798" s="13" t="s">
        <v>12</v>
      </c>
      <c r="F798" s="29">
        <v>125.97</v>
      </c>
    </row>
    <row r="799" hidden="1">
      <c r="A799" s="70">
        <v>46216.0</v>
      </c>
      <c r="B799" s="20"/>
      <c r="C799" s="20">
        <v>5.303935271E9</v>
      </c>
      <c r="D799" s="10" t="s">
        <v>9</v>
      </c>
      <c r="E799" s="13" t="s">
        <v>12</v>
      </c>
      <c r="F799" s="29">
        <v>35.97</v>
      </c>
      <c r="G799" s="29">
        <v>2.0</v>
      </c>
    </row>
    <row r="800" hidden="1">
      <c r="A800" s="70">
        <v>46216.0</v>
      </c>
      <c r="B800" s="96"/>
      <c r="C800" s="96">
        <v>5.304523899E9</v>
      </c>
      <c r="D800" s="10" t="s">
        <v>9</v>
      </c>
      <c r="E800" s="13" t="s">
        <v>12</v>
      </c>
      <c r="F800" s="29">
        <v>43.97</v>
      </c>
    </row>
    <row r="801" hidden="1">
      <c r="A801" s="70">
        <v>46216.0</v>
      </c>
      <c r="B801" s="121"/>
      <c r="C801" s="121">
        <v>5.304526051E9</v>
      </c>
      <c r="D801" s="10" t="s">
        <v>9</v>
      </c>
      <c r="E801" s="13" t="s">
        <v>12</v>
      </c>
      <c r="F801" s="29">
        <v>35.97</v>
      </c>
    </row>
    <row r="802" hidden="1">
      <c r="A802" s="70">
        <v>46216.0</v>
      </c>
      <c r="B802" s="20"/>
      <c r="C802" s="20">
        <v>5.30452177E9</v>
      </c>
      <c r="D802" s="10" t="s">
        <v>9</v>
      </c>
      <c r="E802" s="13" t="s">
        <v>12</v>
      </c>
      <c r="F802" s="29">
        <v>65.97</v>
      </c>
    </row>
    <row r="803" hidden="1">
      <c r="A803" s="70">
        <v>46216.0</v>
      </c>
      <c r="B803" s="20"/>
      <c r="C803" s="20">
        <v>5.304522012E9</v>
      </c>
      <c r="D803" s="10" t="s">
        <v>9</v>
      </c>
      <c r="E803" s="13" t="s">
        <v>12</v>
      </c>
      <c r="F803" s="29">
        <v>85.97</v>
      </c>
    </row>
    <row r="804" hidden="1">
      <c r="A804" s="70">
        <v>46216.0</v>
      </c>
      <c r="B804" s="96"/>
      <c r="C804" s="96">
        <v>5.304536703E9</v>
      </c>
      <c r="D804" s="10" t="s">
        <v>9</v>
      </c>
      <c r="E804" s="13" t="s">
        <v>12</v>
      </c>
      <c r="F804" s="29">
        <v>48.97</v>
      </c>
    </row>
    <row r="805" hidden="1">
      <c r="A805" s="70">
        <v>46216.0</v>
      </c>
      <c r="B805" s="20"/>
      <c r="C805" s="20">
        <v>5.304514143E9</v>
      </c>
      <c r="D805" s="10" t="s">
        <v>9</v>
      </c>
      <c r="E805" s="13" t="s">
        <v>12</v>
      </c>
      <c r="F805" s="29">
        <v>59.97</v>
      </c>
    </row>
    <row r="806" hidden="1">
      <c r="A806" s="70">
        <v>46216.0</v>
      </c>
      <c r="B806" s="20"/>
      <c r="C806" s="20">
        <v>5.304526053E9</v>
      </c>
      <c r="D806" s="10" t="s">
        <v>9</v>
      </c>
      <c r="E806" s="13" t="s">
        <v>12</v>
      </c>
      <c r="F806" s="29">
        <v>29.97</v>
      </c>
    </row>
    <row r="807" hidden="1">
      <c r="A807" s="70">
        <v>46216.0</v>
      </c>
      <c r="B807" s="96"/>
      <c r="C807" s="96">
        <v>5.304530389E9</v>
      </c>
      <c r="D807" s="10" t="s">
        <v>9</v>
      </c>
      <c r="E807" s="13" t="s">
        <v>12</v>
      </c>
      <c r="F807" s="29">
        <v>50.97</v>
      </c>
    </row>
    <row r="808" hidden="1">
      <c r="A808" s="70">
        <v>46216.0</v>
      </c>
      <c r="B808" s="20"/>
      <c r="C808" s="20">
        <v>5.304523279E9</v>
      </c>
      <c r="D808" s="10" t="s">
        <v>9</v>
      </c>
      <c r="E808" s="13" t="s">
        <v>12</v>
      </c>
      <c r="F808" s="29">
        <v>75.97</v>
      </c>
    </row>
    <row r="809" hidden="1">
      <c r="A809" s="70">
        <v>46216.0</v>
      </c>
      <c r="B809" s="160"/>
      <c r="C809" s="160" t="s">
        <v>1388</v>
      </c>
      <c r="D809" s="10" t="s">
        <v>9</v>
      </c>
      <c r="E809" s="13" t="s">
        <v>12</v>
      </c>
      <c r="F809" s="29">
        <v>37.97</v>
      </c>
    </row>
    <row r="810" hidden="1">
      <c r="A810" s="70">
        <v>46216.0</v>
      </c>
      <c r="B810" s="20"/>
      <c r="C810" s="20">
        <v>5.304455922E9</v>
      </c>
      <c r="D810" s="10" t="s">
        <v>9</v>
      </c>
      <c r="E810" s="13" t="s">
        <v>12</v>
      </c>
      <c r="F810" s="29">
        <v>49.97</v>
      </c>
    </row>
    <row r="811" hidden="1">
      <c r="A811" s="70">
        <v>46216.0</v>
      </c>
      <c r="B811" s="20"/>
      <c r="C811" s="20">
        <v>5.304533764E9</v>
      </c>
      <c r="D811" s="10" t="s">
        <v>9</v>
      </c>
      <c r="E811" s="13" t="s">
        <v>12</v>
      </c>
      <c r="F811" s="29">
        <v>150.97</v>
      </c>
    </row>
    <row r="812" hidden="1">
      <c r="A812" s="70">
        <v>46216.0</v>
      </c>
      <c r="B812" s="96"/>
      <c r="C812" s="96">
        <v>5.304526752E9</v>
      </c>
      <c r="D812" s="10" t="s">
        <v>9</v>
      </c>
      <c r="E812" s="13" t="s">
        <v>12</v>
      </c>
      <c r="F812" s="29">
        <v>85.97</v>
      </c>
    </row>
    <row r="813" hidden="1">
      <c r="A813" s="70">
        <v>46216.0</v>
      </c>
      <c r="B813" s="96"/>
      <c r="C813" s="96">
        <v>5.304514142E9</v>
      </c>
      <c r="D813" s="10" t="s">
        <v>9</v>
      </c>
      <c r="E813" s="13" t="s">
        <v>12</v>
      </c>
      <c r="F813" s="29">
        <v>125.97</v>
      </c>
    </row>
    <row r="814" hidden="1">
      <c r="A814" s="70">
        <v>46216.0</v>
      </c>
      <c r="B814" s="20"/>
      <c r="C814" s="20">
        <v>5.30452902E9</v>
      </c>
      <c r="D814" s="10" t="s">
        <v>9</v>
      </c>
      <c r="E814" s="13" t="s">
        <v>12</v>
      </c>
      <c r="F814" s="29">
        <v>55.97</v>
      </c>
    </row>
    <row r="815" hidden="1">
      <c r="A815" s="70">
        <v>46216.0</v>
      </c>
      <c r="B815" s="20"/>
      <c r="C815" s="20">
        <v>5.304531906E9</v>
      </c>
      <c r="D815" s="10" t="s">
        <v>9</v>
      </c>
      <c r="E815" s="13" t="s">
        <v>12</v>
      </c>
      <c r="F815" s="29">
        <v>24.97</v>
      </c>
    </row>
    <row r="816" hidden="1">
      <c r="A816" s="70">
        <v>46216.0</v>
      </c>
      <c r="B816" s="20"/>
      <c r="C816" s="20">
        <v>5.304531922E9</v>
      </c>
      <c r="D816" s="10" t="s">
        <v>9</v>
      </c>
      <c r="E816" s="13" t="s">
        <v>12</v>
      </c>
      <c r="F816" s="29">
        <v>45.97</v>
      </c>
    </row>
    <row r="817" hidden="1">
      <c r="A817" s="70">
        <v>46216.0</v>
      </c>
      <c r="B817" s="20"/>
      <c r="C817" s="20">
        <v>5.304506557E9</v>
      </c>
      <c r="D817" s="10" t="s">
        <v>9</v>
      </c>
      <c r="E817" s="13" t="s">
        <v>12</v>
      </c>
      <c r="F817" s="29">
        <v>65.97</v>
      </c>
    </row>
    <row r="818" hidden="1">
      <c r="A818" s="23"/>
      <c r="B818" s="59"/>
      <c r="C818" s="59"/>
      <c r="D818" s="62"/>
      <c r="E818" s="23"/>
      <c r="F818" s="23"/>
      <c r="G818" s="23"/>
    </row>
    <row r="819" hidden="1">
      <c r="A819" s="70">
        <v>46217.0</v>
      </c>
      <c r="B819" s="20"/>
      <c r="C819" s="20">
        <v>5.304519125E9</v>
      </c>
      <c r="D819" s="10" t="s">
        <v>9</v>
      </c>
      <c r="E819" s="13" t="s">
        <v>12</v>
      </c>
      <c r="F819" s="29">
        <v>25.97</v>
      </c>
    </row>
    <row r="820" hidden="1">
      <c r="A820" s="70">
        <v>46217.0</v>
      </c>
      <c r="B820" s="96"/>
      <c r="C820" s="96">
        <v>5.304523685E9</v>
      </c>
      <c r="D820" s="10" t="s">
        <v>9</v>
      </c>
      <c r="E820" s="13" t="s">
        <v>12</v>
      </c>
      <c r="F820" s="29">
        <v>36.97</v>
      </c>
    </row>
    <row r="821" hidden="1">
      <c r="A821" s="70">
        <v>46217.0</v>
      </c>
      <c r="B821" s="20"/>
      <c r="C821" s="20">
        <v>5.304523298E9</v>
      </c>
      <c r="D821" s="10" t="s">
        <v>9</v>
      </c>
      <c r="E821" s="13" t="s">
        <v>12</v>
      </c>
      <c r="F821" s="29">
        <v>189.97</v>
      </c>
      <c r="G821" s="29">
        <v>2.0</v>
      </c>
    </row>
    <row r="822" hidden="1">
      <c r="A822" s="70">
        <v>46217.0</v>
      </c>
      <c r="B822" s="20"/>
      <c r="C822" s="20">
        <v>5.304511435E9</v>
      </c>
      <c r="D822" s="10" t="s">
        <v>9</v>
      </c>
      <c r="E822" s="13" t="s">
        <v>12</v>
      </c>
      <c r="F822" s="29">
        <v>52.97</v>
      </c>
    </row>
    <row r="823" hidden="1">
      <c r="A823" s="70">
        <v>46217.0</v>
      </c>
      <c r="B823" s="20"/>
      <c r="C823" s="20" t="s">
        <v>1401</v>
      </c>
      <c r="D823" s="10" t="s">
        <v>9</v>
      </c>
      <c r="E823" s="13" t="s">
        <v>12</v>
      </c>
      <c r="F823" s="29">
        <v>135.97</v>
      </c>
    </row>
    <row r="824" hidden="1">
      <c r="A824" s="70">
        <v>46217.0</v>
      </c>
      <c r="B824" s="86"/>
      <c r="C824" s="86" t="s">
        <v>1403</v>
      </c>
      <c r="D824" s="10" t="s">
        <v>9</v>
      </c>
      <c r="E824" s="13" t="s">
        <v>12</v>
      </c>
      <c r="F824" s="29">
        <v>55.97</v>
      </c>
    </row>
    <row r="825" hidden="1">
      <c r="A825" s="70">
        <v>46217.0</v>
      </c>
      <c r="B825" s="20"/>
      <c r="C825" s="20" t="s">
        <v>1381</v>
      </c>
      <c r="D825" s="10" t="s">
        <v>9</v>
      </c>
      <c r="E825" s="13" t="s">
        <v>12</v>
      </c>
      <c r="F825" s="29">
        <v>50.97</v>
      </c>
    </row>
    <row r="826" hidden="1">
      <c r="A826" s="70">
        <v>46217.0</v>
      </c>
      <c r="B826" s="20"/>
      <c r="C826" s="20" t="s">
        <v>1408</v>
      </c>
      <c r="D826" s="10" t="s">
        <v>9</v>
      </c>
      <c r="E826" s="13" t="s">
        <v>12</v>
      </c>
      <c r="F826" s="29">
        <v>40.97</v>
      </c>
    </row>
    <row r="827" hidden="1">
      <c r="A827" s="70">
        <v>46217.0</v>
      </c>
      <c r="B827" s="86"/>
      <c r="C827" s="86" t="s">
        <v>1410</v>
      </c>
      <c r="D827" s="10" t="s">
        <v>9</v>
      </c>
      <c r="E827" s="13" t="s">
        <v>12</v>
      </c>
      <c r="F827" s="29">
        <v>35.97</v>
      </c>
    </row>
    <row r="828" hidden="1">
      <c r="A828" s="70">
        <v>46217.0</v>
      </c>
      <c r="B828" s="20"/>
      <c r="C828" s="20" t="s">
        <v>1412</v>
      </c>
      <c r="D828" s="10" t="s">
        <v>9</v>
      </c>
      <c r="E828" s="13" t="s">
        <v>12</v>
      </c>
      <c r="F828" s="29">
        <v>48.97</v>
      </c>
      <c r="G828" s="29">
        <v>2.0</v>
      </c>
    </row>
    <row r="829" hidden="1">
      <c r="A829" s="70">
        <v>46217.0</v>
      </c>
      <c r="B829" s="20"/>
      <c r="C829" s="20">
        <v>1.14733811E8</v>
      </c>
      <c r="D829" s="10" t="s">
        <v>9</v>
      </c>
      <c r="E829" s="13" t="s">
        <v>12</v>
      </c>
      <c r="F829" s="29">
        <v>85.97</v>
      </c>
    </row>
    <row r="830" hidden="1">
      <c r="A830" s="70">
        <v>46217.0</v>
      </c>
      <c r="B830" s="20"/>
      <c r="C830" s="20" t="s">
        <v>1416</v>
      </c>
      <c r="D830" s="10" t="s">
        <v>9</v>
      </c>
      <c r="E830" s="13" t="s">
        <v>12</v>
      </c>
      <c r="F830" s="29">
        <v>55.97</v>
      </c>
    </row>
    <row r="831" hidden="1">
      <c r="A831" s="70">
        <v>46217.0</v>
      </c>
      <c r="B831" s="20"/>
      <c r="C831" s="20" t="s">
        <v>1418</v>
      </c>
      <c r="D831" s="10" t="s">
        <v>9</v>
      </c>
      <c r="E831" s="13" t="s">
        <v>12</v>
      </c>
      <c r="F831" s="29">
        <v>70.97</v>
      </c>
    </row>
    <row r="832" hidden="1">
      <c r="A832" s="70">
        <v>46217.0</v>
      </c>
      <c r="B832" s="86"/>
      <c r="C832" s="86" t="s">
        <v>1420</v>
      </c>
      <c r="D832" s="10" t="s">
        <v>9</v>
      </c>
      <c r="E832" s="13" t="s">
        <v>12</v>
      </c>
      <c r="F832" s="29">
        <v>35.97</v>
      </c>
    </row>
    <row r="833" hidden="1">
      <c r="A833" s="70">
        <v>46217.0</v>
      </c>
      <c r="B833" s="86"/>
      <c r="C833" s="86" t="s">
        <v>1422</v>
      </c>
      <c r="D833" s="10" t="s">
        <v>9</v>
      </c>
      <c r="E833" s="13" t="s">
        <v>12</v>
      </c>
      <c r="F833" s="29">
        <v>25.97</v>
      </c>
    </row>
    <row r="834" hidden="1">
      <c r="A834" s="23"/>
      <c r="B834" s="59"/>
      <c r="C834" s="59"/>
      <c r="D834" s="62"/>
      <c r="E834" s="23"/>
      <c r="F834" s="23"/>
      <c r="G834" s="23"/>
    </row>
    <row r="835" hidden="1">
      <c r="A835" s="70">
        <v>46218.0</v>
      </c>
      <c r="B835" s="86"/>
      <c r="C835" s="86">
        <v>1.1473139E7</v>
      </c>
      <c r="D835" s="10" t="s">
        <v>9</v>
      </c>
      <c r="E835" s="13" t="s">
        <v>12</v>
      </c>
      <c r="F835" s="29">
        <v>60.97</v>
      </c>
    </row>
    <row r="836" hidden="1">
      <c r="A836" s="70">
        <v>46218.0</v>
      </c>
      <c r="B836" s="173"/>
      <c r="C836" s="173" t="s">
        <v>1427</v>
      </c>
      <c r="D836" s="10" t="s">
        <v>9</v>
      </c>
      <c r="E836" s="13" t="s">
        <v>12</v>
      </c>
      <c r="F836" s="29">
        <v>50.97</v>
      </c>
    </row>
    <row r="837" hidden="1">
      <c r="A837" s="70">
        <v>46218.0</v>
      </c>
      <c r="B837" s="20"/>
      <c r="C837" s="20" t="s">
        <v>1429</v>
      </c>
      <c r="D837" s="10" t="s">
        <v>9</v>
      </c>
      <c r="E837" s="13" t="s">
        <v>12</v>
      </c>
      <c r="F837" s="29">
        <v>55.97</v>
      </c>
    </row>
    <row r="838" hidden="1">
      <c r="A838" s="70">
        <v>46218.0</v>
      </c>
      <c r="B838" s="173"/>
      <c r="C838" s="173">
        <v>1.2131000003413E13</v>
      </c>
      <c r="D838" s="10" t="s">
        <v>9</v>
      </c>
      <c r="E838" s="13" t="s">
        <v>12</v>
      </c>
      <c r="F838" s="29">
        <v>22.97</v>
      </c>
    </row>
    <row r="839" hidden="1">
      <c r="A839" s="70">
        <v>46218.0</v>
      </c>
      <c r="B839" s="173"/>
      <c r="C839" s="173">
        <v>1.7431000001476E13</v>
      </c>
      <c r="D839" s="10" t="s">
        <v>9</v>
      </c>
      <c r="E839" s="13" t="s">
        <v>12</v>
      </c>
      <c r="F839" s="29">
        <v>70.97</v>
      </c>
    </row>
    <row r="840" hidden="1">
      <c r="A840" s="70">
        <v>46218.0</v>
      </c>
      <c r="B840" s="174"/>
      <c r="C840" s="174" t="s">
        <v>1432</v>
      </c>
      <c r="D840" s="10" t="s">
        <v>9</v>
      </c>
      <c r="E840" s="13" t="s">
        <v>12</v>
      </c>
      <c r="F840" s="29">
        <v>65.97</v>
      </c>
    </row>
    <row r="841" hidden="1">
      <c r="A841" s="70">
        <v>46218.0</v>
      </c>
      <c r="B841" s="120"/>
      <c r="C841" s="120" t="s">
        <v>590</v>
      </c>
      <c r="D841" s="10" t="s">
        <v>9</v>
      </c>
      <c r="E841" s="13" t="s">
        <v>12</v>
      </c>
      <c r="F841" s="29">
        <v>65.97</v>
      </c>
    </row>
    <row r="842" hidden="1">
      <c r="A842" s="70">
        <v>46218.0</v>
      </c>
      <c r="B842" s="86"/>
      <c r="C842" s="86">
        <v>1.195776E7</v>
      </c>
      <c r="D842" s="10" t="s">
        <v>9</v>
      </c>
      <c r="E842" s="13" t="s">
        <v>12</v>
      </c>
      <c r="F842" s="29">
        <v>225.97</v>
      </c>
    </row>
    <row r="843" hidden="1">
      <c r="A843" s="70">
        <v>46218.0</v>
      </c>
      <c r="B843" s="20"/>
      <c r="C843" s="20">
        <v>6034790.0</v>
      </c>
      <c r="D843" s="10" t="s">
        <v>9</v>
      </c>
      <c r="E843" s="13" t="s">
        <v>12</v>
      </c>
      <c r="F843" s="29">
        <v>54.97</v>
      </c>
    </row>
    <row r="844" hidden="1">
      <c r="A844" s="70">
        <v>46218.0</v>
      </c>
      <c r="B844" s="71"/>
      <c r="C844" s="71" t="s">
        <v>1437</v>
      </c>
      <c r="D844" s="10" t="s">
        <v>9</v>
      </c>
      <c r="E844" s="13" t="s">
        <v>12</v>
      </c>
      <c r="F844" s="29">
        <v>70.97</v>
      </c>
    </row>
    <row r="845" hidden="1">
      <c r="A845" s="70">
        <v>46218.0</v>
      </c>
      <c r="B845" s="121"/>
      <c r="C845" s="121" t="s">
        <v>1439</v>
      </c>
      <c r="D845" s="10" t="s">
        <v>9</v>
      </c>
      <c r="E845" s="13" t="s">
        <v>12</v>
      </c>
      <c r="F845" s="29">
        <v>45.97</v>
      </c>
    </row>
    <row r="846" hidden="1">
      <c r="A846" s="70">
        <v>46218.0</v>
      </c>
      <c r="B846" s="121"/>
      <c r="C846" s="121" t="s">
        <v>681</v>
      </c>
      <c r="D846" s="10" t="s">
        <v>9</v>
      </c>
      <c r="E846" s="13" t="s">
        <v>12</v>
      </c>
      <c r="F846" s="29">
        <v>75.97</v>
      </c>
    </row>
    <row r="847" hidden="1">
      <c r="A847" s="70">
        <v>46218.0</v>
      </c>
      <c r="B847" s="20"/>
      <c r="C847" s="20" t="s">
        <v>1441</v>
      </c>
      <c r="D847" s="10" t="s">
        <v>9</v>
      </c>
      <c r="E847" s="13" t="s">
        <v>12</v>
      </c>
      <c r="F847" s="29">
        <v>45.97</v>
      </c>
    </row>
    <row r="848" hidden="1">
      <c r="A848" s="70">
        <v>46218.0</v>
      </c>
      <c r="B848" s="121"/>
      <c r="C848" s="121" t="s">
        <v>1443</v>
      </c>
      <c r="D848" s="10" t="s">
        <v>9</v>
      </c>
      <c r="E848" s="13" t="s">
        <v>12</v>
      </c>
      <c r="F848" s="29">
        <v>55.97</v>
      </c>
    </row>
    <row r="849" hidden="1">
      <c r="A849" s="70">
        <v>46218.0</v>
      </c>
      <c r="B849" s="71"/>
      <c r="C849" s="71" t="s">
        <v>1445</v>
      </c>
      <c r="D849" s="10" t="s">
        <v>9</v>
      </c>
      <c r="E849" s="13" t="s">
        <v>12</v>
      </c>
      <c r="F849" s="29">
        <v>75.97</v>
      </c>
    </row>
    <row r="850" hidden="1">
      <c r="A850" s="70">
        <v>46218.0</v>
      </c>
      <c r="B850" s="121"/>
      <c r="C850" s="121" t="s">
        <v>548</v>
      </c>
      <c r="D850" s="10" t="s">
        <v>9</v>
      </c>
      <c r="E850" s="13" t="s">
        <v>12</v>
      </c>
      <c r="F850" s="29">
        <v>17.97</v>
      </c>
    </row>
    <row r="851" hidden="1">
      <c r="A851" s="70">
        <v>46218.0</v>
      </c>
      <c r="B851" s="121"/>
      <c r="C851" s="121" t="s">
        <v>1446</v>
      </c>
      <c r="D851" s="10" t="s">
        <v>9</v>
      </c>
      <c r="E851" s="13" t="s">
        <v>12</v>
      </c>
      <c r="F851" s="29">
        <v>225.97</v>
      </c>
    </row>
    <row r="852" hidden="1">
      <c r="A852" s="70">
        <v>46218.0</v>
      </c>
      <c r="B852" s="121"/>
      <c r="C852" s="121" t="s">
        <v>1448</v>
      </c>
      <c r="D852" s="10" t="s">
        <v>9</v>
      </c>
      <c r="E852" s="13" t="s">
        <v>12</v>
      </c>
      <c r="F852" s="29">
        <v>75.97</v>
      </c>
    </row>
    <row r="853" hidden="1">
      <c r="A853" s="70">
        <v>46218.0</v>
      </c>
      <c r="B853" s="20"/>
      <c r="C853" s="20" t="s">
        <v>1451</v>
      </c>
      <c r="D853" s="10" t="s">
        <v>9</v>
      </c>
      <c r="E853" s="13" t="s">
        <v>12</v>
      </c>
      <c r="F853" s="29">
        <v>125.97</v>
      </c>
    </row>
    <row r="854" hidden="1">
      <c r="A854" s="70">
        <v>46218.0</v>
      </c>
      <c r="B854" s="121"/>
      <c r="C854" s="121" t="s">
        <v>1453</v>
      </c>
      <c r="D854" s="10" t="s">
        <v>9</v>
      </c>
      <c r="E854" s="13" t="s">
        <v>12</v>
      </c>
      <c r="F854" s="29">
        <v>95.97</v>
      </c>
    </row>
    <row r="855" hidden="1">
      <c r="A855" s="70">
        <v>46218.0</v>
      </c>
      <c r="B855" s="20"/>
      <c r="C855" s="20" t="s">
        <v>1455</v>
      </c>
      <c r="D855" s="10" t="s">
        <v>9</v>
      </c>
      <c r="E855" s="13" t="s">
        <v>12</v>
      </c>
      <c r="F855" s="29">
        <v>45.97</v>
      </c>
    </row>
    <row r="856" hidden="1">
      <c r="A856" s="70">
        <v>46218.0</v>
      </c>
      <c r="B856" s="121"/>
      <c r="C856" s="121" t="s">
        <v>1456</v>
      </c>
      <c r="D856" s="10" t="s">
        <v>9</v>
      </c>
      <c r="E856" s="13" t="s">
        <v>12</v>
      </c>
      <c r="F856" s="29">
        <v>60.97</v>
      </c>
    </row>
    <row r="857" hidden="1">
      <c r="A857" s="70">
        <v>46218.0</v>
      </c>
      <c r="B857" s="20"/>
      <c r="C857" s="20" t="s">
        <v>1458</v>
      </c>
      <c r="D857" s="10" t="s">
        <v>9</v>
      </c>
      <c r="E857" s="13" t="s">
        <v>12</v>
      </c>
      <c r="F857" s="29">
        <v>25.97</v>
      </c>
      <c r="G857" s="29">
        <v>2.0</v>
      </c>
    </row>
    <row r="858" hidden="1">
      <c r="A858" s="70">
        <v>46218.0</v>
      </c>
      <c r="B858" s="96"/>
      <c r="C858" s="96" t="s">
        <v>1461</v>
      </c>
      <c r="D858" s="10" t="s">
        <v>9</v>
      </c>
      <c r="E858" s="13" t="s">
        <v>12</v>
      </c>
      <c r="F858" s="29">
        <v>30.97</v>
      </c>
    </row>
    <row r="859" hidden="1">
      <c r="A859" s="70">
        <v>46218.0</v>
      </c>
      <c r="B859" s="121"/>
      <c r="C859" s="121" t="s">
        <v>1464</v>
      </c>
      <c r="D859" s="10" t="s">
        <v>9</v>
      </c>
      <c r="E859" s="13" t="s">
        <v>12</v>
      </c>
      <c r="F859" s="29">
        <v>40.97</v>
      </c>
    </row>
    <row r="860" hidden="1">
      <c r="A860" s="70">
        <v>46218.0</v>
      </c>
      <c r="B860" s="86"/>
      <c r="C860" s="86" t="s">
        <v>1465</v>
      </c>
      <c r="D860" s="10" t="s">
        <v>9</v>
      </c>
      <c r="E860" s="13" t="s">
        <v>12</v>
      </c>
      <c r="F860" s="29">
        <v>150.97</v>
      </c>
    </row>
    <row r="861" hidden="1">
      <c r="A861" s="70">
        <v>46218.0</v>
      </c>
      <c r="B861" s="86"/>
      <c r="C861" s="86" t="s">
        <v>1469</v>
      </c>
      <c r="D861" s="10" t="s">
        <v>9</v>
      </c>
      <c r="E861" s="13" t="s">
        <v>12</v>
      </c>
      <c r="F861" s="29">
        <v>35.97</v>
      </c>
    </row>
    <row r="862" hidden="1">
      <c r="A862" s="70">
        <v>46218.0</v>
      </c>
      <c r="B862" s="86"/>
      <c r="C862" s="86" t="s">
        <v>1472</v>
      </c>
      <c r="D862" s="10" t="s">
        <v>9</v>
      </c>
      <c r="E862" s="13" t="s">
        <v>12</v>
      </c>
      <c r="F862" s="29">
        <v>25.97</v>
      </c>
    </row>
    <row r="863" hidden="1">
      <c r="A863" s="70">
        <v>46218.0</v>
      </c>
      <c r="B863" s="86"/>
      <c r="C863" s="86" t="s">
        <v>728</v>
      </c>
      <c r="D863" s="10" t="s">
        <v>9</v>
      </c>
      <c r="E863" s="13" t="s">
        <v>12</v>
      </c>
      <c r="F863" s="29">
        <v>55.97</v>
      </c>
    </row>
    <row r="864" hidden="1">
      <c r="A864" s="70">
        <v>46218.0</v>
      </c>
      <c r="B864" s="86"/>
      <c r="C864" s="86" t="s">
        <v>1474</v>
      </c>
      <c r="D864" s="10" t="s">
        <v>9</v>
      </c>
      <c r="E864" s="13" t="s">
        <v>12</v>
      </c>
      <c r="F864" s="29">
        <v>65.97</v>
      </c>
    </row>
    <row r="865" hidden="1">
      <c r="A865" s="151" t="s">
        <v>1262</v>
      </c>
      <c r="B865" s="59"/>
      <c r="C865" s="59"/>
      <c r="D865" s="62"/>
      <c r="E865" s="23"/>
      <c r="F865" s="23"/>
      <c r="G865" s="23"/>
    </row>
    <row r="866" hidden="1">
      <c r="A866" s="70">
        <v>46219.0</v>
      </c>
      <c r="B866" s="86"/>
      <c r="C866" s="86" t="s">
        <v>1307</v>
      </c>
      <c r="D866" s="10" t="s">
        <v>9</v>
      </c>
      <c r="E866" s="13" t="s">
        <v>12</v>
      </c>
      <c r="F866" s="29">
        <v>21.97</v>
      </c>
    </row>
    <row r="867" hidden="1">
      <c r="A867" s="70">
        <v>46219.0</v>
      </c>
      <c r="B867" s="86"/>
      <c r="C867" s="86" t="s">
        <v>737</v>
      </c>
      <c r="D867" s="10" t="s">
        <v>9</v>
      </c>
      <c r="E867" s="13" t="s">
        <v>12</v>
      </c>
      <c r="F867" s="29">
        <v>35.97</v>
      </c>
    </row>
    <row r="868" hidden="1">
      <c r="A868" s="70">
        <v>46219.0</v>
      </c>
      <c r="B868" s="71"/>
      <c r="C868" s="71" t="s">
        <v>1482</v>
      </c>
      <c r="D868" s="10" t="s">
        <v>9</v>
      </c>
      <c r="E868" s="13" t="s">
        <v>12</v>
      </c>
      <c r="F868" s="29">
        <v>37.97</v>
      </c>
    </row>
    <row r="869" hidden="1">
      <c r="A869" s="70">
        <v>46219.0</v>
      </c>
      <c r="B869" s="121"/>
      <c r="C869" s="121" t="s">
        <v>1485</v>
      </c>
      <c r="D869" s="10" t="s">
        <v>9</v>
      </c>
      <c r="E869" s="13" t="s">
        <v>12</v>
      </c>
      <c r="F869" s="29">
        <v>45.97</v>
      </c>
    </row>
    <row r="870" hidden="1">
      <c r="A870" s="70">
        <v>46219.0</v>
      </c>
      <c r="B870" s="20"/>
      <c r="C870" s="20" t="s">
        <v>1488</v>
      </c>
      <c r="D870" s="10" t="s">
        <v>9</v>
      </c>
      <c r="E870" s="13" t="s">
        <v>12</v>
      </c>
      <c r="F870" s="29">
        <v>215.97</v>
      </c>
    </row>
    <row r="871" hidden="1">
      <c r="A871" s="70">
        <v>46219.0</v>
      </c>
      <c r="B871" s="86"/>
      <c r="C871" s="86" t="s">
        <v>1490</v>
      </c>
      <c r="D871" s="10" t="s">
        <v>9</v>
      </c>
      <c r="E871" s="13" t="s">
        <v>12</v>
      </c>
      <c r="F871" s="29">
        <v>20.97</v>
      </c>
    </row>
    <row r="872" hidden="1">
      <c r="A872" s="70">
        <v>46219.0</v>
      </c>
      <c r="B872" s="121"/>
      <c r="C872" s="121" t="s">
        <v>1492</v>
      </c>
      <c r="D872" s="10" t="s">
        <v>9</v>
      </c>
      <c r="E872" s="13" t="s">
        <v>12</v>
      </c>
      <c r="F872" s="29">
        <v>30.97</v>
      </c>
    </row>
    <row r="873" hidden="1">
      <c r="A873" s="70">
        <v>46219.0</v>
      </c>
      <c r="B873" s="121"/>
      <c r="C873" s="121" t="s">
        <v>284</v>
      </c>
      <c r="D873" s="10" t="s">
        <v>9</v>
      </c>
      <c r="E873" s="13" t="s">
        <v>12</v>
      </c>
      <c r="F873" s="29">
        <v>58.97</v>
      </c>
    </row>
    <row r="874" hidden="1">
      <c r="A874" s="70">
        <v>46219.0</v>
      </c>
      <c r="B874" s="86"/>
      <c r="C874" s="86" t="s">
        <v>1495</v>
      </c>
      <c r="D874" s="10" t="s">
        <v>9</v>
      </c>
      <c r="E874" s="13" t="s">
        <v>12</v>
      </c>
      <c r="F874" s="29">
        <v>28.97</v>
      </c>
    </row>
    <row r="875" hidden="1">
      <c r="A875" s="70">
        <v>46219.0</v>
      </c>
      <c r="B875" s="86"/>
      <c r="C875" s="86" t="s">
        <v>1496</v>
      </c>
      <c r="D875" s="10" t="s">
        <v>9</v>
      </c>
      <c r="E875" s="13" t="s">
        <v>12</v>
      </c>
      <c r="F875" s="29">
        <v>55.97</v>
      </c>
    </row>
    <row r="876" hidden="1">
      <c r="A876" s="70">
        <v>46219.0</v>
      </c>
      <c r="B876" s="121"/>
      <c r="C876" s="121" t="s">
        <v>748</v>
      </c>
      <c r="D876" s="10" t="s">
        <v>9</v>
      </c>
      <c r="E876" s="13" t="s">
        <v>12</v>
      </c>
      <c r="F876" s="29">
        <v>35.97</v>
      </c>
      <c r="G876" s="29">
        <v>2.0</v>
      </c>
    </row>
    <row r="877" hidden="1">
      <c r="A877" s="70">
        <v>46219.0</v>
      </c>
      <c r="B877" s="99"/>
      <c r="C877" s="99" t="s">
        <v>1500</v>
      </c>
      <c r="D877" s="10" t="s">
        <v>9</v>
      </c>
      <c r="E877" s="13" t="s">
        <v>12</v>
      </c>
      <c r="F877" s="29">
        <v>195.97</v>
      </c>
    </row>
    <row r="878" hidden="1">
      <c r="A878" s="70">
        <v>46219.0</v>
      </c>
      <c r="B878" s="86"/>
      <c r="C878" s="86" t="s">
        <v>1502</v>
      </c>
      <c r="D878" s="10" t="s">
        <v>9</v>
      </c>
      <c r="E878" s="13" t="s">
        <v>12</v>
      </c>
      <c r="F878" s="29">
        <v>215.97</v>
      </c>
    </row>
    <row r="879" hidden="1">
      <c r="A879" s="70">
        <v>46219.0</v>
      </c>
      <c r="B879" s="86"/>
      <c r="C879" s="86" t="s">
        <v>872</v>
      </c>
      <c r="D879" s="10" t="s">
        <v>9</v>
      </c>
      <c r="E879" s="13" t="s">
        <v>12</v>
      </c>
      <c r="F879" s="29">
        <v>55.97</v>
      </c>
    </row>
    <row r="880" hidden="1">
      <c r="A880" s="70">
        <v>46219.0</v>
      </c>
      <c r="B880" s="86"/>
      <c r="C880" s="86" t="s">
        <v>1505</v>
      </c>
      <c r="D880" s="10" t="s">
        <v>9</v>
      </c>
      <c r="E880" s="13" t="s">
        <v>12</v>
      </c>
      <c r="F880" s="29">
        <v>157.97</v>
      </c>
    </row>
    <row r="881" hidden="1">
      <c r="A881" s="70">
        <v>46219.0</v>
      </c>
      <c r="B881" s="86"/>
      <c r="C881" s="86" t="s">
        <v>1508</v>
      </c>
      <c r="D881" s="10" t="s">
        <v>9</v>
      </c>
      <c r="E881" s="13" t="s">
        <v>12</v>
      </c>
      <c r="F881" s="29">
        <v>155.97</v>
      </c>
    </row>
    <row r="882" hidden="1">
      <c r="A882" s="98"/>
      <c r="B882" s="59"/>
      <c r="C882" s="59"/>
      <c r="D882" s="97"/>
      <c r="E882" s="69"/>
      <c r="F882" s="23"/>
      <c r="G882" s="23"/>
    </row>
    <row r="883" hidden="1">
      <c r="A883" s="70">
        <v>46220.0</v>
      </c>
      <c r="B883" s="74"/>
      <c r="C883" s="74" t="s">
        <v>929</v>
      </c>
      <c r="D883" s="10" t="s">
        <v>9</v>
      </c>
      <c r="E883" s="13" t="s">
        <v>12</v>
      </c>
      <c r="F883" s="29">
        <v>115.97</v>
      </c>
    </row>
    <row r="884" hidden="1">
      <c r="A884" s="70">
        <v>46220.0</v>
      </c>
      <c r="B884" s="20"/>
      <c r="C884" s="20" t="s">
        <v>1511</v>
      </c>
      <c r="D884" s="10" t="s">
        <v>9</v>
      </c>
      <c r="E884" s="13" t="s">
        <v>12</v>
      </c>
      <c r="F884" s="29">
        <v>24.97</v>
      </c>
    </row>
    <row r="885" hidden="1">
      <c r="A885" s="70">
        <v>46220.0</v>
      </c>
      <c r="B885" s="121"/>
      <c r="C885" s="121" t="s">
        <v>1512</v>
      </c>
      <c r="D885" s="10" t="s">
        <v>9</v>
      </c>
      <c r="E885" s="13" t="s">
        <v>12</v>
      </c>
      <c r="F885" s="29">
        <v>66.97</v>
      </c>
    </row>
    <row r="886" hidden="1">
      <c r="A886" s="70">
        <v>46220.0</v>
      </c>
      <c r="B886" s="121"/>
      <c r="C886" s="121" t="s">
        <v>1515</v>
      </c>
      <c r="D886" s="10" t="s">
        <v>9</v>
      </c>
      <c r="E886" s="13" t="s">
        <v>12</v>
      </c>
      <c r="F886" s="29">
        <v>39.97</v>
      </c>
    </row>
    <row r="887" hidden="1">
      <c r="A887" s="70">
        <v>46220.0</v>
      </c>
      <c r="B887" s="86"/>
      <c r="C887" s="86" t="s">
        <v>1517</v>
      </c>
      <c r="D887" s="10" t="s">
        <v>9</v>
      </c>
      <c r="E887" s="13" t="s">
        <v>12</v>
      </c>
      <c r="F887" s="29">
        <v>24.97</v>
      </c>
    </row>
    <row r="888" hidden="1">
      <c r="A888" s="70">
        <v>46220.0</v>
      </c>
      <c r="B888" s="121"/>
      <c r="C888" s="121" t="s">
        <v>1520</v>
      </c>
      <c r="D888" s="10" t="s">
        <v>9</v>
      </c>
      <c r="E888" s="13" t="s">
        <v>12</v>
      </c>
      <c r="F888" s="29">
        <v>35.97</v>
      </c>
    </row>
    <row r="889" hidden="1">
      <c r="A889" s="70">
        <v>46220.0</v>
      </c>
      <c r="B889" s="86"/>
      <c r="C889" s="86" t="s">
        <v>1522</v>
      </c>
      <c r="D889" s="10" t="s">
        <v>9</v>
      </c>
      <c r="E889" s="13" t="s">
        <v>12</v>
      </c>
      <c r="F889" s="29">
        <v>55.97</v>
      </c>
    </row>
    <row r="890" hidden="1">
      <c r="A890" s="70">
        <v>46220.0</v>
      </c>
      <c r="B890" s="86"/>
      <c r="C890" s="86" t="s">
        <v>312</v>
      </c>
      <c r="D890" s="10" t="s">
        <v>9</v>
      </c>
      <c r="E890" s="13" t="s">
        <v>12</v>
      </c>
      <c r="F890" s="29">
        <v>26.97</v>
      </c>
      <c r="G890" s="29">
        <v>3.0</v>
      </c>
    </row>
    <row r="891" hidden="1">
      <c r="A891" s="70">
        <v>46220.0</v>
      </c>
      <c r="B891" s="86"/>
      <c r="C891" s="86" t="s">
        <v>1527</v>
      </c>
      <c r="D891" s="10" t="s">
        <v>9</v>
      </c>
      <c r="E891" s="13" t="s">
        <v>12</v>
      </c>
      <c r="F891" s="29">
        <v>45.97</v>
      </c>
    </row>
    <row r="892" hidden="1">
      <c r="A892" s="70">
        <v>46220.0</v>
      </c>
      <c r="B892" s="86"/>
      <c r="C892" s="86" t="s">
        <v>1530</v>
      </c>
      <c r="D892" s="10" t="s">
        <v>9</v>
      </c>
      <c r="E892" s="13" t="s">
        <v>12</v>
      </c>
      <c r="F892" s="29">
        <v>25.97</v>
      </c>
      <c r="G892" s="29">
        <v>2.0</v>
      </c>
    </row>
    <row r="893" hidden="1">
      <c r="A893" s="70">
        <v>46220.0</v>
      </c>
      <c r="B893" s="86"/>
      <c r="C893" s="86" t="s">
        <v>1531</v>
      </c>
      <c r="D893" s="10" t="s">
        <v>9</v>
      </c>
      <c r="E893" s="13" t="s">
        <v>12</v>
      </c>
      <c r="F893" s="29">
        <v>42.97</v>
      </c>
    </row>
    <row r="894" hidden="1">
      <c r="A894" s="70">
        <v>46220.0</v>
      </c>
      <c r="B894" s="20"/>
      <c r="C894" s="20" t="s">
        <v>1534</v>
      </c>
      <c r="D894" s="10" t="s">
        <v>9</v>
      </c>
      <c r="E894" s="13" t="s">
        <v>12</v>
      </c>
      <c r="F894" s="29">
        <v>28.97</v>
      </c>
      <c r="G894" s="29">
        <v>4.0</v>
      </c>
    </row>
    <row r="895" hidden="1">
      <c r="A895" s="70">
        <v>46220.0</v>
      </c>
      <c r="B895" s="86"/>
      <c r="C895" s="86" t="s">
        <v>1536</v>
      </c>
      <c r="D895" s="10" t="s">
        <v>9</v>
      </c>
      <c r="E895" s="13" t="s">
        <v>12</v>
      </c>
      <c r="F895" s="29">
        <v>37.97</v>
      </c>
    </row>
    <row r="896" hidden="1">
      <c r="A896" s="70">
        <v>46220.0</v>
      </c>
      <c r="B896" s="86"/>
      <c r="C896" s="86" t="s">
        <v>1538</v>
      </c>
      <c r="D896" s="10" t="s">
        <v>9</v>
      </c>
      <c r="E896" s="13" t="s">
        <v>12</v>
      </c>
      <c r="F896" s="29">
        <v>48.97</v>
      </c>
    </row>
    <row r="897" hidden="1">
      <c r="A897" s="70">
        <v>46220.0</v>
      </c>
      <c r="B897" s="86"/>
      <c r="C897" s="86" t="s">
        <v>1539</v>
      </c>
      <c r="D897" s="10" t="s">
        <v>9</v>
      </c>
      <c r="E897" s="13" t="s">
        <v>12</v>
      </c>
      <c r="F897" s="29">
        <v>28.97</v>
      </c>
    </row>
    <row r="898" hidden="1">
      <c r="A898" s="70">
        <v>46220.0</v>
      </c>
      <c r="B898" s="86"/>
      <c r="C898" s="86" t="s">
        <v>1540</v>
      </c>
      <c r="D898" s="10" t="s">
        <v>9</v>
      </c>
      <c r="E898" s="13" t="s">
        <v>12</v>
      </c>
      <c r="F898" s="29">
        <v>48.97</v>
      </c>
      <c r="G898" s="29">
        <v>2.0</v>
      </c>
    </row>
    <row r="899" hidden="1">
      <c r="A899" s="70">
        <v>46220.0</v>
      </c>
      <c r="B899" s="71"/>
      <c r="C899" s="71" t="s">
        <v>1541</v>
      </c>
      <c r="D899" s="10" t="s">
        <v>9</v>
      </c>
      <c r="E899" s="13" t="s">
        <v>12</v>
      </c>
      <c r="F899" s="29">
        <v>38.97</v>
      </c>
      <c r="G899" s="29">
        <v>2.0</v>
      </c>
    </row>
    <row r="900" hidden="1">
      <c r="A900" s="70">
        <v>46220.0</v>
      </c>
      <c r="B900" s="86"/>
      <c r="C900" s="86" t="s">
        <v>1543</v>
      </c>
      <c r="D900" s="10" t="s">
        <v>9</v>
      </c>
      <c r="E900" s="13" t="s">
        <v>12</v>
      </c>
      <c r="F900" s="29">
        <v>23.97</v>
      </c>
    </row>
    <row r="901" hidden="1">
      <c r="A901" s="70">
        <v>46220.0</v>
      </c>
      <c r="B901" s="86"/>
      <c r="C901" s="86" t="s">
        <v>1546</v>
      </c>
      <c r="D901" s="10" t="s">
        <v>9</v>
      </c>
      <c r="E901" s="13" t="s">
        <v>12</v>
      </c>
      <c r="F901" s="29">
        <v>60.97</v>
      </c>
    </row>
    <row r="902" hidden="1">
      <c r="A902" s="70">
        <v>46220.0</v>
      </c>
      <c r="B902" s="20"/>
      <c r="C902" s="20" t="s">
        <v>1547</v>
      </c>
      <c r="D902" s="10" t="s">
        <v>9</v>
      </c>
      <c r="E902" s="13" t="s">
        <v>12</v>
      </c>
      <c r="F902" s="29">
        <v>23.97</v>
      </c>
    </row>
    <row r="903" hidden="1">
      <c r="A903" s="70">
        <v>46220.0</v>
      </c>
      <c r="B903" s="86"/>
      <c r="C903" s="86" t="s">
        <v>1548</v>
      </c>
      <c r="D903" s="10" t="s">
        <v>9</v>
      </c>
      <c r="E903" s="13" t="s">
        <v>12</v>
      </c>
      <c r="F903" s="29">
        <v>115.97</v>
      </c>
    </row>
    <row r="904" hidden="1">
      <c r="A904" s="70">
        <v>46220.0</v>
      </c>
      <c r="B904" s="86"/>
      <c r="C904" s="86" t="s">
        <v>1549</v>
      </c>
      <c r="D904" s="10" t="s">
        <v>9</v>
      </c>
      <c r="E904" s="13" t="s">
        <v>12</v>
      </c>
      <c r="F904" s="29">
        <v>23.97</v>
      </c>
    </row>
    <row r="905" hidden="1">
      <c r="A905" s="70">
        <v>46220.0</v>
      </c>
      <c r="B905" s="86"/>
      <c r="C905" s="86" t="s">
        <v>1551</v>
      </c>
      <c r="D905" s="10" t="s">
        <v>9</v>
      </c>
      <c r="E905" s="13" t="s">
        <v>12</v>
      </c>
      <c r="F905" s="29">
        <v>30.97</v>
      </c>
    </row>
    <row r="906" hidden="1">
      <c r="A906" s="70">
        <v>46220.0</v>
      </c>
      <c r="B906" s="86"/>
      <c r="C906" s="86" t="s">
        <v>1553</v>
      </c>
      <c r="D906" s="10" t="s">
        <v>9</v>
      </c>
      <c r="E906" s="13" t="s">
        <v>12</v>
      </c>
      <c r="F906" s="29">
        <v>60.97</v>
      </c>
    </row>
    <row r="907" hidden="1">
      <c r="A907" s="70">
        <v>46220.0</v>
      </c>
      <c r="B907" s="86"/>
      <c r="C907" s="86" t="s">
        <v>1554</v>
      </c>
      <c r="D907" s="10" t="s">
        <v>9</v>
      </c>
      <c r="E907" s="13" t="s">
        <v>12</v>
      </c>
      <c r="F907" s="29">
        <v>43.97</v>
      </c>
    </row>
    <row r="908" hidden="1">
      <c r="A908" s="70">
        <v>46220.0</v>
      </c>
      <c r="B908" s="86"/>
      <c r="C908" s="86" t="s">
        <v>1556</v>
      </c>
      <c r="D908" s="10" t="s">
        <v>9</v>
      </c>
      <c r="E908" s="13" t="s">
        <v>12</v>
      </c>
      <c r="F908" s="29">
        <v>27.97</v>
      </c>
    </row>
    <row r="909" hidden="1">
      <c r="A909" s="23"/>
      <c r="B909" s="59"/>
      <c r="C909" s="59"/>
      <c r="D909" s="62"/>
      <c r="E909" s="23"/>
      <c r="F909" s="23"/>
      <c r="G909" s="23"/>
    </row>
    <row r="910" hidden="1">
      <c r="A910" s="70">
        <v>46224.0</v>
      </c>
      <c r="B910" s="20"/>
      <c r="C910" s="20" t="s">
        <v>1557</v>
      </c>
      <c r="D910" s="10" t="s">
        <v>9</v>
      </c>
      <c r="E910" s="13" t="s">
        <v>12</v>
      </c>
      <c r="F910" s="29">
        <v>65.97</v>
      </c>
    </row>
    <row r="911" hidden="1">
      <c r="A911" s="70">
        <v>46224.0</v>
      </c>
      <c r="B911" s="86"/>
      <c r="C911" s="86" t="s">
        <v>1559</v>
      </c>
      <c r="D911" s="10" t="s">
        <v>9</v>
      </c>
      <c r="E911" s="13" t="s">
        <v>12</v>
      </c>
      <c r="F911" s="29">
        <v>21.97</v>
      </c>
    </row>
    <row r="912" hidden="1">
      <c r="A912" s="70">
        <v>46224.0</v>
      </c>
      <c r="B912" s="20"/>
      <c r="C912" s="20" t="s">
        <v>1561</v>
      </c>
      <c r="D912" s="10" t="s">
        <v>9</v>
      </c>
      <c r="E912" s="13" t="s">
        <v>12</v>
      </c>
      <c r="F912" s="29">
        <v>53.97</v>
      </c>
      <c r="G912" s="29">
        <v>2.0</v>
      </c>
    </row>
    <row r="913" hidden="1">
      <c r="A913" s="70">
        <v>46224.0</v>
      </c>
      <c r="B913" s="86"/>
      <c r="C913" s="86" t="s">
        <v>191</v>
      </c>
      <c r="D913" s="10" t="s">
        <v>9</v>
      </c>
      <c r="E913" s="13" t="s">
        <v>12</v>
      </c>
      <c r="F913" s="29">
        <v>72.97</v>
      </c>
    </row>
    <row r="914" hidden="1">
      <c r="A914" s="70">
        <v>46224.0</v>
      </c>
      <c r="B914" s="20"/>
      <c r="C914" s="20" t="s">
        <v>1564</v>
      </c>
      <c r="D914" s="10" t="s">
        <v>9</v>
      </c>
      <c r="E914" s="13" t="s">
        <v>12</v>
      </c>
      <c r="F914" s="29">
        <v>25.97</v>
      </c>
      <c r="G914" s="29">
        <v>2.0</v>
      </c>
    </row>
    <row r="915" hidden="1">
      <c r="A915" s="70">
        <v>46224.0</v>
      </c>
      <c r="B915" s="86"/>
      <c r="C915" s="86" t="s">
        <v>1566</v>
      </c>
      <c r="D915" s="10" t="s">
        <v>9</v>
      </c>
      <c r="E915" s="13" t="s">
        <v>12</v>
      </c>
      <c r="F915" s="29">
        <v>23.97</v>
      </c>
    </row>
    <row r="916" hidden="1">
      <c r="A916" s="70">
        <v>46224.0</v>
      </c>
      <c r="B916" s="20"/>
      <c r="C916" s="20" t="s">
        <v>1568</v>
      </c>
      <c r="D916" s="10" t="s">
        <v>9</v>
      </c>
      <c r="E916" s="13" t="s">
        <v>12</v>
      </c>
      <c r="F916" s="29">
        <v>20.97</v>
      </c>
    </row>
    <row r="917" hidden="1">
      <c r="A917" s="70">
        <v>46224.0</v>
      </c>
      <c r="B917" s="20"/>
      <c r="C917" s="20" t="s">
        <v>675</v>
      </c>
      <c r="D917" s="10" t="s">
        <v>9</v>
      </c>
      <c r="E917" s="13" t="s">
        <v>12</v>
      </c>
      <c r="F917" s="29">
        <v>19.97</v>
      </c>
      <c r="G917" s="29">
        <v>2.0</v>
      </c>
    </row>
    <row r="918" hidden="1">
      <c r="A918" s="70">
        <v>46224.0</v>
      </c>
      <c r="B918" s="20"/>
      <c r="C918" s="20" t="s">
        <v>1569</v>
      </c>
      <c r="D918" s="10" t="s">
        <v>9</v>
      </c>
      <c r="E918" s="13" t="s">
        <v>12</v>
      </c>
      <c r="F918" s="29">
        <v>45.97</v>
      </c>
    </row>
    <row r="919" hidden="1">
      <c r="A919" s="70">
        <v>46224.0</v>
      </c>
      <c r="B919" s="86"/>
      <c r="C919" s="86" t="s">
        <v>1570</v>
      </c>
      <c r="D919" s="10" t="s">
        <v>9</v>
      </c>
      <c r="E919" s="13" t="s">
        <v>12</v>
      </c>
      <c r="F919" s="29">
        <v>20.97</v>
      </c>
    </row>
    <row r="920" hidden="1">
      <c r="A920" s="70">
        <v>46224.0</v>
      </c>
      <c r="B920" s="86"/>
      <c r="C920" s="86" t="s">
        <v>1571</v>
      </c>
      <c r="D920" s="10" t="s">
        <v>9</v>
      </c>
      <c r="E920" s="13" t="s">
        <v>12</v>
      </c>
      <c r="F920" s="29">
        <v>30.97</v>
      </c>
    </row>
    <row r="921" hidden="1">
      <c r="A921" s="70">
        <v>46224.0</v>
      </c>
      <c r="B921" s="86"/>
      <c r="C921" s="86" t="s">
        <v>667</v>
      </c>
      <c r="D921" s="10" t="s">
        <v>9</v>
      </c>
      <c r="E921" s="13" t="s">
        <v>12</v>
      </c>
      <c r="F921" s="29">
        <v>21.97</v>
      </c>
    </row>
    <row r="922" hidden="1">
      <c r="A922" s="70">
        <v>46224.0</v>
      </c>
      <c r="B922" s="86"/>
      <c r="C922" s="86" t="s">
        <v>1572</v>
      </c>
      <c r="D922" s="10" t="s">
        <v>9</v>
      </c>
      <c r="E922" s="13" t="s">
        <v>12</v>
      </c>
      <c r="F922" s="29">
        <v>19.97</v>
      </c>
      <c r="G922" s="29">
        <v>2.0</v>
      </c>
    </row>
    <row r="923" hidden="1">
      <c r="A923" s="70">
        <v>46224.0</v>
      </c>
      <c r="B923" s="20"/>
      <c r="C923" s="20" t="s">
        <v>1573</v>
      </c>
      <c r="D923" s="10" t="s">
        <v>9</v>
      </c>
      <c r="E923" s="13" t="s">
        <v>12</v>
      </c>
      <c r="F923" s="29">
        <v>33.97</v>
      </c>
    </row>
    <row r="924" hidden="1">
      <c r="A924" s="70">
        <v>46224.0</v>
      </c>
      <c r="B924" s="86"/>
      <c r="C924" s="86" t="s">
        <v>1574</v>
      </c>
      <c r="D924" s="10" t="s">
        <v>9</v>
      </c>
      <c r="E924" s="13" t="s">
        <v>12</v>
      </c>
      <c r="F924" s="29">
        <v>199.97</v>
      </c>
    </row>
    <row r="925" hidden="1">
      <c r="A925" s="70">
        <v>46224.0</v>
      </c>
      <c r="B925" s="86"/>
      <c r="C925" s="86" t="s">
        <v>1575</v>
      </c>
      <c r="D925" s="10" t="s">
        <v>9</v>
      </c>
      <c r="E925" s="13" t="s">
        <v>12</v>
      </c>
      <c r="F925" s="29">
        <v>44.97</v>
      </c>
    </row>
    <row r="926" hidden="1">
      <c r="A926" s="70">
        <v>46224.0</v>
      </c>
      <c r="B926" s="86"/>
      <c r="C926" s="86" t="s">
        <v>1578</v>
      </c>
      <c r="D926" s="10" t="s">
        <v>9</v>
      </c>
      <c r="E926" s="13" t="s">
        <v>12</v>
      </c>
      <c r="F926" s="29">
        <v>25.97</v>
      </c>
    </row>
    <row r="927" hidden="1">
      <c r="A927" s="70">
        <v>46224.0</v>
      </c>
      <c r="B927" s="86"/>
      <c r="C927" s="86" t="s">
        <v>1580</v>
      </c>
      <c r="D927" s="10" t="s">
        <v>9</v>
      </c>
      <c r="E927" s="13" t="s">
        <v>12</v>
      </c>
      <c r="F927" s="29">
        <v>22.97</v>
      </c>
    </row>
    <row r="928" hidden="1">
      <c r="A928" s="70">
        <v>46224.0</v>
      </c>
      <c r="B928" s="20"/>
      <c r="C928" s="20" t="s">
        <v>672</v>
      </c>
      <c r="D928" s="10" t="s">
        <v>9</v>
      </c>
      <c r="E928" s="13" t="s">
        <v>12</v>
      </c>
      <c r="F928" s="29">
        <v>22.97</v>
      </c>
      <c r="G928" s="29">
        <v>2.0</v>
      </c>
    </row>
    <row r="929" hidden="1">
      <c r="A929" s="70">
        <v>46224.0</v>
      </c>
      <c r="B929" s="86"/>
      <c r="C929" s="86" t="s">
        <v>1582</v>
      </c>
      <c r="D929" s="10" t="s">
        <v>9</v>
      </c>
      <c r="E929" s="13" t="s">
        <v>12</v>
      </c>
      <c r="F929" s="29">
        <v>21.97</v>
      </c>
    </row>
    <row r="930" hidden="1">
      <c r="A930" s="70">
        <v>46224.0</v>
      </c>
      <c r="B930" s="86"/>
      <c r="C930" s="86" t="s">
        <v>1583</v>
      </c>
      <c r="D930" s="10" t="s">
        <v>9</v>
      </c>
      <c r="E930" s="13" t="s">
        <v>12</v>
      </c>
      <c r="F930" s="29">
        <v>27.97</v>
      </c>
      <c r="G930" s="29">
        <v>2.0</v>
      </c>
    </row>
    <row r="931" hidden="1">
      <c r="A931" s="70">
        <v>46224.0</v>
      </c>
      <c r="B931" s="86"/>
      <c r="C931" s="86" t="s">
        <v>1585</v>
      </c>
      <c r="D931" s="10" t="s">
        <v>9</v>
      </c>
      <c r="E931" s="13" t="s">
        <v>12</v>
      </c>
      <c r="F931" s="29">
        <v>20.97</v>
      </c>
      <c r="G931" s="29">
        <v>4.0</v>
      </c>
    </row>
    <row r="932" hidden="1">
      <c r="A932" s="70">
        <v>46224.0</v>
      </c>
      <c r="B932" s="86"/>
      <c r="C932" s="86" t="s">
        <v>1364</v>
      </c>
      <c r="D932" s="10" t="s">
        <v>9</v>
      </c>
      <c r="E932" s="13" t="s">
        <v>12</v>
      </c>
      <c r="F932" s="29">
        <v>20.97</v>
      </c>
    </row>
    <row r="933" hidden="1">
      <c r="A933" s="70">
        <v>46224.0</v>
      </c>
      <c r="B933" s="86"/>
      <c r="C933" s="86" t="s">
        <v>1587</v>
      </c>
      <c r="D933" s="10" t="s">
        <v>9</v>
      </c>
      <c r="E933" s="13" t="s">
        <v>12</v>
      </c>
      <c r="F933" s="29">
        <v>22.97</v>
      </c>
      <c r="G933" s="29">
        <v>2.0</v>
      </c>
    </row>
    <row r="934" hidden="1">
      <c r="A934" s="70">
        <v>46224.0</v>
      </c>
      <c r="B934" s="71"/>
      <c r="C934" s="71" t="s">
        <v>691</v>
      </c>
      <c r="D934" s="10" t="s">
        <v>9</v>
      </c>
      <c r="E934" s="13" t="s">
        <v>12</v>
      </c>
      <c r="F934" s="29">
        <v>27.97</v>
      </c>
    </row>
    <row r="935" hidden="1">
      <c r="A935" s="70">
        <v>46224.0</v>
      </c>
      <c r="B935" s="86"/>
      <c r="C935" s="86" t="s">
        <v>1590</v>
      </c>
      <c r="D935" s="10" t="s">
        <v>9</v>
      </c>
      <c r="E935" s="13" t="s">
        <v>12</v>
      </c>
      <c r="F935" s="29">
        <v>32.97</v>
      </c>
    </row>
    <row r="936" hidden="1">
      <c r="A936" s="70">
        <v>46224.0</v>
      </c>
      <c r="B936" s="86"/>
      <c r="C936" s="86" t="s">
        <v>1592</v>
      </c>
      <c r="D936" s="10" t="s">
        <v>9</v>
      </c>
      <c r="E936" s="13" t="s">
        <v>12</v>
      </c>
      <c r="F936" s="29">
        <v>16.97</v>
      </c>
    </row>
    <row r="937" hidden="1">
      <c r="A937" s="70">
        <v>46224.0</v>
      </c>
      <c r="B937" s="86"/>
      <c r="C937" s="86" t="s">
        <v>1593</v>
      </c>
      <c r="D937" s="10" t="s">
        <v>9</v>
      </c>
      <c r="E937" s="13" t="s">
        <v>12</v>
      </c>
      <c r="F937" s="29">
        <v>45.97</v>
      </c>
    </row>
    <row r="938" hidden="1">
      <c r="A938" s="70">
        <v>46224.0</v>
      </c>
      <c r="B938" s="86"/>
      <c r="C938" s="86" t="s">
        <v>1595</v>
      </c>
      <c r="D938" s="10" t="s">
        <v>9</v>
      </c>
      <c r="E938" s="13" t="s">
        <v>12</v>
      </c>
      <c r="F938" s="29">
        <v>48.97</v>
      </c>
      <c r="G938" s="29">
        <v>2.0</v>
      </c>
    </row>
    <row r="939" hidden="1">
      <c r="A939" s="70">
        <v>46224.0</v>
      </c>
      <c r="B939" s="86"/>
      <c r="C939" s="86" t="s">
        <v>1598</v>
      </c>
      <c r="D939" s="10" t="s">
        <v>9</v>
      </c>
      <c r="E939" s="13" t="s">
        <v>12</v>
      </c>
      <c r="F939" s="29">
        <v>50.97</v>
      </c>
    </row>
    <row r="940" hidden="1">
      <c r="A940" s="23"/>
      <c r="B940" s="59"/>
      <c r="C940" s="59"/>
      <c r="D940" s="62"/>
      <c r="E940" s="23"/>
      <c r="F940" s="23"/>
      <c r="G940" s="23"/>
    </row>
    <row r="941" hidden="1">
      <c r="A941" s="70">
        <v>46225.0</v>
      </c>
      <c r="B941" s="20"/>
      <c r="C941" s="20" t="s">
        <v>1599</v>
      </c>
      <c r="D941" s="10" t="s">
        <v>9</v>
      </c>
      <c r="E941" s="13" t="s">
        <v>12</v>
      </c>
      <c r="F941" s="29">
        <v>22.97</v>
      </c>
    </row>
    <row r="942" hidden="1">
      <c r="A942" s="70">
        <v>46225.0</v>
      </c>
      <c r="B942" s="96"/>
      <c r="C942" s="96" t="s">
        <v>1603</v>
      </c>
      <c r="D942" s="10" t="s">
        <v>9</v>
      </c>
      <c r="E942" s="13" t="s">
        <v>12</v>
      </c>
      <c r="F942" s="29">
        <v>20.97</v>
      </c>
    </row>
    <row r="943" hidden="1">
      <c r="A943" s="70">
        <v>46225.0</v>
      </c>
      <c r="B943" s="96"/>
      <c r="C943" s="96" t="s">
        <v>1605</v>
      </c>
      <c r="D943" s="10" t="s">
        <v>9</v>
      </c>
      <c r="E943" s="13" t="s">
        <v>12</v>
      </c>
      <c r="F943" s="29">
        <v>19.97</v>
      </c>
    </row>
    <row r="944" hidden="1">
      <c r="A944" s="70">
        <v>46225.0</v>
      </c>
      <c r="B944" s="173"/>
      <c r="C944" s="173" t="s">
        <v>1607</v>
      </c>
      <c r="D944" s="10" t="s">
        <v>9</v>
      </c>
      <c r="E944" s="13" t="s">
        <v>12</v>
      </c>
      <c r="F944" s="29">
        <v>49.97</v>
      </c>
    </row>
    <row r="945" hidden="1">
      <c r="A945" s="70">
        <v>46225.0</v>
      </c>
      <c r="B945" s="20"/>
      <c r="C945" s="20" t="s">
        <v>1609</v>
      </c>
      <c r="D945" s="10" t="s">
        <v>9</v>
      </c>
      <c r="E945" s="13" t="s">
        <v>12</v>
      </c>
      <c r="F945" s="29">
        <v>39.97</v>
      </c>
    </row>
    <row r="946" hidden="1">
      <c r="A946" s="70">
        <v>46225.0</v>
      </c>
      <c r="B946" s="121"/>
      <c r="C946" s="121" t="s">
        <v>1610</v>
      </c>
      <c r="D946" s="10" t="s">
        <v>9</v>
      </c>
      <c r="E946" s="13" t="s">
        <v>12</v>
      </c>
      <c r="F946" s="29">
        <v>35.97</v>
      </c>
    </row>
    <row r="947" hidden="1">
      <c r="A947" s="70">
        <v>46225.0</v>
      </c>
      <c r="B947" s="86"/>
      <c r="C947" s="86" t="s">
        <v>1611</v>
      </c>
      <c r="D947" s="10" t="s">
        <v>9</v>
      </c>
      <c r="E947" s="13" t="s">
        <v>12</v>
      </c>
      <c r="F947" s="29">
        <v>27.97</v>
      </c>
    </row>
    <row r="948" hidden="1">
      <c r="A948" s="70">
        <v>46225.0</v>
      </c>
      <c r="B948" s="20"/>
      <c r="C948" s="20" t="s">
        <v>1613</v>
      </c>
      <c r="D948" s="10" t="s">
        <v>9</v>
      </c>
      <c r="E948" s="13" t="s">
        <v>12</v>
      </c>
      <c r="F948" s="29">
        <v>22.97</v>
      </c>
      <c r="G948" s="29">
        <v>2.0</v>
      </c>
    </row>
    <row r="949" hidden="1">
      <c r="A949" s="70">
        <v>46225.0</v>
      </c>
      <c r="B949" s="71"/>
      <c r="C949" s="71" t="s">
        <v>1615</v>
      </c>
      <c r="D949" s="10" t="s">
        <v>9</v>
      </c>
      <c r="E949" s="13" t="s">
        <v>12</v>
      </c>
      <c r="F949" s="29">
        <v>22.97</v>
      </c>
    </row>
    <row r="950" hidden="1">
      <c r="A950" s="70">
        <v>46225.0</v>
      </c>
      <c r="B950" s="86"/>
      <c r="C950" s="86" t="s">
        <v>1618</v>
      </c>
      <c r="D950" s="10" t="s">
        <v>9</v>
      </c>
      <c r="E950" s="13" t="s">
        <v>12</v>
      </c>
      <c r="F950" s="29">
        <v>20.97</v>
      </c>
    </row>
    <row r="951" hidden="1">
      <c r="A951" s="70">
        <v>46225.0</v>
      </c>
      <c r="B951" s="99"/>
      <c r="C951" s="99" t="s">
        <v>1620</v>
      </c>
      <c r="D951" s="10" t="s">
        <v>9</v>
      </c>
      <c r="E951" s="13" t="s">
        <v>12</v>
      </c>
      <c r="F951" s="29">
        <v>35.97</v>
      </c>
    </row>
    <row r="952" hidden="1">
      <c r="A952" s="70">
        <v>46225.0</v>
      </c>
      <c r="B952" s="86"/>
      <c r="C952" s="86" t="s">
        <v>1625</v>
      </c>
      <c r="D952" s="10" t="s">
        <v>9</v>
      </c>
      <c r="E952" s="13" t="s">
        <v>12</v>
      </c>
      <c r="F952" s="29">
        <v>25.97</v>
      </c>
    </row>
    <row r="953" hidden="1">
      <c r="A953" s="70">
        <v>46225.0</v>
      </c>
      <c r="B953" s="86"/>
      <c r="C953" s="86" t="s">
        <v>1626</v>
      </c>
      <c r="D953" s="10" t="s">
        <v>9</v>
      </c>
      <c r="E953" s="13" t="s">
        <v>12</v>
      </c>
      <c r="F953" s="29">
        <v>75.97</v>
      </c>
    </row>
    <row r="954" hidden="1">
      <c r="A954" s="70">
        <v>46225.0</v>
      </c>
      <c r="B954" s="74"/>
      <c r="C954" s="74" t="s">
        <v>1628</v>
      </c>
      <c r="D954" s="10" t="s">
        <v>9</v>
      </c>
      <c r="E954" s="13" t="s">
        <v>12</v>
      </c>
      <c r="F954" s="29">
        <v>60.97</v>
      </c>
      <c r="G954" s="29">
        <v>2.0</v>
      </c>
    </row>
    <row r="955" hidden="1">
      <c r="A955" s="70">
        <v>46225.0</v>
      </c>
      <c r="B955" s="99"/>
      <c r="C955" s="99" t="s">
        <v>1629</v>
      </c>
      <c r="D955" s="10" t="s">
        <v>9</v>
      </c>
      <c r="E955" s="13" t="s">
        <v>12</v>
      </c>
      <c r="F955" s="29">
        <v>75.97</v>
      </c>
    </row>
    <row r="956" hidden="1">
      <c r="A956" s="23"/>
      <c r="B956" s="59"/>
      <c r="C956" s="59"/>
      <c r="D956" s="62"/>
      <c r="E956" s="23"/>
      <c r="F956" s="23"/>
      <c r="G956" s="23"/>
    </row>
    <row r="957" hidden="1">
      <c r="A957" s="70">
        <v>46226.0</v>
      </c>
      <c r="B957" s="20"/>
      <c r="C957" s="20">
        <v>5.304521161E9</v>
      </c>
      <c r="D957" s="10" t="s">
        <v>9</v>
      </c>
      <c r="E957" s="13" t="s">
        <v>12</v>
      </c>
      <c r="F957" s="29">
        <v>145.97</v>
      </c>
    </row>
    <row r="958" hidden="1">
      <c r="A958" s="70">
        <v>46226.0</v>
      </c>
      <c r="B958" s="20"/>
      <c r="C958" s="20">
        <v>5.30450313E9</v>
      </c>
      <c r="D958" s="10" t="s">
        <v>9</v>
      </c>
      <c r="E958" s="13" t="s">
        <v>12</v>
      </c>
      <c r="F958" s="29">
        <v>60.97</v>
      </c>
    </row>
    <row r="959" hidden="1">
      <c r="A959" s="70">
        <v>46226.0</v>
      </c>
      <c r="B959" s="20"/>
      <c r="C959" s="20">
        <v>2.4329761E8</v>
      </c>
      <c r="D959" s="10" t="s">
        <v>9</v>
      </c>
      <c r="E959" s="13" t="s">
        <v>12</v>
      </c>
      <c r="F959" s="29">
        <v>75.97</v>
      </c>
    </row>
    <row r="960" hidden="1">
      <c r="A960" s="70">
        <v>46226.0</v>
      </c>
      <c r="B960" s="96"/>
      <c r="C960" s="96" t="s">
        <v>1634</v>
      </c>
      <c r="D960" s="10" t="s">
        <v>9</v>
      </c>
      <c r="E960" s="13" t="s">
        <v>12</v>
      </c>
      <c r="F960" s="29">
        <v>95.97</v>
      </c>
    </row>
    <row r="961" hidden="1">
      <c r="A961" s="70">
        <v>46226.0</v>
      </c>
      <c r="B961" s="96"/>
      <c r="C961" s="96" t="s">
        <v>1638</v>
      </c>
      <c r="D961" s="10" t="s">
        <v>9</v>
      </c>
      <c r="E961" s="13" t="s">
        <v>12</v>
      </c>
      <c r="F961" s="29">
        <v>35.97</v>
      </c>
    </row>
    <row r="962" hidden="1">
      <c r="A962" s="70">
        <v>46226.0</v>
      </c>
      <c r="B962" s="96"/>
      <c r="C962" s="96" t="s">
        <v>1640</v>
      </c>
      <c r="D962" s="10" t="s">
        <v>9</v>
      </c>
      <c r="E962" s="13" t="s">
        <v>12</v>
      </c>
      <c r="F962" s="29">
        <v>100.97</v>
      </c>
    </row>
    <row r="963" hidden="1">
      <c r="A963" s="70">
        <v>46226.0</v>
      </c>
      <c r="B963" s="86"/>
      <c r="C963" s="86" t="s">
        <v>1641</v>
      </c>
      <c r="D963" s="10" t="s">
        <v>9</v>
      </c>
      <c r="E963" s="13" t="s">
        <v>12</v>
      </c>
      <c r="F963" s="29">
        <v>80.97</v>
      </c>
    </row>
    <row r="964" hidden="1">
      <c r="A964" s="70">
        <v>46226.0</v>
      </c>
      <c r="B964" s="96"/>
      <c r="C964" s="96" t="s">
        <v>1643</v>
      </c>
      <c r="D964" s="10" t="s">
        <v>9</v>
      </c>
      <c r="E964" s="13" t="s">
        <v>12</v>
      </c>
      <c r="F964" s="29">
        <v>90.97</v>
      </c>
    </row>
    <row r="965" hidden="1">
      <c r="A965" s="70">
        <v>46226.0</v>
      </c>
      <c r="B965" s="96"/>
      <c r="C965" s="96" t="s">
        <v>1645</v>
      </c>
      <c r="D965" s="10" t="s">
        <v>9</v>
      </c>
      <c r="E965" s="13" t="s">
        <v>12</v>
      </c>
      <c r="F965" s="29">
        <v>95.97</v>
      </c>
    </row>
    <row r="966" hidden="1">
      <c r="A966" s="70">
        <v>46226.0</v>
      </c>
      <c r="B966" s="121"/>
      <c r="C966" s="121" t="s">
        <v>1647</v>
      </c>
      <c r="D966" s="10" t="s">
        <v>9</v>
      </c>
      <c r="E966" s="13" t="s">
        <v>12</v>
      </c>
      <c r="F966" s="29">
        <v>100.97</v>
      </c>
    </row>
    <row r="967" hidden="1">
      <c r="A967" s="70">
        <v>46226.0</v>
      </c>
      <c r="B967" s="20"/>
      <c r="C967" s="20">
        <v>5.304525097E9</v>
      </c>
      <c r="D967" s="10" t="s">
        <v>9</v>
      </c>
      <c r="E967" s="13" t="s">
        <v>12</v>
      </c>
      <c r="F967" s="29">
        <v>53.97</v>
      </c>
    </row>
    <row r="968" hidden="1">
      <c r="A968" s="70">
        <v>46226.0</v>
      </c>
      <c r="B968" s="121"/>
      <c r="C968" s="121" t="s">
        <v>1650</v>
      </c>
      <c r="D968" s="10" t="s">
        <v>9</v>
      </c>
      <c r="E968" s="13" t="s">
        <v>12</v>
      </c>
      <c r="F968" s="29">
        <v>175.97</v>
      </c>
    </row>
    <row r="969" hidden="1">
      <c r="A969" s="70">
        <v>46226.0</v>
      </c>
      <c r="B969" s="121"/>
      <c r="C969" s="121" t="s">
        <v>1653</v>
      </c>
      <c r="D969" s="10" t="s">
        <v>9</v>
      </c>
      <c r="E969" s="13" t="s">
        <v>12</v>
      </c>
      <c r="F969" s="29">
        <v>125.97</v>
      </c>
    </row>
    <row r="970" hidden="1">
      <c r="A970" s="70">
        <v>46226.0</v>
      </c>
      <c r="B970" s="86"/>
      <c r="C970" s="86" t="s">
        <v>1654</v>
      </c>
      <c r="D970" s="10" t="s">
        <v>9</v>
      </c>
      <c r="E970" s="13" t="s">
        <v>12</v>
      </c>
      <c r="F970" s="29">
        <v>25.97</v>
      </c>
    </row>
    <row r="971" hidden="1">
      <c r="A971" s="70">
        <v>46226.0</v>
      </c>
      <c r="B971" s="74"/>
      <c r="C971" s="74" t="s">
        <v>1657</v>
      </c>
      <c r="D971" s="10" t="s">
        <v>9</v>
      </c>
      <c r="E971" s="13" t="s">
        <v>12</v>
      </c>
      <c r="F971" s="29">
        <v>299.97</v>
      </c>
    </row>
    <row r="972" hidden="1">
      <c r="A972" s="98"/>
      <c r="B972" s="59"/>
      <c r="C972" s="59"/>
      <c r="D972" s="97"/>
      <c r="E972" s="69"/>
      <c r="F972" s="23"/>
      <c r="G972" s="23"/>
    </row>
    <row r="973" hidden="1">
      <c r="A973" s="70">
        <v>46227.0</v>
      </c>
      <c r="B973" s="74"/>
      <c r="C973" s="74" t="s">
        <v>1264</v>
      </c>
      <c r="D973" s="10" t="s">
        <v>9</v>
      </c>
      <c r="E973" s="13" t="s">
        <v>12</v>
      </c>
      <c r="F973" s="29">
        <v>19.97</v>
      </c>
    </row>
    <row r="974" hidden="1">
      <c r="A974" s="70">
        <v>46227.0</v>
      </c>
      <c r="B974" s="20"/>
      <c r="C974" s="20" t="s">
        <v>1663</v>
      </c>
      <c r="D974" s="10" t="s">
        <v>9</v>
      </c>
      <c r="E974" s="13" t="s">
        <v>12</v>
      </c>
      <c r="F974" s="29">
        <v>30.97</v>
      </c>
      <c r="G974" s="29">
        <v>3.0</v>
      </c>
    </row>
    <row r="975" hidden="1">
      <c r="A975" s="70">
        <v>46227.0</v>
      </c>
      <c r="B975" s="71"/>
      <c r="C975" s="71" t="s">
        <v>1665</v>
      </c>
      <c r="D975" s="10" t="s">
        <v>9</v>
      </c>
      <c r="E975" s="13" t="s">
        <v>12</v>
      </c>
      <c r="F975" s="29">
        <v>39.97</v>
      </c>
    </row>
    <row r="976" hidden="1">
      <c r="A976" s="70">
        <v>46227.0</v>
      </c>
      <c r="B976" s="37"/>
      <c r="C976" s="86" t="s">
        <v>1666</v>
      </c>
      <c r="D976" s="10" t="s">
        <v>9</v>
      </c>
      <c r="E976" s="13" t="s">
        <v>12</v>
      </c>
      <c r="F976" s="29">
        <v>70.97</v>
      </c>
    </row>
    <row r="977" hidden="1">
      <c r="A977" s="70">
        <v>46227.0</v>
      </c>
      <c r="B977" s="37"/>
      <c r="C977" s="20" t="s">
        <v>1668</v>
      </c>
      <c r="D977" s="10" t="s">
        <v>9</v>
      </c>
      <c r="E977" s="13" t="s">
        <v>12</v>
      </c>
      <c r="F977" s="29">
        <v>270.97</v>
      </c>
    </row>
    <row r="978" hidden="1">
      <c r="A978" s="70">
        <v>46227.0</v>
      </c>
      <c r="B978" s="37"/>
      <c r="C978" s="74" t="s">
        <v>94</v>
      </c>
      <c r="D978" s="10" t="s">
        <v>9</v>
      </c>
      <c r="E978" s="13" t="s">
        <v>12</v>
      </c>
      <c r="F978" s="29">
        <v>30.97</v>
      </c>
    </row>
    <row r="979" hidden="1">
      <c r="A979" s="70">
        <v>46227.0</v>
      </c>
      <c r="B979" s="37"/>
      <c r="C979" s="74" t="s">
        <v>1671</v>
      </c>
      <c r="D979" s="10" t="s">
        <v>9</v>
      </c>
      <c r="E979" s="13" t="s">
        <v>12</v>
      </c>
      <c r="F979" s="29">
        <v>45.97</v>
      </c>
    </row>
    <row r="980" hidden="1">
      <c r="A980" s="70">
        <v>46227.0</v>
      </c>
      <c r="B980" s="37"/>
      <c r="C980" s="20" t="s">
        <v>1674</v>
      </c>
      <c r="D980" s="10" t="s">
        <v>9</v>
      </c>
      <c r="E980" s="13" t="s">
        <v>12</v>
      </c>
      <c r="F980" s="29">
        <v>75.97</v>
      </c>
    </row>
    <row r="981" hidden="1">
      <c r="A981" s="98"/>
      <c r="B981" s="59"/>
      <c r="C981" s="59"/>
      <c r="D981" s="97"/>
      <c r="E981" s="69"/>
      <c r="F981" s="23"/>
      <c r="G981" s="23"/>
    </row>
    <row r="982" hidden="1">
      <c r="A982" s="70">
        <v>46230.0</v>
      </c>
      <c r="B982" s="37"/>
      <c r="C982" s="20" t="s">
        <v>1679</v>
      </c>
      <c r="D982" s="10" t="s">
        <v>9</v>
      </c>
      <c r="E982" s="13" t="s">
        <v>12</v>
      </c>
      <c r="F982" s="29">
        <v>185.97</v>
      </c>
    </row>
    <row r="983" hidden="1">
      <c r="A983" s="70">
        <v>46230.0</v>
      </c>
      <c r="B983" s="37"/>
      <c r="C983" s="74" t="s">
        <v>1682</v>
      </c>
      <c r="D983" s="10" t="s">
        <v>9</v>
      </c>
      <c r="E983" s="13" t="s">
        <v>12</v>
      </c>
      <c r="F983" s="29">
        <v>200.97</v>
      </c>
    </row>
    <row r="984" hidden="1">
      <c r="A984" s="70">
        <v>46230.0</v>
      </c>
      <c r="B984" s="37"/>
      <c r="C984" s="74" t="s">
        <v>109</v>
      </c>
      <c r="D984" s="10" t="s">
        <v>9</v>
      </c>
      <c r="E984" s="13" t="s">
        <v>12</v>
      </c>
      <c r="F984" s="29">
        <v>101.97</v>
      </c>
    </row>
    <row r="985" hidden="1">
      <c r="A985" s="70">
        <v>46230.0</v>
      </c>
      <c r="B985" s="37"/>
      <c r="C985" s="20" t="s">
        <v>1687</v>
      </c>
      <c r="D985" s="10" t="s">
        <v>8</v>
      </c>
      <c r="E985" s="13" t="s">
        <v>12</v>
      </c>
      <c r="F985" s="29">
        <v>175.97</v>
      </c>
    </row>
    <row r="986" hidden="1">
      <c r="A986" s="70">
        <v>46230.0</v>
      </c>
      <c r="B986" s="37"/>
      <c r="C986" s="74" t="s">
        <v>1690</v>
      </c>
      <c r="D986" s="10" t="s">
        <v>9</v>
      </c>
      <c r="E986" s="13" t="s">
        <v>12</v>
      </c>
      <c r="F986" s="29">
        <v>325.97</v>
      </c>
    </row>
    <row r="987" hidden="1">
      <c r="A987" s="70">
        <v>46230.0</v>
      </c>
      <c r="B987" s="37"/>
      <c r="C987" s="74" t="s">
        <v>1693</v>
      </c>
      <c r="D987" s="10" t="s">
        <v>9</v>
      </c>
      <c r="E987" s="13" t="s">
        <v>12</v>
      </c>
      <c r="F987" s="29">
        <v>175.97</v>
      </c>
    </row>
    <row r="988" hidden="1">
      <c r="A988" s="70">
        <v>46230.0</v>
      </c>
      <c r="B988" s="37"/>
      <c r="C988" s="20" t="s">
        <v>1695</v>
      </c>
      <c r="D988" s="10" t="s">
        <v>9</v>
      </c>
      <c r="E988" s="13" t="s">
        <v>12</v>
      </c>
      <c r="F988" s="29">
        <v>225.97</v>
      </c>
    </row>
    <row r="989" hidden="1">
      <c r="A989" s="70">
        <v>46230.0</v>
      </c>
      <c r="B989" s="37"/>
      <c r="C989" s="20" t="s">
        <v>1697</v>
      </c>
      <c r="D989" s="10" t="s">
        <v>9</v>
      </c>
      <c r="E989" s="13" t="s">
        <v>12</v>
      </c>
      <c r="F989" s="29">
        <v>135.97</v>
      </c>
    </row>
    <row r="990" hidden="1">
      <c r="A990" s="70">
        <v>46230.0</v>
      </c>
      <c r="B990" s="37"/>
      <c r="C990" s="74" t="s">
        <v>1700</v>
      </c>
      <c r="D990" s="10" t="s">
        <v>9</v>
      </c>
      <c r="E990" s="13" t="s">
        <v>12</v>
      </c>
      <c r="F990" s="29">
        <v>300.97</v>
      </c>
    </row>
    <row r="991" hidden="1">
      <c r="A991" s="70">
        <v>46230.0</v>
      </c>
      <c r="B991" s="37"/>
      <c r="C991" s="20" t="s">
        <v>1702</v>
      </c>
      <c r="D991" s="10" t="s">
        <v>9</v>
      </c>
      <c r="E991" s="13" t="s">
        <v>12</v>
      </c>
      <c r="F991" s="29">
        <v>135.97</v>
      </c>
    </row>
    <row r="992" hidden="1">
      <c r="A992" s="70">
        <v>46230.0</v>
      </c>
      <c r="B992" s="37"/>
      <c r="C992" s="74" t="s">
        <v>1704</v>
      </c>
      <c r="D992" s="10" t="s">
        <v>9</v>
      </c>
      <c r="E992" s="13" t="s">
        <v>12</v>
      </c>
      <c r="F992" s="29">
        <v>85.97</v>
      </c>
    </row>
    <row r="993" hidden="1">
      <c r="A993" s="70">
        <v>46230.0</v>
      </c>
      <c r="B993" s="37"/>
      <c r="C993" s="74" t="s">
        <v>1134</v>
      </c>
      <c r="D993" s="10" t="s">
        <v>9</v>
      </c>
      <c r="E993" s="13" t="s">
        <v>12</v>
      </c>
      <c r="F993" s="29">
        <v>69.97</v>
      </c>
    </row>
    <row r="994" hidden="1">
      <c r="A994" s="70">
        <v>46230.0</v>
      </c>
      <c r="B994" s="37"/>
      <c r="C994" s="74" t="s">
        <v>1707</v>
      </c>
      <c r="D994" s="10" t="s">
        <v>9</v>
      </c>
      <c r="E994" s="13" t="s">
        <v>12</v>
      </c>
      <c r="F994" s="29">
        <v>125.97</v>
      </c>
    </row>
    <row r="995" hidden="1">
      <c r="A995" s="70">
        <v>46230.0</v>
      </c>
      <c r="B995" s="37"/>
      <c r="C995" s="74" t="s">
        <v>1709</v>
      </c>
      <c r="D995" s="10" t="s">
        <v>9</v>
      </c>
      <c r="E995" s="13" t="s">
        <v>12</v>
      </c>
      <c r="F995" s="29">
        <v>325.97</v>
      </c>
    </row>
    <row r="996" hidden="1">
      <c r="A996" s="70">
        <v>46230.0</v>
      </c>
      <c r="B996" s="37"/>
      <c r="C996" s="71" t="s">
        <v>1711</v>
      </c>
      <c r="D996" s="10" t="s">
        <v>9</v>
      </c>
      <c r="E996" s="13" t="s">
        <v>12</v>
      </c>
      <c r="F996" s="29">
        <v>150.97</v>
      </c>
    </row>
    <row r="997" hidden="1">
      <c r="A997" s="70">
        <v>46230.0</v>
      </c>
      <c r="B997" s="37"/>
      <c r="C997" s="71" t="s">
        <v>1713</v>
      </c>
      <c r="D997" s="10" t="s">
        <v>9</v>
      </c>
      <c r="E997" s="13" t="s">
        <v>12</v>
      </c>
      <c r="F997" s="29">
        <v>150.97</v>
      </c>
    </row>
    <row r="998" hidden="1">
      <c r="A998" s="23"/>
      <c r="B998" s="59"/>
      <c r="C998" s="59"/>
      <c r="D998" s="62"/>
      <c r="E998" s="23"/>
      <c r="F998" s="23"/>
      <c r="G998" s="23"/>
    </row>
    <row r="999" hidden="1">
      <c r="A999" s="70">
        <v>46231.0</v>
      </c>
      <c r="B999" s="37"/>
      <c r="C999" s="20" t="s">
        <v>1717</v>
      </c>
      <c r="D999" s="10" t="s">
        <v>9</v>
      </c>
      <c r="E999" s="13" t="s">
        <v>12</v>
      </c>
      <c r="F999" s="29">
        <v>125.97</v>
      </c>
      <c r="G999" s="29">
        <v>2.0</v>
      </c>
    </row>
    <row r="1000" hidden="1">
      <c r="A1000" s="70">
        <v>46231.0</v>
      </c>
      <c r="B1000" s="37"/>
      <c r="C1000" s="74" t="s">
        <v>1718</v>
      </c>
      <c r="D1000" s="10" t="s">
        <v>9</v>
      </c>
      <c r="E1000" s="13" t="s">
        <v>12</v>
      </c>
      <c r="F1000" s="29">
        <v>65.97</v>
      </c>
    </row>
    <row r="1001" hidden="1">
      <c r="A1001" s="70">
        <v>46231.0</v>
      </c>
      <c r="B1001" s="37"/>
      <c r="C1001" s="74" t="s">
        <v>234</v>
      </c>
      <c r="D1001" s="10" t="s">
        <v>9</v>
      </c>
      <c r="E1001" s="13" t="s">
        <v>12</v>
      </c>
      <c r="F1001" s="29">
        <v>80.97</v>
      </c>
    </row>
    <row r="1002" hidden="1">
      <c r="A1002" s="70">
        <v>46231.0</v>
      </c>
      <c r="B1002" s="37"/>
      <c r="C1002" s="20" t="s">
        <v>1719</v>
      </c>
      <c r="D1002" s="10" t="s">
        <v>9</v>
      </c>
      <c r="E1002" s="13" t="s">
        <v>12</v>
      </c>
      <c r="F1002" s="29">
        <v>43.97</v>
      </c>
      <c r="G1002" s="29">
        <v>2.0</v>
      </c>
    </row>
    <row r="1003" hidden="1">
      <c r="A1003" s="70">
        <v>46231.0</v>
      </c>
      <c r="B1003" s="37"/>
      <c r="C1003" s="74" t="s">
        <v>1721</v>
      </c>
      <c r="D1003" s="10" t="s">
        <v>9</v>
      </c>
      <c r="E1003" s="13" t="s">
        <v>12</v>
      </c>
      <c r="F1003" s="29">
        <v>30.97</v>
      </c>
    </row>
    <row r="1004" hidden="1">
      <c r="A1004" s="70">
        <v>46231.0</v>
      </c>
      <c r="B1004" s="37"/>
      <c r="C1004" s="74" t="s">
        <v>1722</v>
      </c>
      <c r="D1004" s="10" t="s">
        <v>9</v>
      </c>
      <c r="E1004" s="13" t="s">
        <v>12</v>
      </c>
      <c r="F1004" s="29">
        <v>99.97</v>
      </c>
    </row>
    <row r="1005" hidden="1">
      <c r="A1005" s="70">
        <v>46231.0</v>
      </c>
      <c r="B1005" s="37"/>
      <c r="C1005" s="74" t="s">
        <v>1723</v>
      </c>
      <c r="D1005" s="10" t="s">
        <v>8</v>
      </c>
      <c r="E1005" s="13" t="s">
        <v>12</v>
      </c>
      <c r="F1005" s="29">
        <v>99.97</v>
      </c>
    </row>
    <row r="1006" hidden="1">
      <c r="A1006" s="70">
        <v>46231.0</v>
      </c>
      <c r="B1006" s="37"/>
      <c r="C1006" s="71" t="s">
        <v>1724</v>
      </c>
      <c r="D1006" s="10" t="s">
        <v>8</v>
      </c>
      <c r="E1006" s="13" t="s">
        <v>12</v>
      </c>
      <c r="F1006" s="29">
        <v>29.97</v>
      </c>
    </row>
    <row r="1007" hidden="1">
      <c r="A1007" s="70">
        <v>46231.0</v>
      </c>
      <c r="B1007" s="37"/>
      <c r="C1007" s="74" t="s">
        <v>1726</v>
      </c>
      <c r="D1007" s="10" t="s">
        <v>8</v>
      </c>
      <c r="E1007" s="13" t="s">
        <v>12</v>
      </c>
      <c r="F1007" s="29">
        <v>25.97</v>
      </c>
      <c r="G1007" s="29">
        <v>2.0</v>
      </c>
    </row>
    <row r="1008" hidden="1">
      <c r="A1008" s="70">
        <v>46231.0</v>
      </c>
      <c r="B1008" s="37"/>
      <c r="C1008" s="74" t="s">
        <v>1727</v>
      </c>
      <c r="D1008" s="10" t="s">
        <v>8</v>
      </c>
      <c r="E1008" s="13" t="s">
        <v>12</v>
      </c>
      <c r="F1008" s="29">
        <v>25.97</v>
      </c>
    </row>
    <row r="1009" hidden="1">
      <c r="A1009" s="70">
        <v>46231.0</v>
      </c>
      <c r="B1009" s="37"/>
      <c r="C1009" s="71" t="s">
        <v>1729</v>
      </c>
      <c r="D1009" s="10" t="s">
        <v>8</v>
      </c>
      <c r="E1009" s="13" t="s">
        <v>12</v>
      </c>
      <c r="F1009" s="29">
        <v>23.97</v>
      </c>
    </row>
    <row r="1010" hidden="1">
      <c r="A1010" s="70">
        <v>46231.0</v>
      </c>
      <c r="B1010" s="37"/>
      <c r="C1010" s="20" t="s">
        <v>1731</v>
      </c>
      <c r="D1010" s="10" t="s">
        <v>9</v>
      </c>
      <c r="E1010" s="13" t="s">
        <v>12</v>
      </c>
      <c r="F1010" s="29">
        <v>40.97</v>
      </c>
      <c r="G1010" s="29">
        <v>2.0</v>
      </c>
    </row>
    <row r="1011" hidden="1">
      <c r="A1011" s="70">
        <v>46231.0</v>
      </c>
      <c r="B1011" s="37"/>
      <c r="C1011" s="20" t="s">
        <v>1733</v>
      </c>
      <c r="D1011" s="10" t="s">
        <v>9</v>
      </c>
      <c r="E1011" s="13" t="s">
        <v>12</v>
      </c>
      <c r="F1011" s="29">
        <v>35.97</v>
      </c>
    </row>
    <row r="1012" hidden="1">
      <c r="A1012" s="70">
        <v>46231.0</v>
      </c>
      <c r="B1012" s="37"/>
      <c r="C1012" s="74" t="s">
        <v>1735</v>
      </c>
      <c r="D1012" s="10" t="s">
        <v>9</v>
      </c>
      <c r="E1012" s="13" t="s">
        <v>12</v>
      </c>
      <c r="F1012" s="29">
        <v>49.97</v>
      </c>
    </row>
    <row r="1013" hidden="1">
      <c r="A1013" s="70">
        <v>46231.0</v>
      </c>
      <c r="B1013" s="37"/>
      <c r="C1013" s="74" t="s">
        <v>1738</v>
      </c>
      <c r="D1013" s="10" t="s">
        <v>9</v>
      </c>
      <c r="E1013" s="13" t="s">
        <v>12</v>
      </c>
      <c r="F1013" s="29">
        <v>45.97</v>
      </c>
    </row>
    <row r="1014" hidden="1">
      <c r="A1014" s="70">
        <v>46231.0</v>
      </c>
      <c r="B1014" s="37"/>
      <c r="C1014" s="74" t="s">
        <v>1338</v>
      </c>
      <c r="D1014" s="10" t="s">
        <v>9</v>
      </c>
      <c r="E1014" s="13" t="s">
        <v>12</v>
      </c>
      <c r="F1014" s="29">
        <v>23.97</v>
      </c>
      <c r="G1014" s="29">
        <v>4.0</v>
      </c>
    </row>
    <row r="1015" hidden="1">
      <c r="A1015" s="70">
        <v>46231.0</v>
      </c>
      <c r="B1015" s="37"/>
      <c r="C1015" s="74" t="s">
        <v>1741</v>
      </c>
      <c r="D1015" s="10" t="s">
        <v>9</v>
      </c>
      <c r="E1015" s="13" t="s">
        <v>12</v>
      </c>
      <c r="F1015" s="29">
        <v>35.97</v>
      </c>
    </row>
    <row r="1016" hidden="1">
      <c r="A1016" s="70">
        <v>46231.0</v>
      </c>
      <c r="B1016" s="37"/>
      <c r="C1016" s="74" t="s">
        <v>1743</v>
      </c>
      <c r="D1016" s="10" t="s">
        <v>9</v>
      </c>
      <c r="E1016" s="13" t="s">
        <v>12</v>
      </c>
      <c r="F1016" s="29">
        <v>28.97</v>
      </c>
    </row>
    <row r="1017" hidden="1">
      <c r="A1017" s="70">
        <v>46231.0</v>
      </c>
      <c r="B1017" s="37"/>
      <c r="C1017" s="74" t="s">
        <v>1745</v>
      </c>
      <c r="D1017" s="10" t="s">
        <v>9</v>
      </c>
      <c r="E1017" s="13" t="s">
        <v>12</v>
      </c>
      <c r="F1017" s="29">
        <v>65.97</v>
      </c>
    </row>
    <row r="1018" hidden="1">
      <c r="A1018" s="70">
        <v>46231.0</v>
      </c>
      <c r="B1018" s="37"/>
      <c r="C1018" s="74" t="s">
        <v>1748</v>
      </c>
      <c r="D1018" s="10" t="s">
        <v>9</v>
      </c>
      <c r="E1018" s="13" t="s">
        <v>12</v>
      </c>
      <c r="F1018" s="29">
        <v>90.97</v>
      </c>
    </row>
    <row r="1019" hidden="1">
      <c r="A1019" s="23"/>
      <c r="B1019" s="59"/>
      <c r="C1019" s="59"/>
      <c r="D1019" s="62"/>
      <c r="E1019" s="23"/>
      <c r="F1019" s="23"/>
      <c r="G1019" s="23"/>
    </row>
    <row r="1020" hidden="1">
      <c r="A1020" s="70">
        <v>46232.0</v>
      </c>
      <c r="B1020" s="37"/>
      <c r="C1020" s="74" t="s">
        <v>1754</v>
      </c>
      <c r="D1020" s="10" t="s">
        <v>9</v>
      </c>
      <c r="E1020" s="13" t="s">
        <v>12</v>
      </c>
      <c r="F1020" s="29">
        <v>21.97</v>
      </c>
    </row>
    <row r="1021" hidden="1">
      <c r="A1021" s="70">
        <v>46232.0</v>
      </c>
      <c r="B1021" s="37"/>
      <c r="C1021" s="74" t="s">
        <v>1755</v>
      </c>
      <c r="D1021" s="10" t="s">
        <v>9</v>
      </c>
      <c r="E1021" s="13" t="s">
        <v>12</v>
      </c>
      <c r="F1021" s="29">
        <v>40.97</v>
      </c>
    </row>
    <row r="1022" hidden="1">
      <c r="A1022" s="70">
        <v>46232.0</v>
      </c>
      <c r="B1022" s="37"/>
      <c r="C1022" s="71" t="s">
        <v>242</v>
      </c>
      <c r="D1022" s="10" t="s">
        <v>9</v>
      </c>
      <c r="E1022" s="13" t="s">
        <v>12</v>
      </c>
      <c r="F1022" s="29">
        <v>20.97</v>
      </c>
    </row>
    <row r="1023" hidden="1">
      <c r="A1023" s="70">
        <v>46232.0</v>
      </c>
      <c r="B1023" s="37"/>
      <c r="C1023" s="20" t="s">
        <v>1758</v>
      </c>
      <c r="D1023" s="10" t="s">
        <v>9</v>
      </c>
      <c r="E1023" s="13" t="s">
        <v>12</v>
      </c>
      <c r="F1023" s="29">
        <v>30.97</v>
      </c>
    </row>
    <row r="1024" hidden="1">
      <c r="A1024" s="70">
        <v>46232.0</v>
      </c>
      <c r="B1024" s="37"/>
      <c r="C1024" s="74" t="s">
        <v>1761</v>
      </c>
      <c r="D1024" s="10" t="s">
        <v>9</v>
      </c>
      <c r="E1024" s="13" t="s">
        <v>12</v>
      </c>
      <c r="F1024" s="29">
        <v>35.97</v>
      </c>
    </row>
    <row r="1025" hidden="1">
      <c r="A1025" s="70">
        <v>46232.0</v>
      </c>
      <c r="B1025" s="37"/>
      <c r="C1025" s="20" t="s">
        <v>1762</v>
      </c>
      <c r="D1025" s="10" t="s">
        <v>9</v>
      </c>
      <c r="E1025" s="13" t="s">
        <v>12</v>
      </c>
      <c r="F1025" s="29">
        <v>30.97</v>
      </c>
      <c r="G1025" s="29">
        <v>2.0</v>
      </c>
    </row>
    <row r="1026" hidden="1">
      <c r="A1026" s="70">
        <v>46232.0</v>
      </c>
      <c r="B1026" s="37"/>
      <c r="C1026" s="74" t="s">
        <v>1763</v>
      </c>
      <c r="D1026" s="10" t="s">
        <v>9</v>
      </c>
      <c r="E1026" s="13" t="s">
        <v>12</v>
      </c>
      <c r="F1026" s="29">
        <v>65.97</v>
      </c>
    </row>
    <row r="1027" hidden="1">
      <c r="A1027" s="70">
        <v>46232.0</v>
      </c>
      <c r="B1027" s="37"/>
      <c r="C1027" s="74" t="s">
        <v>1764</v>
      </c>
      <c r="D1027" s="10" t="s">
        <v>9</v>
      </c>
      <c r="E1027" s="13" t="s">
        <v>12</v>
      </c>
      <c r="F1027" s="29">
        <v>65.97</v>
      </c>
    </row>
    <row r="1028" hidden="1">
      <c r="A1028" s="70">
        <v>46232.0</v>
      </c>
      <c r="B1028" s="37"/>
      <c r="C1028" s="65" t="s">
        <v>1766</v>
      </c>
      <c r="D1028" s="10" t="s">
        <v>9</v>
      </c>
      <c r="E1028" s="13" t="s">
        <v>12</v>
      </c>
      <c r="F1028" s="29">
        <v>50.97</v>
      </c>
    </row>
    <row r="1029" hidden="1">
      <c r="A1029" s="70">
        <v>46232.0</v>
      </c>
      <c r="B1029" s="37"/>
      <c r="C1029" s="74" t="s">
        <v>1769</v>
      </c>
      <c r="D1029" s="10" t="s">
        <v>9</v>
      </c>
      <c r="E1029" s="13" t="s">
        <v>12</v>
      </c>
      <c r="F1029" s="29">
        <v>53.97</v>
      </c>
    </row>
    <row r="1030" hidden="1">
      <c r="A1030" s="70">
        <v>46232.0</v>
      </c>
      <c r="B1030" s="37"/>
      <c r="C1030" s="74" t="s">
        <v>1770</v>
      </c>
      <c r="D1030" s="10" t="s">
        <v>9</v>
      </c>
      <c r="E1030" s="13" t="s">
        <v>12</v>
      </c>
      <c r="F1030" s="29">
        <v>50.97</v>
      </c>
    </row>
    <row r="1031" hidden="1">
      <c r="A1031" s="70">
        <v>46232.0</v>
      </c>
      <c r="B1031" s="37"/>
      <c r="C1031" s="74" t="s">
        <v>1772</v>
      </c>
      <c r="D1031" s="10" t="s">
        <v>9</v>
      </c>
      <c r="E1031" s="13" t="s">
        <v>12</v>
      </c>
      <c r="F1031" s="29">
        <v>20.97</v>
      </c>
    </row>
    <row r="1032" hidden="1">
      <c r="A1032" s="70">
        <v>46232.0</v>
      </c>
      <c r="B1032" s="37"/>
      <c r="C1032" s="74" t="s">
        <v>1775</v>
      </c>
      <c r="D1032" s="10" t="s">
        <v>9</v>
      </c>
      <c r="E1032" s="13" t="s">
        <v>12</v>
      </c>
      <c r="F1032" s="29">
        <v>28.97</v>
      </c>
    </row>
    <row r="1033" hidden="1">
      <c r="A1033" s="70">
        <v>46232.0</v>
      </c>
      <c r="B1033" s="37"/>
      <c r="C1033" s="74" t="s">
        <v>1776</v>
      </c>
      <c r="D1033" s="10" t="s">
        <v>9</v>
      </c>
      <c r="E1033" s="13" t="s">
        <v>12</v>
      </c>
      <c r="F1033" s="29">
        <v>75.97</v>
      </c>
    </row>
    <row r="1034" hidden="1">
      <c r="A1034" s="70">
        <v>46232.0</v>
      </c>
      <c r="B1034" s="37"/>
      <c r="C1034" s="74" t="s">
        <v>1777</v>
      </c>
      <c r="D1034" s="10" t="s">
        <v>9</v>
      </c>
      <c r="E1034" s="13" t="s">
        <v>12</v>
      </c>
      <c r="F1034" s="29">
        <v>299.97</v>
      </c>
    </row>
    <row r="1035" hidden="1">
      <c r="A1035" s="70">
        <v>46232.0</v>
      </c>
      <c r="B1035" s="37"/>
      <c r="C1035" s="74" t="s">
        <v>1778</v>
      </c>
      <c r="D1035" s="10" t="s">
        <v>9</v>
      </c>
      <c r="E1035" s="13" t="s">
        <v>12</v>
      </c>
      <c r="F1035" s="29">
        <v>135.97</v>
      </c>
    </row>
    <row r="1036" hidden="1">
      <c r="A1036" s="70">
        <v>46232.0</v>
      </c>
      <c r="B1036" s="37"/>
      <c r="C1036" s="74" t="s">
        <v>1780</v>
      </c>
      <c r="D1036" s="10" t="s">
        <v>9</v>
      </c>
      <c r="E1036" s="13" t="s">
        <v>12</v>
      </c>
      <c r="F1036" s="29">
        <v>40.97</v>
      </c>
    </row>
    <row r="1037" hidden="1">
      <c r="A1037" s="70">
        <v>46232.0</v>
      </c>
      <c r="B1037" s="37"/>
      <c r="C1037" s="74" t="s">
        <v>1782</v>
      </c>
      <c r="D1037" s="10" t="s">
        <v>9</v>
      </c>
      <c r="E1037" s="13" t="s">
        <v>12</v>
      </c>
      <c r="F1037" s="29">
        <v>399.97</v>
      </c>
    </row>
    <row r="1038" hidden="1">
      <c r="A1038" s="70">
        <v>46232.0</v>
      </c>
      <c r="B1038" s="37"/>
      <c r="C1038" s="74" t="s">
        <v>1473</v>
      </c>
      <c r="D1038" s="10" t="s">
        <v>9</v>
      </c>
      <c r="E1038" s="13" t="s">
        <v>12</v>
      </c>
      <c r="F1038" s="29">
        <v>21.97</v>
      </c>
    </row>
    <row r="1039" hidden="1">
      <c r="A1039" s="70">
        <v>46232.0</v>
      </c>
      <c r="B1039" s="37"/>
      <c r="C1039" s="74" t="s">
        <v>1785</v>
      </c>
      <c r="D1039" s="10" t="s">
        <v>9</v>
      </c>
      <c r="E1039" s="13" t="s">
        <v>12</v>
      </c>
      <c r="F1039" s="29">
        <v>75.97</v>
      </c>
    </row>
    <row r="1040" hidden="1">
      <c r="A1040" s="23"/>
      <c r="B1040" s="59"/>
      <c r="C1040" s="59"/>
      <c r="D1040" s="62"/>
      <c r="E1040" s="23"/>
      <c r="F1040" s="23"/>
      <c r="G1040" s="23"/>
    </row>
    <row r="1041" hidden="1">
      <c r="A1041" s="70">
        <v>46233.0</v>
      </c>
      <c r="B1041" s="37"/>
      <c r="C1041" s="74" t="s">
        <v>1786</v>
      </c>
      <c r="D1041" s="10" t="s">
        <v>9</v>
      </c>
      <c r="E1041" s="13" t="s">
        <v>12</v>
      </c>
      <c r="F1041" s="29">
        <v>26.97</v>
      </c>
    </row>
    <row r="1042" hidden="1">
      <c r="A1042" s="70">
        <v>46233.0</v>
      </c>
      <c r="B1042" s="37"/>
      <c r="C1042" s="74" t="s">
        <v>1788</v>
      </c>
      <c r="D1042" s="10" t="s">
        <v>9</v>
      </c>
      <c r="E1042" s="13" t="s">
        <v>12</v>
      </c>
      <c r="F1042" s="29">
        <v>21.97</v>
      </c>
    </row>
    <row r="1043" hidden="1">
      <c r="A1043" s="70">
        <v>46233.0</v>
      </c>
      <c r="B1043" s="37"/>
      <c r="C1043" s="71" t="s">
        <v>1734</v>
      </c>
      <c r="D1043" s="10" t="s">
        <v>9</v>
      </c>
      <c r="E1043" s="13" t="s">
        <v>12</v>
      </c>
      <c r="F1043" s="29">
        <v>99.97</v>
      </c>
    </row>
    <row r="1044" hidden="1">
      <c r="A1044" s="70">
        <v>46233.0</v>
      </c>
      <c r="B1044" s="37"/>
      <c r="C1044" s="74" t="s">
        <v>1789</v>
      </c>
      <c r="D1044" s="10" t="s">
        <v>9</v>
      </c>
      <c r="E1044" s="13" t="s">
        <v>12</v>
      </c>
      <c r="F1044" s="29">
        <v>67.97</v>
      </c>
    </row>
    <row r="1045" hidden="1">
      <c r="A1045" s="70">
        <v>46233.0</v>
      </c>
      <c r="B1045" s="37"/>
      <c r="C1045" s="74" t="s">
        <v>897</v>
      </c>
      <c r="D1045" s="10" t="s">
        <v>9</v>
      </c>
      <c r="E1045" s="13" t="s">
        <v>12</v>
      </c>
      <c r="F1045" s="29">
        <v>75.97</v>
      </c>
    </row>
    <row r="1046" hidden="1">
      <c r="A1046" s="70">
        <v>46233.0</v>
      </c>
      <c r="B1046" s="37"/>
      <c r="C1046" s="74" t="s">
        <v>1793</v>
      </c>
      <c r="D1046" s="10" t="s">
        <v>9</v>
      </c>
      <c r="E1046" s="13" t="s">
        <v>12</v>
      </c>
      <c r="F1046" s="29">
        <v>250.97</v>
      </c>
    </row>
    <row r="1047" hidden="1">
      <c r="A1047" s="70">
        <v>46233.0</v>
      </c>
      <c r="B1047" s="37"/>
      <c r="C1047" s="74" t="s">
        <v>1796</v>
      </c>
      <c r="D1047" s="10" t="s">
        <v>9</v>
      </c>
      <c r="E1047" s="13" t="s">
        <v>12</v>
      </c>
      <c r="F1047" s="29">
        <v>21.97</v>
      </c>
    </row>
    <row r="1048" hidden="1">
      <c r="A1048" s="70">
        <v>46233.0</v>
      </c>
      <c r="B1048" s="37"/>
      <c r="C1048" s="71" t="s">
        <v>1798</v>
      </c>
      <c r="D1048" s="10" t="s">
        <v>9</v>
      </c>
      <c r="E1048" s="13" t="s">
        <v>12</v>
      </c>
      <c r="F1048" s="29">
        <v>75.97</v>
      </c>
    </row>
    <row r="1049" hidden="1">
      <c r="A1049" s="70">
        <v>46233.0</v>
      </c>
      <c r="B1049" s="37"/>
      <c r="C1049" s="74" t="s">
        <v>1800</v>
      </c>
      <c r="D1049" s="10" t="s">
        <v>9</v>
      </c>
      <c r="E1049" s="13" t="s">
        <v>12</v>
      </c>
      <c r="F1049" s="29">
        <v>23.97</v>
      </c>
    </row>
    <row r="1050" hidden="1">
      <c r="A1050" s="70">
        <v>46233.0</v>
      </c>
      <c r="B1050" s="37"/>
      <c r="C1050" s="37"/>
      <c r="D1050" s="10" t="s">
        <v>9</v>
      </c>
      <c r="E1050" s="13" t="s">
        <v>12</v>
      </c>
    </row>
    <row r="1051" hidden="1">
      <c r="A1051" s="98"/>
      <c r="B1051" s="59"/>
      <c r="C1051" s="59"/>
      <c r="D1051" s="97"/>
      <c r="E1051" s="69"/>
      <c r="F1051" s="23"/>
      <c r="G1051" s="23"/>
    </row>
    <row r="1052" hidden="1">
      <c r="A1052" s="70">
        <v>46234.0</v>
      </c>
      <c r="B1052" s="37"/>
      <c r="C1052" s="74" t="s">
        <v>1803</v>
      </c>
      <c r="D1052" s="10" t="s">
        <v>9</v>
      </c>
      <c r="E1052" s="13" t="s">
        <v>12</v>
      </c>
      <c r="F1052" s="29">
        <v>47.97</v>
      </c>
    </row>
    <row r="1053" hidden="1">
      <c r="A1053" s="70">
        <v>46234.0</v>
      </c>
      <c r="B1053" s="37"/>
      <c r="C1053" s="20" t="s">
        <v>1804</v>
      </c>
      <c r="D1053" s="10" t="s">
        <v>9</v>
      </c>
      <c r="E1053" s="13" t="s">
        <v>12</v>
      </c>
      <c r="F1053" s="29">
        <v>43.97</v>
      </c>
      <c r="G1053" s="29">
        <v>2.0</v>
      </c>
    </row>
    <row r="1054" hidden="1">
      <c r="A1054" s="70">
        <v>46234.0</v>
      </c>
      <c r="B1054" s="37"/>
      <c r="C1054" s="20" t="s">
        <v>1807</v>
      </c>
      <c r="D1054" s="10" t="s">
        <v>9</v>
      </c>
      <c r="E1054" s="13" t="s">
        <v>12</v>
      </c>
      <c r="F1054" s="29">
        <v>180.97</v>
      </c>
    </row>
    <row r="1055" hidden="1">
      <c r="A1055" s="70">
        <v>46234.0</v>
      </c>
      <c r="B1055" s="37"/>
      <c r="C1055" s="74" t="s">
        <v>1808</v>
      </c>
      <c r="D1055" s="10" t="s">
        <v>9</v>
      </c>
      <c r="E1055" s="13" t="s">
        <v>12</v>
      </c>
      <c r="F1055" s="29">
        <v>99.97</v>
      </c>
    </row>
    <row r="1056" hidden="1">
      <c r="A1056" s="70">
        <v>46234.0</v>
      </c>
      <c r="B1056" s="37"/>
      <c r="C1056" s="20" t="s">
        <v>1810</v>
      </c>
      <c r="D1056" s="10" t="s">
        <v>9</v>
      </c>
      <c r="E1056" s="13" t="s">
        <v>12</v>
      </c>
      <c r="F1056" s="29">
        <v>65.97</v>
      </c>
      <c r="G1056" s="29">
        <v>3.0</v>
      </c>
    </row>
    <row r="1057" hidden="1">
      <c r="A1057" s="70">
        <v>46234.0</v>
      </c>
      <c r="B1057" s="37"/>
      <c r="C1057" s="71" t="s">
        <v>1811</v>
      </c>
      <c r="D1057" s="10" t="s">
        <v>9</v>
      </c>
      <c r="E1057" s="13" t="s">
        <v>12</v>
      </c>
      <c r="F1057" s="29">
        <v>85.97</v>
      </c>
    </row>
    <row r="1058" hidden="1">
      <c r="A1058" s="70">
        <v>46234.0</v>
      </c>
      <c r="B1058" s="37"/>
      <c r="C1058" s="20" t="s">
        <v>1813</v>
      </c>
      <c r="D1058" s="10" t="s">
        <v>9</v>
      </c>
      <c r="E1058" s="13" t="s">
        <v>12</v>
      </c>
      <c r="F1058" s="29">
        <v>70.97</v>
      </c>
      <c r="G1058" s="29">
        <v>3.0</v>
      </c>
    </row>
    <row r="1059" hidden="1">
      <c r="A1059" s="70">
        <v>46234.0</v>
      </c>
      <c r="B1059" s="37"/>
      <c r="C1059" s="20" t="s">
        <v>1817</v>
      </c>
      <c r="D1059" s="10" t="s">
        <v>9</v>
      </c>
      <c r="E1059" s="13" t="s">
        <v>12</v>
      </c>
      <c r="F1059" s="29">
        <v>75.97</v>
      </c>
      <c r="G1059" s="29">
        <v>3.0</v>
      </c>
    </row>
    <row r="1060" hidden="1">
      <c r="A1060" s="70">
        <v>46234.0</v>
      </c>
      <c r="B1060" s="37"/>
      <c r="C1060" s="71" t="s">
        <v>1499</v>
      </c>
      <c r="D1060" s="10" t="s">
        <v>9</v>
      </c>
      <c r="E1060" s="13" t="s">
        <v>12</v>
      </c>
      <c r="F1060" s="29">
        <v>240.97</v>
      </c>
    </row>
    <row r="1061" hidden="1">
      <c r="A1061" s="70">
        <v>46234.0</v>
      </c>
      <c r="B1061" s="37"/>
      <c r="C1061" s="74" t="s">
        <v>1820</v>
      </c>
      <c r="D1061" s="10" t="s">
        <v>9</v>
      </c>
      <c r="E1061" s="13" t="s">
        <v>12</v>
      </c>
      <c r="F1061" s="29">
        <v>185.97</v>
      </c>
    </row>
    <row r="1062" hidden="1">
      <c r="A1062" s="98"/>
      <c r="B1062" s="59"/>
      <c r="C1062" s="59"/>
      <c r="D1062" s="97"/>
      <c r="E1062" s="69"/>
      <c r="F1062" s="23"/>
      <c r="G1062" s="23"/>
    </row>
    <row r="1063" hidden="1">
      <c r="A1063" s="70">
        <v>46237.0</v>
      </c>
      <c r="C1063" s="20">
        <v>5.304517657E9</v>
      </c>
      <c r="D1063" s="10" t="s">
        <v>9</v>
      </c>
      <c r="E1063" s="13" t="s">
        <v>12</v>
      </c>
      <c r="F1063" s="29">
        <v>160.97</v>
      </c>
    </row>
    <row r="1064" hidden="1">
      <c r="A1064" s="70">
        <v>46237.0</v>
      </c>
      <c r="B1064" s="37"/>
      <c r="C1064" s="20" t="s">
        <v>1823</v>
      </c>
      <c r="D1064" s="10" t="s">
        <v>9</v>
      </c>
      <c r="E1064" s="13" t="s">
        <v>12</v>
      </c>
      <c r="F1064" s="29">
        <v>61.97</v>
      </c>
    </row>
    <row r="1065" hidden="1">
      <c r="A1065" s="70">
        <v>46237.0</v>
      </c>
      <c r="B1065" s="37"/>
      <c r="C1065" s="20" t="s">
        <v>424</v>
      </c>
      <c r="D1065" s="10" t="s">
        <v>9</v>
      </c>
      <c r="E1065" s="13" t="s">
        <v>12</v>
      </c>
      <c r="F1065" s="29">
        <v>72.97</v>
      </c>
    </row>
    <row r="1066" hidden="1">
      <c r="A1066" s="70">
        <v>46237.0</v>
      </c>
      <c r="B1066" s="37"/>
      <c r="C1066" s="37"/>
      <c r="D1066" s="10" t="s">
        <v>9</v>
      </c>
      <c r="E1066" s="13" t="s">
        <v>12</v>
      </c>
    </row>
    <row r="1067" hidden="1">
      <c r="A1067" s="70">
        <v>46237.0</v>
      </c>
      <c r="B1067" s="37"/>
      <c r="C1067" s="37"/>
      <c r="D1067" s="10" t="s">
        <v>9</v>
      </c>
      <c r="E1067" s="13" t="s">
        <v>12</v>
      </c>
    </row>
    <row r="1068" hidden="1">
      <c r="A1068" s="98"/>
      <c r="B1068" s="59"/>
      <c r="C1068" s="59"/>
      <c r="D1068" s="97"/>
      <c r="E1068" s="69"/>
      <c r="F1068" s="23"/>
      <c r="G1068" s="23"/>
    </row>
    <row r="1069" hidden="1">
      <c r="A1069" s="70">
        <v>46238.0</v>
      </c>
      <c r="B1069" s="37"/>
      <c r="C1069" s="20">
        <v>3.8740487E8</v>
      </c>
      <c r="D1069" s="10" t="s">
        <v>9</v>
      </c>
      <c r="E1069" s="13" t="s">
        <v>12</v>
      </c>
      <c r="F1069" s="29">
        <v>70.97</v>
      </c>
      <c r="G1069" s="29">
        <v>2.0</v>
      </c>
    </row>
    <row r="1070" hidden="1">
      <c r="A1070" s="70">
        <v>46238.0</v>
      </c>
      <c r="B1070" s="37"/>
      <c r="C1070" s="20">
        <v>5.304529495E9</v>
      </c>
      <c r="D1070" s="10" t="s">
        <v>9</v>
      </c>
      <c r="E1070" s="13" t="s">
        <v>12</v>
      </c>
      <c r="F1070" s="29">
        <v>41.97</v>
      </c>
    </row>
    <row r="1071" hidden="1">
      <c r="A1071" s="70">
        <v>46238.0</v>
      </c>
      <c r="B1071" s="37"/>
      <c r="C1071" s="20">
        <v>5.304536036E9</v>
      </c>
      <c r="D1071" s="10" t="s">
        <v>9</v>
      </c>
      <c r="E1071" s="13" t="s">
        <v>12</v>
      </c>
      <c r="F1071" s="29">
        <v>85.97</v>
      </c>
    </row>
    <row r="1072" hidden="1">
      <c r="A1072" s="70">
        <v>46238.0</v>
      </c>
      <c r="B1072" s="37"/>
      <c r="C1072" s="20">
        <v>1.40282033012E11</v>
      </c>
      <c r="D1072" s="10" t="s">
        <v>9</v>
      </c>
      <c r="E1072" s="13" t="s">
        <v>12</v>
      </c>
      <c r="F1072" s="29">
        <v>50.97</v>
      </c>
    </row>
    <row r="1073" hidden="1">
      <c r="A1073" s="70">
        <v>46238.0</v>
      </c>
      <c r="B1073" s="37"/>
      <c r="C1073" s="20">
        <v>5.304525218E9</v>
      </c>
      <c r="D1073" s="10" t="s">
        <v>9</v>
      </c>
      <c r="E1073" s="13" t="s">
        <v>12</v>
      </c>
      <c r="F1073" s="29">
        <v>30.97</v>
      </c>
    </row>
    <row r="1074" hidden="1">
      <c r="A1074" s="70">
        <v>46238.0</v>
      </c>
      <c r="B1074" s="37"/>
      <c r="C1074" s="20">
        <v>5.304524098E9</v>
      </c>
      <c r="D1074" s="10" t="s">
        <v>9</v>
      </c>
      <c r="E1074" s="13" t="s">
        <v>12</v>
      </c>
      <c r="F1074" s="29">
        <v>95.97</v>
      </c>
    </row>
    <row r="1075" hidden="1">
      <c r="A1075" s="70">
        <v>46238.0</v>
      </c>
      <c r="B1075" s="37"/>
      <c r="C1075" s="20">
        <v>5.304516862E9</v>
      </c>
      <c r="D1075" s="10" t="s">
        <v>9</v>
      </c>
      <c r="E1075" s="13" t="s">
        <v>12</v>
      </c>
      <c r="F1075" s="29">
        <v>99.97</v>
      </c>
    </row>
    <row r="1076" hidden="1">
      <c r="A1076" s="98"/>
      <c r="B1076" s="59"/>
      <c r="C1076" s="59"/>
      <c r="D1076" s="97"/>
      <c r="E1076" s="69"/>
      <c r="F1076" s="23"/>
      <c r="G1076" s="23"/>
    </row>
    <row r="1077" hidden="1">
      <c r="A1077" s="70">
        <v>46239.0</v>
      </c>
      <c r="B1077" s="37"/>
      <c r="C1077" s="20">
        <v>5.304534353E9</v>
      </c>
      <c r="D1077" s="10" t="s">
        <v>9</v>
      </c>
      <c r="E1077" s="13" t="s">
        <v>12</v>
      </c>
      <c r="F1077" s="29">
        <v>125.97</v>
      </c>
    </row>
    <row r="1078" hidden="1">
      <c r="A1078" s="70">
        <v>46239.0</v>
      </c>
      <c r="B1078" s="37"/>
      <c r="C1078" s="20">
        <v>2.42018303E8</v>
      </c>
      <c r="D1078" s="10" t="s">
        <v>9</v>
      </c>
      <c r="E1078" s="13" t="s">
        <v>12</v>
      </c>
      <c r="F1078" s="29">
        <v>55.97</v>
      </c>
    </row>
    <row r="1079" hidden="1">
      <c r="A1079" s="70">
        <v>46239.0</v>
      </c>
      <c r="B1079" s="37"/>
      <c r="C1079" s="20">
        <v>5.304530678E9</v>
      </c>
      <c r="D1079" s="10" t="s">
        <v>9</v>
      </c>
      <c r="E1079" s="13" t="s">
        <v>12</v>
      </c>
      <c r="F1079" s="29">
        <v>110.97</v>
      </c>
    </row>
    <row r="1080" hidden="1">
      <c r="A1080" s="70">
        <v>46239.0</v>
      </c>
      <c r="B1080" s="37"/>
      <c r="C1080" s="20">
        <v>2.42018301E8</v>
      </c>
      <c r="D1080" s="10" t="s">
        <v>9</v>
      </c>
      <c r="E1080" s="13" t="s">
        <v>12</v>
      </c>
      <c r="F1080" s="29">
        <v>55.97</v>
      </c>
    </row>
    <row r="1081" hidden="1">
      <c r="A1081" s="70">
        <v>46239.0</v>
      </c>
      <c r="B1081" s="37"/>
      <c r="C1081" s="20">
        <v>5.304530887E9</v>
      </c>
      <c r="D1081" s="10" t="s">
        <v>9</v>
      </c>
      <c r="E1081" s="13" t="s">
        <v>12</v>
      </c>
      <c r="F1081" s="29">
        <v>40.97</v>
      </c>
    </row>
    <row r="1082" hidden="1">
      <c r="A1082" s="70">
        <v>46239.0</v>
      </c>
      <c r="B1082" s="37"/>
      <c r="C1082" s="20">
        <v>5.304529531E9</v>
      </c>
      <c r="D1082" s="10" t="s">
        <v>9</v>
      </c>
      <c r="E1082" s="13" t="s">
        <v>12</v>
      </c>
      <c r="F1082" s="29">
        <v>31.97</v>
      </c>
    </row>
    <row r="1083" hidden="1">
      <c r="A1083" s="70">
        <v>46239.0</v>
      </c>
      <c r="B1083" s="37"/>
      <c r="C1083" s="20">
        <v>5.304529427E9</v>
      </c>
      <c r="D1083" s="10" t="s">
        <v>9</v>
      </c>
      <c r="E1083" s="13" t="s">
        <v>12</v>
      </c>
      <c r="F1083" s="29">
        <v>85.97</v>
      </c>
    </row>
    <row r="1084" hidden="1">
      <c r="A1084" s="70">
        <v>46239.0</v>
      </c>
      <c r="B1084" s="37"/>
      <c r="C1084" s="20">
        <v>5.304518634E9</v>
      </c>
      <c r="D1084" s="10" t="s">
        <v>9</v>
      </c>
      <c r="E1084" s="13" t="s">
        <v>12</v>
      </c>
      <c r="F1084" s="29">
        <v>125.97</v>
      </c>
    </row>
    <row r="1085" hidden="1">
      <c r="A1085" s="70">
        <v>46239.0</v>
      </c>
      <c r="B1085" s="37"/>
      <c r="C1085" s="20">
        <v>5.304515818E9</v>
      </c>
      <c r="D1085" s="10" t="s">
        <v>9</v>
      </c>
      <c r="E1085" s="13" t="s">
        <v>12</v>
      </c>
      <c r="F1085" s="29">
        <v>48.97</v>
      </c>
    </row>
    <row r="1086" hidden="1">
      <c r="A1086" s="70">
        <v>46239.0</v>
      </c>
      <c r="B1086" s="37"/>
      <c r="C1086" s="20">
        <v>5.304527038E9</v>
      </c>
      <c r="D1086" s="10" t="s">
        <v>9</v>
      </c>
      <c r="E1086" s="13" t="s">
        <v>12</v>
      </c>
      <c r="F1086" s="29">
        <v>95.97</v>
      </c>
    </row>
    <row r="1087" hidden="1">
      <c r="A1087" s="70">
        <v>46239.0</v>
      </c>
      <c r="B1087" s="37"/>
      <c r="C1087" s="20">
        <v>5.304538005E9</v>
      </c>
      <c r="D1087" s="10" t="s">
        <v>9</v>
      </c>
      <c r="E1087" s="13" t="s">
        <v>12</v>
      </c>
      <c r="F1087" s="29">
        <v>60.97</v>
      </c>
    </row>
    <row r="1088" hidden="1">
      <c r="A1088" s="70">
        <v>46239.0</v>
      </c>
      <c r="B1088" s="37"/>
      <c r="C1088" s="20">
        <v>1.40051730038E11</v>
      </c>
      <c r="D1088" s="10" t="s">
        <v>9</v>
      </c>
      <c r="E1088" s="13" t="s">
        <v>12</v>
      </c>
      <c r="F1088" s="29">
        <v>75.97</v>
      </c>
    </row>
    <row r="1089" hidden="1">
      <c r="A1089" s="70">
        <v>46239.0</v>
      </c>
      <c r="B1089" s="37"/>
      <c r="C1089" s="20">
        <v>5.304535649E9</v>
      </c>
      <c r="D1089" s="10" t="s">
        <v>9</v>
      </c>
      <c r="E1089" s="13" t="s">
        <v>12</v>
      </c>
      <c r="F1089" s="29">
        <v>50.97</v>
      </c>
    </row>
    <row r="1090" hidden="1">
      <c r="A1090" s="70">
        <v>46239.0</v>
      </c>
      <c r="B1090" s="37"/>
      <c r="C1090" s="20">
        <v>5.304519104E9</v>
      </c>
      <c r="D1090" s="10" t="s">
        <v>9</v>
      </c>
      <c r="E1090" s="13" t="s">
        <v>12</v>
      </c>
      <c r="F1090" s="29">
        <v>19.97</v>
      </c>
    </row>
    <row r="1091" hidden="1">
      <c r="A1091" s="70">
        <v>46239.0</v>
      </c>
      <c r="B1091" s="37"/>
      <c r="C1091" s="20">
        <v>5.304523297E9</v>
      </c>
      <c r="D1091" s="10" t="s">
        <v>9</v>
      </c>
      <c r="E1091" s="13" t="s">
        <v>12</v>
      </c>
      <c r="F1091" s="29">
        <v>25.97</v>
      </c>
    </row>
    <row r="1092" hidden="1">
      <c r="A1092" s="70">
        <v>46239.0</v>
      </c>
      <c r="B1092" s="37"/>
      <c r="C1092" s="20">
        <v>5.304470538E9</v>
      </c>
      <c r="D1092" s="10" t="s">
        <v>9</v>
      </c>
      <c r="E1092" s="13" t="s">
        <v>12</v>
      </c>
      <c r="F1092" s="29">
        <v>265.97</v>
      </c>
    </row>
    <row r="1093" hidden="1">
      <c r="A1093" s="70">
        <v>46239.0</v>
      </c>
      <c r="B1093" s="37"/>
      <c r="C1093" s="20" t="s">
        <v>1838</v>
      </c>
      <c r="D1093" s="10" t="s">
        <v>9</v>
      </c>
      <c r="E1093" s="13" t="s">
        <v>12</v>
      </c>
      <c r="F1093" s="29">
        <v>90.97</v>
      </c>
      <c r="G1093" s="29">
        <v>3.0</v>
      </c>
    </row>
    <row r="1094" hidden="1">
      <c r="A1094" s="70">
        <v>46239.0</v>
      </c>
      <c r="B1094" s="37"/>
      <c r="C1094" s="20">
        <v>5.304536547E9</v>
      </c>
      <c r="D1094" s="10" t="s">
        <v>9</v>
      </c>
      <c r="E1094" s="13" t="s">
        <v>12</v>
      </c>
      <c r="F1094" s="29">
        <v>65.97</v>
      </c>
    </row>
    <row r="1095" hidden="1">
      <c r="A1095" s="70">
        <v>46239.0</v>
      </c>
      <c r="B1095" s="37"/>
      <c r="C1095" s="20" t="s">
        <v>112</v>
      </c>
      <c r="D1095" s="10" t="s">
        <v>9</v>
      </c>
      <c r="E1095" s="13" t="s">
        <v>12</v>
      </c>
      <c r="F1095" s="29">
        <v>61.97</v>
      </c>
    </row>
    <row r="1096" hidden="1">
      <c r="A1096" s="70">
        <v>46239.0</v>
      </c>
      <c r="B1096" s="37"/>
      <c r="C1096" s="20">
        <v>5.304528167E9</v>
      </c>
      <c r="D1096" s="10" t="s">
        <v>9</v>
      </c>
      <c r="E1096" s="13" t="s">
        <v>12</v>
      </c>
      <c r="F1096" s="29">
        <v>65.97</v>
      </c>
    </row>
    <row r="1097" hidden="1">
      <c r="A1097" s="23"/>
      <c r="B1097" s="59"/>
      <c r="C1097" s="59"/>
      <c r="D1097" s="62"/>
      <c r="E1097" s="23"/>
      <c r="F1097" s="23"/>
      <c r="G1097" s="23"/>
    </row>
    <row r="1098" hidden="1">
      <c r="A1098" s="70">
        <v>46240.0</v>
      </c>
      <c r="B1098" s="37"/>
      <c r="C1098" s="209">
        <v>5.304524866E9</v>
      </c>
      <c r="D1098" s="10" t="s">
        <v>9</v>
      </c>
      <c r="E1098" s="13" t="s">
        <v>12</v>
      </c>
      <c r="F1098" s="29">
        <v>62.97</v>
      </c>
    </row>
    <row r="1099" hidden="1">
      <c r="A1099" s="70">
        <v>46240.0</v>
      </c>
      <c r="B1099" s="37"/>
      <c r="C1099" s="20">
        <v>5.304531745E9</v>
      </c>
      <c r="D1099" s="10" t="s">
        <v>9</v>
      </c>
      <c r="E1099" s="13" t="s">
        <v>12</v>
      </c>
      <c r="F1099" s="29">
        <v>42.97</v>
      </c>
    </row>
    <row r="1100" hidden="1">
      <c r="A1100" s="70">
        <v>46240.0</v>
      </c>
      <c r="B1100" s="37"/>
      <c r="C1100" s="20">
        <v>5.304536381E9</v>
      </c>
      <c r="D1100" s="10" t="s">
        <v>9</v>
      </c>
      <c r="E1100" s="13" t="s">
        <v>12</v>
      </c>
      <c r="F1100" s="29">
        <v>35.97</v>
      </c>
    </row>
    <row r="1101" hidden="1">
      <c r="A1101" s="70">
        <v>46240.0</v>
      </c>
      <c r="B1101" s="37"/>
      <c r="C1101" s="20">
        <v>5.304509476E9</v>
      </c>
      <c r="D1101" s="10" t="s">
        <v>9</v>
      </c>
      <c r="E1101" s="13" t="s">
        <v>12</v>
      </c>
      <c r="F1101" s="29">
        <v>245.97</v>
      </c>
    </row>
    <row r="1102" hidden="1">
      <c r="A1102" s="70">
        <v>46240.0</v>
      </c>
      <c r="B1102" s="37"/>
      <c r="C1102" s="20">
        <v>5.304536938E9</v>
      </c>
      <c r="D1102" s="10" t="s">
        <v>9</v>
      </c>
      <c r="E1102" s="13" t="s">
        <v>12</v>
      </c>
      <c r="F1102" s="29">
        <v>155.97</v>
      </c>
    </row>
    <row r="1103" hidden="1">
      <c r="A1103" s="70">
        <v>46240.0</v>
      </c>
      <c r="B1103" s="37"/>
      <c r="C1103" s="20">
        <v>5.304533676E9</v>
      </c>
      <c r="D1103" s="10" t="s">
        <v>9</v>
      </c>
      <c r="E1103" s="13" t="s">
        <v>12</v>
      </c>
      <c r="F1103" s="29">
        <v>255.97</v>
      </c>
    </row>
    <row r="1104" hidden="1">
      <c r="A1104" s="70">
        <v>46240.0</v>
      </c>
      <c r="B1104" s="37"/>
      <c r="C1104" s="20">
        <v>5.304538391E9</v>
      </c>
      <c r="D1104" s="10" t="s">
        <v>9</v>
      </c>
      <c r="E1104" s="13" t="s">
        <v>12</v>
      </c>
      <c r="F1104" s="29">
        <v>95.97</v>
      </c>
    </row>
    <row r="1105" hidden="1">
      <c r="A1105" s="70">
        <v>46240.0</v>
      </c>
      <c r="B1105" s="37"/>
      <c r="C1105" s="20">
        <v>5.304535023E9</v>
      </c>
      <c r="D1105" s="10" t="s">
        <v>9</v>
      </c>
      <c r="E1105" s="13" t="s">
        <v>12</v>
      </c>
      <c r="F1105" s="29">
        <v>83.97</v>
      </c>
    </row>
    <row r="1106" hidden="1">
      <c r="A1106" s="70">
        <v>46240.0</v>
      </c>
      <c r="B1106" s="37"/>
      <c r="C1106" s="20">
        <v>5.304526068E9</v>
      </c>
      <c r="D1106" s="10" t="s">
        <v>9</v>
      </c>
      <c r="E1106" s="13" t="s">
        <v>12</v>
      </c>
      <c r="F1106" s="29">
        <v>85.97</v>
      </c>
    </row>
    <row r="1107" hidden="1">
      <c r="A1107" s="70">
        <v>46240.0</v>
      </c>
      <c r="B1107" s="37"/>
      <c r="C1107" s="20">
        <v>2.43297608E8</v>
      </c>
      <c r="D1107" s="10" t="s">
        <v>9</v>
      </c>
      <c r="E1107" s="13" t="s">
        <v>12</v>
      </c>
      <c r="F1107" s="29">
        <v>57.97</v>
      </c>
      <c r="G1107" s="29">
        <v>2.0</v>
      </c>
    </row>
    <row r="1108" hidden="1">
      <c r="A1108" s="70">
        <v>46240.0</v>
      </c>
      <c r="B1108" s="37"/>
      <c r="C1108" s="20">
        <v>5.304521331E9</v>
      </c>
      <c r="D1108" s="10" t="s">
        <v>9</v>
      </c>
      <c r="E1108" s="13" t="s">
        <v>12</v>
      </c>
      <c r="F1108" s="29">
        <v>56.97</v>
      </c>
    </row>
    <row r="1109" hidden="1">
      <c r="A1109" s="70">
        <v>46240.0</v>
      </c>
      <c r="B1109" s="37"/>
      <c r="C1109" s="20">
        <v>5.304534317E9</v>
      </c>
      <c r="D1109" s="10" t="s">
        <v>9</v>
      </c>
      <c r="E1109" s="13" t="s">
        <v>12</v>
      </c>
      <c r="F1109" s="29">
        <v>75.97</v>
      </c>
    </row>
    <row r="1110" hidden="1">
      <c r="A1110" s="70">
        <v>46240.0</v>
      </c>
      <c r="B1110" s="37"/>
      <c r="C1110" s="20">
        <v>5.304532199E9</v>
      </c>
      <c r="D1110" s="10" t="s">
        <v>9</v>
      </c>
      <c r="E1110" s="13" t="s">
        <v>12</v>
      </c>
      <c r="F1110" s="29">
        <v>40.97</v>
      </c>
    </row>
    <row r="1111" hidden="1">
      <c r="A1111" s="70">
        <v>46240.0</v>
      </c>
      <c r="B1111" s="37"/>
      <c r="C1111" s="20">
        <v>5.304537802E9</v>
      </c>
      <c r="D1111" s="10" t="s">
        <v>9</v>
      </c>
      <c r="E1111" s="13" t="s">
        <v>12</v>
      </c>
      <c r="F1111" s="29">
        <v>50.97</v>
      </c>
    </row>
    <row r="1112" hidden="1">
      <c r="A1112" s="70">
        <v>46240.0</v>
      </c>
      <c r="B1112" s="37"/>
      <c r="C1112" s="20">
        <v>5.304535629E9</v>
      </c>
      <c r="D1112" s="10" t="s">
        <v>9</v>
      </c>
      <c r="E1112" s="13" t="s">
        <v>12</v>
      </c>
      <c r="F1112" s="29">
        <v>65.97</v>
      </c>
    </row>
    <row r="1113" hidden="1">
      <c r="A1113" s="70">
        <v>46240.0</v>
      </c>
      <c r="B1113" s="37"/>
      <c r="C1113" s="121" t="s">
        <v>1844</v>
      </c>
      <c r="D1113" s="10" t="s">
        <v>9</v>
      </c>
      <c r="E1113" s="13" t="s">
        <v>12</v>
      </c>
      <c r="F1113" s="29">
        <v>75.97</v>
      </c>
    </row>
    <row r="1114" hidden="1">
      <c r="A1114" s="70">
        <v>46240.0</v>
      </c>
      <c r="B1114" s="37"/>
      <c r="C1114" s="20">
        <v>5.304538492E9</v>
      </c>
      <c r="D1114" s="10" t="s">
        <v>9</v>
      </c>
      <c r="E1114" s="13" t="s">
        <v>12</v>
      </c>
      <c r="F1114" s="29">
        <v>31.97</v>
      </c>
    </row>
    <row r="1115" hidden="1">
      <c r="A1115" s="70">
        <v>46240.0</v>
      </c>
      <c r="B1115" s="37"/>
      <c r="C1115" s="210">
        <v>5.304526014E9</v>
      </c>
      <c r="D1115" s="10" t="s">
        <v>9</v>
      </c>
      <c r="E1115" s="13" t="s">
        <v>12</v>
      </c>
      <c r="F1115" s="29">
        <v>45.97</v>
      </c>
    </row>
    <row r="1116" hidden="1">
      <c r="A1116" s="70">
        <v>46240.0</v>
      </c>
      <c r="B1116" s="37"/>
      <c r="C1116" s="20" t="s">
        <v>1845</v>
      </c>
      <c r="D1116" s="10" t="s">
        <v>9</v>
      </c>
      <c r="E1116" s="13" t="s">
        <v>12</v>
      </c>
      <c r="F1116" s="29">
        <v>99.97</v>
      </c>
    </row>
    <row r="1117" hidden="1">
      <c r="A1117" s="70">
        <v>46240.0</v>
      </c>
      <c r="B1117" s="37"/>
      <c r="C1117" s="20" t="s">
        <v>1846</v>
      </c>
      <c r="D1117" s="10" t="s">
        <v>9</v>
      </c>
      <c r="E1117" s="13" t="s">
        <v>12</v>
      </c>
      <c r="F1117" s="29">
        <v>37.97</v>
      </c>
    </row>
    <row r="1118" hidden="1">
      <c r="A1118" s="23"/>
      <c r="B1118" s="59"/>
      <c r="C1118" s="59"/>
      <c r="D1118" s="62"/>
      <c r="E1118" s="23"/>
      <c r="F1118" s="23"/>
      <c r="G1118" s="23"/>
    </row>
    <row r="1119" hidden="1">
      <c r="A1119" s="70">
        <v>46241.0</v>
      </c>
      <c r="B1119" s="37"/>
      <c r="C1119" s="74" t="s">
        <v>930</v>
      </c>
      <c r="D1119" s="10" t="s">
        <v>9</v>
      </c>
      <c r="E1119" s="13" t="s">
        <v>12</v>
      </c>
      <c r="F1119" s="29">
        <v>29.97</v>
      </c>
    </row>
    <row r="1120" hidden="1">
      <c r="A1120" s="70">
        <v>46241.0</v>
      </c>
      <c r="B1120" s="37"/>
      <c r="C1120" s="74" t="s">
        <v>1850</v>
      </c>
      <c r="D1120" s="10" t="s">
        <v>9</v>
      </c>
      <c r="E1120" s="13" t="s">
        <v>12</v>
      </c>
      <c r="F1120" s="29">
        <v>99.97</v>
      </c>
    </row>
    <row r="1121" hidden="1">
      <c r="A1121" s="70">
        <v>46241.0</v>
      </c>
      <c r="B1121" s="37"/>
      <c r="C1121" s="74" t="s">
        <v>1851</v>
      </c>
      <c r="D1121" s="10" t="s">
        <v>9</v>
      </c>
      <c r="E1121" s="13" t="s">
        <v>12</v>
      </c>
      <c r="F1121" s="29">
        <v>95.97</v>
      </c>
    </row>
    <row r="1122" hidden="1">
      <c r="A1122" s="70">
        <v>46241.0</v>
      </c>
      <c r="B1122" s="37"/>
      <c r="C1122" s="74" t="s">
        <v>1852</v>
      </c>
      <c r="D1122" s="10" t="s">
        <v>9</v>
      </c>
      <c r="E1122" s="13" t="s">
        <v>12</v>
      </c>
      <c r="F1122" s="29">
        <v>95.97</v>
      </c>
    </row>
    <row r="1123" hidden="1">
      <c r="A1123" s="70">
        <v>46241.0</v>
      </c>
      <c r="B1123" s="37"/>
      <c r="C1123" s="74" t="s">
        <v>1854</v>
      </c>
      <c r="D1123" s="10" t="s">
        <v>9</v>
      </c>
      <c r="E1123" s="13" t="s">
        <v>12</v>
      </c>
      <c r="F1123" s="29">
        <v>120.97</v>
      </c>
    </row>
    <row r="1124" hidden="1">
      <c r="A1124" s="70">
        <v>46241.0</v>
      </c>
      <c r="B1124" s="37"/>
      <c r="C1124" s="74" t="s">
        <v>1855</v>
      </c>
      <c r="D1124" s="10" t="s">
        <v>9</v>
      </c>
      <c r="E1124" s="13" t="s">
        <v>12</v>
      </c>
      <c r="F1124" s="29">
        <v>75.97</v>
      </c>
    </row>
    <row r="1125" hidden="1">
      <c r="A1125" s="70">
        <v>46241.0</v>
      </c>
      <c r="B1125" s="37"/>
      <c r="C1125" s="74" t="s">
        <v>541</v>
      </c>
      <c r="D1125" s="10" t="s">
        <v>9</v>
      </c>
      <c r="E1125" s="13" t="s">
        <v>12</v>
      </c>
      <c r="F1125" s="29">
        <v>20.97</v>
      </c>
      <c r="G1125" s="29">
        <v>2.0</v>
      </c>
    </row>
    <row r="1126" hidden="1">
      <c r="A1126" s="70">
        <v>46241.0</v>
      </c>
      <c r="B1126" s="37"/>
      <c r="C1126" s="74" t="s">
        <v>1856</v>
      </c>
      <c r="D1126" s="10" t="s">
        <v>9</v>
      </c>
      <c r="E1126" s="13" t="s">
        <v>12</v>
      </c>
      <c r="F1126" s="29">
        <v>20.97</v>
      </c>
      <c r="G1126" s="29">
        <v>2.0</v>
      </c>
    </row>
    <row r="1127" hidden="1">
      <c r="A1127" s="70">
        <v>46241.0</v>
      </c>
      <c r="B1127" s="37"/>
      <c r="C1127" s="74" t="s">
        <v>1858</v>
      </c>
      <c r="D1127" s="10" t="s">
        <v>9</v>
      </c>
      <c r="E1127" s="13" t="s">
        <v>12</v>
      </c>
      <c r="F1127" s="29">
        <v>85.97</v>
      </c>
    </row>
    <row r="1128" hidden="1">
      <c r="A1128" s="70">
        <v>46241.0</v>
      </c>
      <c r="B1128" s="37"/>
      <c r="C1128" s="74" t="s">
        <v>800</v>
      </c>
      <c r="D1128" s="10" t="s">
        <v>9</v>
      </c>
      <c r="E1128" s="13" t="s">
        <v>12</v>
      </c>
      <c r="F1128" s="29">
        <v>21.97</v>
      </c>
    </row>
    <row r="1129" hidden="1">
      <c r="A1129" s="23"/>
      <c r="B1129" s="59"/>
      <c r="C1129" s="59"/>
      <c r="D1129" s="62"/>
      <c r="E1129" s="23"/>
      <c r="F1129" s="23"/>
      <c r="G1129" s="23"/>
    </row>
    <row r="1130" hidden="1">
      <c r="A1130" s="70">
        <v>46244.0</v>
      </c>
      <c r="B1130" s="37"/>
      <c r="C1130" s="71" t="s">
        <v>1860</v>
      </c>
      <c r="D1130" s="10" t="s">
        <v>9</v>
      </c>
      <c r="E1130" s="13" t="s">
        <v>12</v>
      </c>
      <c r="F1130" s="29">
        <v>60.97</v>
      </c>
    </row>
    <row r="1131" hidden="1">
      <c r="A1131" s="70">
        <v>46244.0</v>
      </c>
      <c r="B1131" s="37"/>
      <c r="C1131" s="74" t="s">
        <v>1862</v>
      </c>
      <c r="D1131" s="10" t="s">
        <v>9</v>
      </c>
      <c r="E1131" s="13" t="s">
        <v>12</v>
      </c>
      <c r="F1131" s="29">
        <v>55.97</v>
      </c>
    </row>
    <row r="1132" hidden="1">
      <c r="A1132" s="70">
        <v>46244.0</v>
      </c>
      <c r="B1132" s="37"/>
      <c r="C1132" s="20" t="s">
        <v>1864</v>
      </c>
      <c r="D1132" s="10" t="s">
        <v>9</v>
      </c>
      <c r="E1132" s="13" t="s">
        <v>12</v>
      </c>
      <c r="F1132" s="29">
        <v>28.97</v>
      </c>
    </row>
    <row r="1133" hidden="1">
      <c r="A1133" s="70">
        <v>46244.0</v>
      </c>
      <c r="B1133" s="37"/>
      <c r="C1133" s="20" t="s">
        <v>1865</v>
      </c>
      <c r="D1133" s="10" t="s">
        <v>9</v>
      </c>
      <c r="E1133" s="13" t="s">
        <v>12</v>
      </c>
      <c r="F1133" s="29">
        <v>35.97</v>
      </c>
    </row>
    <row r="1134" hidden="1">
      <c r="A1134" s="70">
        <v>46244.0</v>
      </c>
      <c r="B1134" s="37"/>
      <c r="C1134" s="74" t="s">
        <v>1866</v>
      </c>
      <c r="D1134" s="10" t="s">
        <v>9</v>
      </c>
      <c r="E1134" s="13" t="s">
        <v>12</v>
      </c>
      <c r="F1134" s="29">
        <v>125.97</v>
      </c>
    </row>
    <row r="1135" hidden="1">
      <c r="A1135" s="70">
        <v>46244.0</v>
      </c>
      <c r="B1135" s="37"/>
      <c r="C1135" s="74" t="s">
        <v>1867</v>
      </c>
      <c r="D1135" s="10" t="s">
        <v>9</v>
      </c>
      <c r="E1135" s="13" t="s">
        <v>12</v>
      </c>
      <c r="F1135" s="29">
        <v>22.97</v>
      </c>
    </row>
    <row r="1136" hidden="1">
      <c r="A1136" s="70">
        <v>46244.0</v>
      </c>
      <c r="B1136" s="37"/>
      <c r="C1136" s="74" t="s">
        <v>557</v>
      </c>
      <c r="D1136" s="10" t="s">
        <v>9</v>
      </c>
      <c r="E1136" s="13" t="s">
        <v>12</v>
      </c>
      <c r="F1136" s="29">
        <v>29.97</v>
      </c>
    </row>
    <row r="1137" hidden="1">
      <c r="A1137" s="70">
        <v>46244.0</v>
      </c>
      <c r="B1137" s="37"/>
      <c r="C1137" s="74" t="s">
        <v>546</v>
      </c>
      <c r="D1137" s="10" t="s">
        <v>9</v>
      </c>
      <c r="E1137" s="13" t="s">
        <v>12</v>
      </c>
      <c r="F1137" s="29">
        <v>22.97</v>
      </c>
    </row>
    <row r="1138" hidden="1">
      <c r="A1138" s="70">
        <v>46244.0</v>
      </c>
      <c r="B1138" s="37"/>
      <c r="C1138" s="74" t="s">
        <v>1869</v>
      </c>
      <c r="D1138" s="10" t="s">
        <v>9</v>
      </c>
      <c r="E1138" s="13" t="s">
        <v>12</v>
      </c>
      <c r="F1138" s="29">
        <v>20.97</v>
      </c>
    </row>
    <row r="1139" hidden="1">
      <c r="A1139" s="70">
        <v>46244.0</v>
      </c>
      <c r="B1139" s="37"/>
      <c r="C1139" s="20" t="s">
        <v>1870</v>
      </c>
      <c r="D1139" s="10" t="s">
        <v>9</v>
      </c>
      <c r="E1139" s="13" t="s">
        <v>12</v>
      </c>
      <c r="F1139" s="29">
        <v>24.97</v>
      </c>
    </row>
    <row r="1140" hidden="1">
      <c r="A1140" s="70">
        <v>46244.0</v>
      </c>
      <c r="B1140" s="37"/>
      <c r="C1140" s="20" t="s">
        <v>1872</v>
      </c>
      <c r="D1140" s="10" t="s">
        <v>9</v>
      </c>
      <c r="E1140" s="13" t="s">
        <v>12</v>
      </c>
      <c r="F1140" s="29">
        <v>20.97</v>
      </c>
    </row>
    <row r="1141" hidden="1">
      <c r="A1141" s="70">
        <v>46244.0</v>
      </c>
      <c r="B1141" s="37"/>
      <c r="C1141" s="74" t="s">
        <v>1873</v>
      </c>
      <c r="D1141" s="10" t="s">
        <v>9</v>
      </c>
      <c r="E1141" s="13" t="s">
        <v>12</v>
      </c>
      <c r="F1141" s="29">
        <v>24.97</v>
      </c>
    </row>
    <row r="1142" hidden="1">
      <c r="A1142" s="70">
        <v>46244.0</v>
      </c>
      <c r="B1142" s="37"/>
      <c r="C1142" s="74" t="s">
        <v>1874</v>
      </c>
      <c r="D1142" s="10" t="s">
        <v>9</v>
      </c>
      <c r="E1142" s="13" t="s">
        <v>12</v>
      </c>
      <c r="F1142" s="29">
        <v>35.97</v>
      </c>
    </row>
    <row r="1143" hidden="1">
      <c r="A1143" s="70">
        <v>46244.0</v>
      </c>
      <c r="B1143" s="37"/>
      <c r="C1143" s="216" t="s">
        <v>1876</v>
      </c>
      <c r="D1143" s="10" t="s">
        <v>9</v>
      </c>
      <c r="E1143" s="13" t="s">
        <v>12</v>
      </c>
      <c r="F1143" s="29">
        <v>225.97</v>
      </c>
    </row>
    <row r="1144" hidden="1">
      <c r="A1144" s="70">
        <v>46244.0</v>
      </c>
      <c r="B1144" s="37"/>
      <c r="C1144" s="71">
        <v>1.2131000078373E13</v>
      </c>
      <c r="D1144" s="10" t="s">
        <v>9</v>
      </c>
      <c r="E1144" s="13" t="s">
        <v>12</v>
      </c>
      <c r="F1144" s="29">
        <v>110.97</v>
      </c>
    </row>
    <row r="1145" hidden="1">
      <c r="A1145" s="23"/>
      <c r="B1145" s="59"/>
      <c r="C1145" s="59"/>
      <c r="D1145" s="62"/>
      <c r="E1145" s="23"/>
      <c r="F1145" s="23"/>
      <c r="G1145" s="23"/>
    </row>
    <row r="1146" hidden="1">
      <c r="A1146" s="70">
        <v>46245.0</v>
      </c>
      <c r="B1146" s="37"/>
      <c r="C1146" s="20" t="s">
        <v>1878</v>
      </c>
      <c r="D1146" s="10" t="s">
        <v>9</v>
      </c>
      <c r="E1146" s="13" t="s">
        <v>12</v>
      </c>
      <c r="F1146" s="29">
        <v>22.97</v>
      </c>
    </row>
    <row r="1147" hidden="1">
      <c r="A1147" s="70">
        <v>46245.0</v>
      </c>
      <c r="B1147" s="37"/>
      <c r="C1147" s="65" t="s">
        <v>1879</v>
      </c>
      <c r="D1147" s="10" t="s">
        <v>9</v>
      </c>
      <c r="E1147" s="13" t="s">
        <v>12</v>
      </c>
      <c r="F1147" s="29">
        <v>128.97</v>
      </c>
    </row>
    <row r="1148" hidden="1">
      <c r="A1148" s="70">
        <v>46245.0</v>
      </c>
      <c r="B1148" s="37"/>
      <c r="C1148" s="20" t="s">
        <v>1880</v>
      </c>
      <c r="D1148" s="10" t="s">
        <v>9</v>
      </c>
      <c r="E1148" s="13" t="s">
        <v>12</v>
      </c>
      <c r="F1148" s="29">
        <v>43.97</v>
      </c>
    </row>
    <row r="1149" hidden="1">
      <c r="A1149" s="70">
        <v>46245.0</v>
      </c>
      <c r="B1149" s="37"/>
      <c r="C1149" s="20" t="s">
        <v>1882</v>
      </c>
      <c r="D1149" s="10" t="s">
        <v>9</v>
      </c>
      <c r="E1149" s="13" t="s">
        <v>12</v>
      </c>
      <c r="F1149" s="29">
        <v>22.97</v>
      </c>
    </row>
    <row r="1150" hidden="1">
      <c r="A1150" s="70">
        <v>46245.0</v>
      </c>
      <c r="B1150" s="37"/>
      <c r="C1150" s="20" t="s">
        <v>1883</v>
      </c>
      <c r="D1150" s="10" t="s">
        <v>9</v>
      </c>
      <c r="E1150" s="13" t="s">
        <v>12</v>
      </c>
      <c r="F1150" s="29">
        <v>33.97</v>
      </c>
    </row>
    <row r="1151" hidden="1">
      <c r="A1151" s="70">
        <v>46245.0</v>
      </c>
      <c r="B1151" s="37"/>
      <c r="C1151" s="20" t="s">
        <v>1884</v>
      </c>
      <c r="D1151" s="10" t="s">
        <v>9</v>
      </c>
      <c r="E1151" s="13" t="s">
        <v>12</v>
      </c>
      <c r="F1151" s="29">
        <v>77.97</v>
      </c>
    </row>
    <row r="1152" hidden="1">
      <c r="A1152" s="70">
        <v>46245.0</v>
      </c>
      <c r="B1152" s="37"/>
      <c r="C1152" s="20" t="s">
        <v>1885</v>
      </c>
      <c r="D1152" s="10" t="s">
        <v>9</v>
      </c>
      <c r="E1152" s="13" t="s">
        <v>12</v>
      </c>
      <c r="F1152" s="29">
        <v>20.97</v>
      </c>
    </row>
    <row r="1153" hidden="1">
      <c r="A1153" s="70">
        <v>46245.0</v>
      </c>
      <c r="B1153" s="37"/>
      <c r="C1153" s="20" t="s">
        <v>803</v>
      </c>
      <c r="D1153" s="10" t="s">
        <v>9</v>
      </c>
      <c r="E1153" s="13" t="s">
        <v>12</v>
      </c>
      <c r="F1153" s="29">
        <v>41.97</v>
      </c>
    </row>
    <row r="1154" hidden="1">
      <c r="A1154" s="70">
        <v>46245.0</v>
      </c>
      <c r="B1154" s="37"/>
      <c r="C1154" s="20" t="s">
        <v>1887</v>
      </c>
      <c r="D1154" s="10" t="s">
        <v>9</v>
      </c>
      <c r="E1154" s="13" t="s">
        <v>12</v>
      </c>
      <c r="F1154" s="29">
        <v>75.97</v>
      </c>
    </row>
    <row r="1155" hidden="1">
      <c r="A1155" s="70">
        <v>46245.0</v>
      </c>
      <c r="B1155" s="37"/>
      <c r="C1155" s="20" t="s">
        <v>1888</v>
      </c>
      <c r="D1155" s="10" t="s">
        <v>9</v>
      </c>
      <c r="E1155" s="13" t="s">
        <v>12</v>
      </c>
      <c r="F1155" s="29">
        <v>135.97</v>
      </c>
      <c r="G1155" s="29">
        <v>2.0</v>
      </c>
    </row>
    <row r="1156" hidden="1">
      <c r="A1156" s="70">
        <v>46245.0</v>
      </c>
      <c r="B1156" s="37"/>
      <c r="C1156" s="20" t="s">
        <v>1889</v>
      </c>
      <c r="D1156" s="10" t="s">
        <v>9</v>
      </c>
      <c r="E1156" s="13" t="s">
        <v>12</v>
      </c>
      <c r="F1156" s="29">
        <v>215.97</v>
      </c>
    </row>
    <row r="1157" hidden="1">
      <c r="A1157" s="70">
        <v>46245.0</v>
      </c>
      <c r="B1157" s="37"/>
      <c r="C1157" s="20" t="s">
        <v>1890</v>
      </c>
      <c r="D1157" s="10" t="s">
        <v>9</v>
      </c>
      <c r="E1157" s="13" t="s">
        <v>12</v>
      </c>
      <c r="F1157" s="29">
        <v>100.97</v>
      </c>
    </row>
    <row r="1158" hidden="1">
      <c r="A1158" s="70">
        <v>46245.0</v>
      </c>
      <c r="B1158" s="37"/>
      <c r="C1158" s="74" t="s">
        <v>1891</v>
      </c>
      <c r="D1158" s="10" t="s">
        <v>9</v>
      </c>
      <c r="E1158" s="13" t="s">
        <v>12</v>
      </c>
      <c r="F1158" s="29">
        <v>27.97</v>
      </c>
    </row>
    <row r="1159" hidden="1">
      <c r="A1159" s="70">
        <v>46245.0</v>
      </c>
      <c r="B1159" s="37"/>
      <c r="C1159" s="20">
        <v>5.30452054E9</v>
      </c>
      <c r="D1159" s="10" t="s">
        <v>9</v>
      </c>
      <c r="E1159" s="13" t="s">
        <v>12</v>
      </c>
      <c r="F1159" s="29">
        <v>63.97</v>
      </c>
    </row>
    <row r="1160" hidden="1">
      <c r="A1160" s="70">
        <v>46245.0</v>
      </c>
      <c r="B1160" s="37"/>
      <c r="C1160" s="37"/>
      <c r="D1160" s="10" t="s">
        <v>9</v>
      </c>
      <c r="E1160" s="13" t="s">
        <v>12</v>
      </c>
    </row>
    <row r="1161">
      <c r="A1161" s="23"/>
      <c r="B1161" s="59"/>
      <c r="C1161" s="59"/>
      <c r="D1161" s="62"/>
      <c r="E1161" s="23"/>
      <c r="F1161" s="23"/>
      <c r="G1161" s="23"/>
    </row>
    <row r="1162">
      <c r="A1162" s="70">
        <v>46246.0</v>
      </c>
      <c r="B1162" s="37"/>
      <c r="C1162" s="217" t="s">
        <v>1894</v>
      </c>
      <c r="D1162" s="10" t="s">
        <v>9</v>
      </c>
      <c r="E1162" s="13" t="s">
        <v>1895</v>
      </c>
      <c r="F1162" s="29">
        <v>115.76</v>
      </c>
    </row>
    <row r="1163">
      <c r="A1163" s="70">
        <v>46246.0</v>
      </c>
      <c r="B1163" s="37"/>
      <c r="C1163" s="217" t="s">
        <v>1897</v>
      </c>
      <c r="D1163" s="10" t="s">
        <v>9</v>
      </c>
      <c r="E1163" s="13" t="s">
        <v>1895</v>
      </c>
      <c r="F1163" s="29">
        <v>103.76</v>
      </c>
    </row>
    <row r="1164">
      <c r="A1164" s="70">
        <v>46246.0</v>
      </c>
      <c r="B1164" s="37"/>
      <c r="C1164" s="217" t="s">
        <v>1898</v>
      </c>
      <c r="D1164" s="10" t="s">
        <v>9</v>
      </c>
      <c r="E1164" s="13" t="s">
        <v>1895</v>
      </c>
      <c r="F1164" s="29">
        <v>95.76</v>
      </c>
      <c r="G1164" s="29">
        <v>2.0</v>
      </c>
    </row>
    <row r="1165">
      <c r="A1165" s="70">
        <v>46246.0</v>
      </c>
      <c r="B1165" s="37"/>
      <c r="C1165" s="217" t="s">
        <v>1899</v>
      </c>
      <c r="D1165" s="10" t="s">
        <v>9</v>
      </c>
      <c r="E1165" s="13" t="s">
        <v>1895</v>
      </c>
      <c r="F1165" s="29">
        <v>25.76</v>
      </c>
    </row>
    <row r="1166">
      <c r="A1166" s="70">
        <v>46246.0</v>
      </c>
      <c r="B1166" s="37"/>
      <c r="C1166" s="20" t="s">
        <v>1901</v>
      </c>
      <c r="D1166" s="10" t="s">
        <v>9</v>
      </c>
      <c r="E1166" s="13" t="s">
        <v>1895</v>
      </c>
      <c r="F1166" s="29">
        <v>172.76</v>
      </c>
    </row>
    <row r="1167">
      <c r="A1167" s="70">
        <v>46246.0</v>
      </c>
      <c r="B1167" s="37"/>
      <c r="C1167" s="218" t="s">
        <v>1902</v>
      </c>
      <c r="D1167" s="10" t="s">
        <v>9</v>
      </c>
      <c r="E1167" s="13" t="s">
        <v>1895</v>
      </c>
      <c r="F1167" s="29">
        <v>44.76</v>
      </c>
    </row>
    <row r="1168">
      <c r="A1168" s="70">
        <v>46246.0</v>
      </c>
      <c r="B1168" s="37"/>
      <c r="C1168" s="218" t="s">
        <v>1905</v>
      </c>
      <c r="D1168" s="10" t="s">
        <v>9</v>
      </c>
      <c r="E1168" s="13" t="s">
        <v>1895</v>
      </c>
      <c r="F1168" s="29">
        <v>55.76</v>
      </c>
    </row>
    <row r="1169">
      <c r="A1169" s="70">
        <v>46246.0</v>
      </c>
      <c r="B1169" s="37"/>
      <c r="C1169" s="218" t="s">
        <v>1907</v>
      </c>
      <c r="D1169" s="10" t="s">
        <v>9</v>
      </c>
      <c r="E1169" s="13" t="s">
        <v>1895</v>
      </c>
      <c r="F1169" s="29">
        <v>150.76</v>
      </c>
    </row>
    <row r="1170">
      <c r="A1170" s="70">
        <v>46246.0</v>
      </c>
      <c r="B1170" s="37"/>
      <c r="C1170" s="218" t="s">
        <v>23</v>
      </c>
      <c r="D1170" s="10" t="s">
        <v>9</v>
      </c>
      <c r="E1170" s="13" t="s">
        <v>1895</v>
      </c>
      <c r="F1170" s="29">
        <v>24.76</v>
      </c>
      <c r="G1170" s="29">
        <v>2.0</v>
      </c>
    </row>
    <row r="1171">
      <c r="A1171" s="70">
        <v>46246.0</v>
      </c>
      <c r="B1171" s="37"/>
      <c r="C1171" s="218" t="s">
        <v>30</v>
      </c>
      <c r="D1171" s="10" t="s">
        <v>9</v>
      </c>
      <c r="E1171" s="13" t="s">
        <v>1895</v>
      </c>
      <c r="F1171" s="29">
        <v>24.76</v>
      </c>
    </row>
    <row r="1172">
      <c r="A1172" s="70">
        <v>46246.0</v>
      </c>
      <c r="B1172" s="37"/>
      <c r="C1172" s="218" t="s">
        <v>1908</v>
      </c>
      <c r="D1172" s="10" t="s">
        <v>9</v>
      </c>
      <c r="E1172" s="13" t="s">
        <v>1895</v>
      </c>
      <c r="F1172" s="29">
        <v>59.76</v>
      </c>
    </row>
    <row r="1173">
      <c r="A1173" s="70">
        <v>46246.0</v>
      </c>
      <c r="B1173" s="37"/>
      <c r="C1173" s="218" t="s">
        <v>1910</v>
      </c>
      <c r="D1173" s="10" t="s">
        <v>9</v>
      </c>
      <c r="E1173" s="13" t="s">
        <v>1895</v>
      </c>
      <c r="F1173" s="29">
        <v>39.76</v>
      </c>
    </row>
    <row r="1174">
      <c r="A1174" s="70">
        <v>46246.0</v>
      </c>
      <c r="B1174" s="37"/>
      <c r="C1174" s="218" t="s">
        <v>1911</v>
      </c>
      <c r="D1174" s="10" t="s">
        <v>9</v>
      </c>
      <c r="E1174" s="13" t="s">
        <v>1895</v>
      </c>
      <c r="F1174" s="29">
        <v>65.76</v>
      </c>
    </row>
    <row r="1175">
      <c r="A1175" s="98"/>
      <c r="B1175" s="59"/>
      <c r="C1175" s="59"/>
      <c r="D1175" s="97"/>
      <c r="E1175" s="69"/>
      <c r="F1175" s="23"/>
      <c r="G1175" s="23"/>
    </row>
    <row r="1176">
      <c r="A1176" s="70">
        <v>46247.0</v>
      </c>
      <c r="B1176" s="37"/>
      <c r="C1176" s="218" t="s">
        <v>105</v>
      </c>
      <c r="D1176" s="10" t="s">
        <v>9</v>
      </c>
      <c r="E1176" s="13" t="s">
        <v>1895</v>
      </c>
      <c r="F1176" s="29">
        <v>185.76</v>
      </c>
    </row>
    <row r="1177">
      <c r="A1177" s="70">
        <v>46247.0</v>
      </c>
      <c r="B1177" s="37"/>
      <c r="C1177" s="218" t="s">
        <v>1913</v>
      </c>
      <c r="D1177" s="10" t="s">
        <v>9</v>
      </c>
      <c r="E1177" s="13" t="s">
        <v>1895</v>
      </c>
      <c r="F1177" s="29">
        <v>31.76</v>
      </c>
    </row>
    <row r="1178">
      <c r="A1178" s="70">
        <v>46247.0</v>
      </c>
      <c r="B1178" s="37"/>
      <c r="C1178" s="218" t="s">
        <v>1797</v>
      </c>
      <c r="D1178" s="10" t="s">
        <v>9</v>
      </c>
      <c r="E1178" s="13" t="s">
        <v>1895</v>
      </c>
      <c r="F1178" s="29">
        <v>26.76</v>
      </c>
    </row>
    <row r="1179">
      <c r="A1179" s="70">
        <v>46247.0</v>
      </c>
      <c r="B1179" s="37"/>
      <c r="C1179" s="218" t="s">
        <v>1799</v>
      </c>
      <c r="D1179" s="10" t="s">
        <v>9</v>
      </c>
      <c r="E1179" s="13" t="s">
        <v>1895</v>
      </c>
      <c r="F1179" s="29">
        <v>36.76</v>
      </c>
      <c r="G1179" s="29">
        <v>2.0</v>
      </c>
    </row>
    <row r="1180">
      <c r="A1180" s="70">
        <v>46247.0</v>
      </c>
      <c r="B1180" s="37"/>
      <c r="C1180" s="218" t="s">
        <v>616</v>
      </c>
      <c r="D1180" s="10" t="s">
        <v>9</v>
      </c>
      <c r="E1180" s="13" t="s">
        <v>1895</v>
      </c>
      <c r="F1180" s="29">
        <v>42.76</v>
      </c>
      <c r="G1180" s="29">
        <v>3.0</v>
      </c>
    </row>
    <row r="1181">
      <c r="A1181" s="70">
        <v>46247.0</v>
      </c>
      <c r="B1181" s="37"/>
      <c r="C1181" s="218" t="s">
        <v>1174</v>
      </c>
      <c r="D1181" s="10" t="s">
        <v>9</v>
      </c>
      <c r="E1181" s="13" t="s">
        <v>1895</v>
      </c>
      <c r="F1181" s="29">
        <v>74.76</v>
      </c>
    </row>
    <row r="1182">
      <c r="A1182" s="70">
        <v>46247.0</v>
      </c>
      <c r="B1182" s="37"/>
      <c r="C1182" s="218" t="s">
        <v>1917</v>
      </c>
      <c r="D1182" s="10" t="s">
        <v>9</v>
      </c>
      <c r="E1182" s="13" t="s">
        <v>1895</v>
      </c>
      <c r="F1182" s="29">
        <v>32.76</v>
      </c>
    </row>
    <row r="1183">
      <c r="A1183" s="70">
        <v>46247.0</v>
      </c>
      <c r="B1183" s="37"/>
      <c r="C1183" s="218" t="s">
        <v>1918</v>
      </c>
      <c r="D1183" s="10" t="s">
        <v>9</v>
      </c>
      <c r="E1183" s="13" t="s">
        <v>1895</v>
      </c>
      <c r="F1183" s="29">
        <v>75.76</v>
      </c>
    </row>
    <row r="1184">
      <c r="A1184" s="70">
        <v>46247.0</v>
      </c>
      <c r="B1184" s="37"/>
      <c r="C1184" s="20">
        <v>5.304536448E9</v>
      </c>
      <c r="D1184" s="10" t="s">
        <v>9</v>
      </c>
      <c r="E1184" s="13" t="s">
        <v>1895</v>
      </c>
      <c r="F1184" s="29">
        <v>79.76</v>
      </c>
    </row>
    <row r="1185">
      <c r="A1185" s="70">
        <v>46247.0</v>
      </c>
      <c r="B1185" s="37"/>
      <c r="C1185" s="20">
        <v>1.7131000011664E13</v>
      </c>
      <c r="D1185" s="10" t="s">
        <v>9</v>
      </c>
      <c r="E1185" s="13" t="s">
        <v>1895</v>
      </c>
      <c r="F1185" s="29">
        <v>55.76</v>
      </c>
    </row>
    <row r="1186">
      <c r="A1186" s="70">
        <v>46247.0</v>
      </c>
      <c r="B1186" s="37"/>
      <c r="C1186" s="218" t="s">
        <v>1919</v>
      </c>
      <c r="D1186" s="10" t="s">
        <v>9</v>
      </c>
      <c r="E1186" s="13" t="s">
        <v>1895</v>
      </c>
      <c r="F1186" s="29">
        <v>150.76</v>
      </c>
    </row>
    <row r="1187">
      <c r="A1187" s="98"/>
      <c r="B1187" s="59"/>
      <c r="C1187" s="59"/>
      <c r="D1187" s="97"/>
      <c r="E1187" s="69"/>
      <c r="F1187" s="23"/>
      <c r="G1187" s="23"/>
    </row>
    <row r="1188">
      <c r="A1188" s="70">
        <v>46248.0</v>
      </c>
      <c r="B1188" s="37"/>
      <c r="C1188" s="218" t="s">
        <v>1921</v>
      </c>
      <c r="D1188" s="10" t="s">
        <v>9</v>
      </c>
      <c r="E1188" s="13" t="s">
        <v>1895</v>
      </c>
      <c r="F1188" s="29">
        <v>150.76</v>
      </c>
    </row>
    <row r="1189">
      <c r="A1189" s="70">
        <v>46248.0</v>
      </c>
      <c r="B1189" s="37"/>
      <c r="C1189" s="218" t="s">
        <v>1442</v>
      </c>
      <c r="D1189" s="10" t="s">
        <v>9</v>
      </c>
      <c r="E1189" s="13" t="s">
        <v>1895</v>
      </c>
      <c r="F1189" s="29">
        <v>25.76</v>
      </c>
    </row>
    <row r="1190">
      <c r="A1190" s="70">
        <v>46248.0</v>
      </c>
      <c r="B1190" s="37"/>
      <c r="C1190" s="218" t="s">
        <v>475</v>
      </c>
      <c r="D1190" s="10" t="s">
        <v>9</v>
      </c>
      <c r="E1190" s="13" t="s">
        <v>1895</v>
      </c>
      <c r="F1190" s="29">
        <v>21.76</v>
      </c>
      <c r="G1190" s="29">
        <v>2.0</v>
      </c>
    </row>
    <row r="1191">
      <c r="A1191" s="70">
        <v>46248.0</v>
      </c>
      <c r="B1191" s="37"/>
      <c r="C1191" s="218" t="s">
        <v>811</v>
      </c>
      <c r="D1191" s="10" t="s">
        <v>9</v>
      </c>
      <c r="E1191" s="13" t="s">
        <v>1895</v>
      </c>
      <c r="F1191" s="29">
        <v>86.76</v>
      </c>
    </row>
    <row r="1192">
      <c r="A1192" s="70">
        <v>46248.0</v>
      </c>
      <c r="B1192" s="37"/>
      <c r="C1192" s="20" t="s">
        <v>1922</v>
      </c>
      <c r="D1192" s="10" t="s">
        <v>9</v>
      </c>
      <c r="E1192" s="13" t="s">
        <v>1895</v>
      </c>
      <c r="F1192" s="29">
        <v>69.76</v>
      </c>
    </row>
    <row r="1193">
      <c r="A1193" s="70">
        <v>46248.0</v>
      </c>
      <c r="B1193" s="37"/>
      <c r="C1193" s="218" t="s">
        <v>1923</v>
      </c>
      <c r="D1193" s="10" t="s">
        <v>9</v>
      </c>
      <c r="E1193" s="13" t="s">
        <v>1895</v>
      </c>
      <c r="F1193" s="29">
        <v>160.76</v>
      </c>
    </row>
    <row r="1194">
      <c r="A1194" s="70">
        <v>46248.0</v>
      </c>
      <c r="B1194" s="37"/>
      <c r="C1194" s="218" t="s">
        <v>1924</v>
      </c>
      <c r="D1194" s="10" t="s">
        <v>9</v>
      </c>
      <c r="E1194" s="13" t="s">
        <v>1895</v>
      </c>
      <c r="F1194" s="29">
        <v>50.76</v>
      </c>
    </row>
    <row r="1195">
      <c r="A1195" s="70">
        <v>46248.0</v>
      </c>
      <c r="B1195" s="37"/>
      <c r="C1195" s="218" t="s">
        <v>1464</v>
      </c>
      <c r="D1195" s="10" t="s">
        <v>9</v>
      </c>
      <c r="E1195" s="13" t="s">
        <v>1895</v>
      </c>
      <c r="F1195" s="29">
        <v>45.76</v>
      </c>
    </row>
    <row r="1196">
      <c r="A1196" s="70">
        <v>46248.0</v>
      </c>
      <c r="B1196" s="37"/>
      <c r="C1196" s="218" t="s">
        <v>722</v>
      </c>
      <c r="D1196" s="10" t="s">
        <v>9</v>
      </c>
      <c r="E1196" s="13" t="s">
        <v>1895</v>
      </c>
      <c r="F1196" s="29">
        <v>52.76</v>
      </c>
    </row>
    <row r="1197">
      <c r="A1197" s="70">
        <v>46248.0</v>
      </c>
      <c r="B1197" s="37"/>
      <c r="C1197" s="218" t="s">
        <v>1928</v>
      </c>
      <c r="D1197" s="10" t="s">
        <v>9</v>
      </c>
      <c r="E1197" s="13" t="s">
        <v>1895</v>
      </c>
      <c r="F1197" s="29">
        <v>130.76</v>
      </c>
    </row>
    <row r="1198">
      <c r="A1198" s="70">
        <v>46248.0</v>
      </c>
      <c r="B1198" s="37"/>
      <c r="C1198" s="218" t="s">
        <v>1929</v>
      </c>
      <c r="D1198" s="10" t="s">
        <v>9</v>
      </c>
      <c r="E1198" s="13" t="s">
        <v>1895</v>
      </c>
      <c r="F1198" s="29">
        <v>40.76</v>
      </c>
    </row>
    <row r="1199">
      <c r="A1199" s="70">
        <v>46248.0</v>
      </c>
      <c r="B1199" s="37"/>
      <c r="C1199" s="218" t="s">
        <v>1930</v>
      </c>
      <c r="D1199" s="10" t="s">
        <v>9</v>
      </c>
      <c r="E1199" s="13" t="s">
        <v>1895</v>
      </c>
      <c r="F1199" s="29">
        <v>99.76</v>
      </c>
    </row>
    <row r="1200">
      <c r="A1200" s="70">
        <v>46248.0</v>
      </c>
      <c r="B1200" s="37"/>
      <c r="C1200" s="20" t="s">
        <v>1656</v>
      </c>
      <c r="D1200" s="10" t="s">
        <v>9</v>
      </c>
      <c r="E1200" s="13" t="s">
        <v>1895</v>
      </c>
      <c r="F1200" s="29">
        <v>173.76</v>
      </c>
    </row>
    <row r="1201">
      <c r="A1201" s="70">
        <v>46248.0</v>
      </c>
      <c r="B1201" s="37"/>
      <c r="C1201" s="218" t="s">
        <v>1932</v>
      </c>
      <c r="D1201" s="10" t="s">
        <v>9</v>
      </c>
      <c r="E1201" s="13" t="s">
        <v>1895</v>
      </c>
      <c r="F1201" s="29">
        <v>22.76</v>
      </c>
    </row>
    <row r="1202">
      <c r="A1202" s="70">
        <v>46248.0</v>
      </c>
      <c r="B1202" s="37"/>
      <c r="C1202" s="218" t="s">
        <v>1933</v>
      </c>
      <c r="D1202" s="10" t="s">
        <v>9</v>
      </c>
      <c r="E1202" s="13" t="s">
        <v>1895</v>
      </c>
      <c r="F1202" s="29">
        <v>24.76</v>
      </c>
    </row>
    <row r="1203">
      <c r="A1203" s="70">
        <v>46248.0</v>
      </c>
      <c r="B1203" s="37"/>
      <c r="C1203" s="20" t="s">
        <v>1934</v>
      </c>
      <c r="D1203" s="10" t="s">
        <v>9</v>
      </c>
      <c r="E1203" s="13" t="s">
        <v>1895</v>
      </c>
      <c r="F1203" s="29">
        <v>29.76</v>
      </c>
    </row>
    <row r="1204">
      <c r="A1204" s="70">
        <v>46248.0</v>
      </c>
      <c r="B1204" s="37"/>
      <c r="C1204" s="222" t="s">
        <v>1939</v>
      </c>
      <c r="D1204" s="10" t="s">
        <v>9</v>
      </c>
      <c r="E1204" s="13" t="s">
        <v>1895</v>
      </c>
      <c r="F1204" s="29">
        <v>73.76</v>
      </c>
    </row>
    <row r="1205">
      <c r="A1205" s="70">
        <v>46248.0</v>
      </c>
      <c r="B1205" s="37"/>
      <c r="C1205" s="20">
        <v>5.304519149E9</v>
      </c>
      <c r="D1205" s="10" t="s">
        <v>9</v>
      </c>
      <c r="E1205" s="13" t="s">
        <v>1895</v>
      </c>
      <c r="F1205" s="29">
        <v>65.76</v>
      </c>
    </row>
    <row r="1206">
      <c r="A1206" s="70">
        <v>46248.0</v>
      </c>
      <c r="B1206" s="37"/>
      <c r="C1206" s="20">
        <v>8.07192701E8</v>
      </c>
      <c r="D1206" s="10" t="s">
        <v>9</v>
      </c>
      <c r="E1206" s="13" t="s">
        <v>1895</v>
      </c>
      <c r="F1206" s="29">
        <v>135.76</v>
      </c>
    </row>
    <row r="1207">
      <c r="A1207" s="70">
        <v>46248.0</v>
      </c>
      <c r="B1207" s="37"/>
      <c r="C1207" s="218" t="s">
        <v>1957</v>
      </c>
      <c r="D1207" s="10" t="s">
        <v>9</v>
      </c>
      <c r="E1207" s="13" t="s">
        <v>1895</v>
      </c>
      <c r="F1207" s="29">
        <v>15.76</v>
      </c>
      <c r="G1207" s="29">
        <v>2.0</v>
      </c>
    </row>
    <row r="1208">
      <c r="A1208" s="70">
        <v>46248.0</v>
      </c>
      <c r="B1208" s="37"/>
      <c r="C1208" s="218" t="s">
        <v>336</v>
      </c>
      <c r="D1208" s="10" t="s">
        <v>9</v>
      </c>
      <c r="E1208" s="13" t="s">
        <v>1895</v>
      </c>
      <c r="F1208" s="29">
        <v>30.76</v>
      </c>
    </row>
    <row r="1209">
      <c r="A1209" s="70">
        <v>46248.0</v>
      </c>
      <c r="B1209" s="37"/>
      <c r="C1209" s="218" t="s">
        <v>1959</v>
      </c>
      <c r="D1209" s="10" t="s">
        <v>9</v>
      </c>
      <c r="E1209" s="13" t="s">
        <v>1895</v>
      </c>
      <c r="F1209" s="29">
        <v>45.76</v>
      </c>
    </row>
    <row r="1210">
      <c r="A1210" s="70">
        <v>46248.0</v>
      </c>
      <c r="B1210" s="37"/>
      <c r="C1210" s="218" t="s">
        <v>513</v>
      </c>
      <c r="D1210" s="10" t="s">
        <v>9</v>
      </c>
      <c r="E1210" s="13" t="s">
        <v>1895</v>
      </c>
      <c r="F1210" s="29">
        <v>24.76</v>
      </c>
    </row>
    <row r="1211">
      <c r="A1211" s="70">
        <v>46248.0</v>
      </c>
      <c r="B1211" s="37"/>
      <c r="C1211" s="218" t="s">
        <v>1235</v>
      </c>
      <c r="D1211" s="10" t="s">
        <v>9</v>
      </c>
      <c r="E1211" s="13" t="s">
        <v>1895</v>
      </c>
      <c r="F1211" s="29">
        <v>21.76</v>
      </c>
      <c r="G1211" s="29">
        <v>2.0</v>
      </c>
    </row>
    <row r="1212">
      <c r="A1212" s="70">
        <v>46248.0</v>
      </c>
      <c r="B1212" s="37"/>
      <c r="C1212" s="20" t="s">
        <v>1963</v>
      </c>
      <c r="D1212" s="10" t="s">
        <v>9</v>
      </c>
      <c r="E1212" s="13" t="s">
        <v>1895</v>
      </c>
      <c r="F1212" s="29">
        <v>21.76</v>
      </c>
    </row>
    <row r="1213">
      <c r="A1213" s="70">
        <v>46248.0</v>
      </c>
      <c r="B1213" s="37"/>
      <c r="C1213" s="20">
        <v>5.304504279E9</v>
      </c>
      <c r="D1213" s="10" t="s">
        <v>9</v>
      </c>
      <c r="E1213" s="13" t="s">
        <v>1895</v>
      </c>
      <c r="F1213" s="29">
        <v>20.76</v>
      </c>
      <c r="G1213" s="29">
        <v>2.0</v>
      </c>
    </row>
    <row r="1214">
      <c r="A1214" s="70">
        <v>46248.0</v>
      </c>
      <c r="B1214" s="37"/>
      <c r="C1214" s="218" t="s">
        <v>1965</v>
      </c>
      <c r="D1214" s="10" t="s">
        <v>9</v>
      </c>
      <c r="E1214" s="13" t="s">
        <v>1895</v>
      </c>
      <c r="F1214" s="29">
        <v>28.76</v>
      </c>
    </row>
    <row r="1215">
      <c r="A1215" s="70">
        <v>46248.0</v>
      </c>
      <c r="B1215" s="37"/>
      <c r="C1215" s="218" t="s">
        <v>1966</v>
      </c>
      <c r="D1215" s="10" t="s">
        <v>9</v>
      </c>
      <c r="E1215" s="13" t="s">
        <v>1895</v>
      </c>
      <c r="F1215" s="29">
        <v>22.76</v>
      </c>
    </row>
    <row r="1216">
      <c r="A1216" s="70">
        <v>46248.0</v>
      </c>
      <c r="B1216" s="37"/>
      <c r="C1216" s="218" t="s">
        <v>1968</v>
      </c>
      <c r="D1216" s="10" t="s">
        <v>9</v>
      </c>
      <c r="E1216" s="13" t="s">
        <v>1895</v>
      </c>
      <c r="F1216" s="29">
        <v>40.76</v>
      </c>
    </row>
    <row r="1217">
      <c r="A1217" s="70">
        <v>46248.0</v>
      </c>
      <c r="B1217" s="37"/>
      <c r="C1217" s="20">
        <v>280148.0</v>
      </c>
      <c r="D1217" s="10" t="s">
        <v>9</v>
      </c>
      <c r="E1217" s="13" t="s">
        <v>1895</v>
      </c>
      <c r="F1217" s="29">
        <v>22.76</v>
      </c>
    </row>
    <row r="1218">
      <c r="A1218" s="23"/>
      <c r="B1218" s="59"/>
      <c r="C1218" s="59"/>
      <c r="D1218" s="62"/>
      <c r="E1218" s="23"/>
      <c r="F1218" s="23"/>
      <c r="G1218" s="23"/>
    </row>
    <row r="1219">
      <c r="A1219" s="70">
        <v>46251.0</v>
      </c>
      <c r="B1219" s="37"/>
      <c r="C1219" s="20" t="s">
        <v>1972</v>
      </c>
      <c r="D1219" s="10" t="s">
        <v>9</v>
      </c>
      <c r="E1219" s="13" t="s">
        <v>1895</v>
      </c>
      <c r="F1219" s="29">
        <v>32.76</v>
      </c>
    </row>
    <row r="1220">
      <c r="A1220" s="70">
        <v>46251.0</v>
      </c>
      <c r="B1220" s="37"/>
      <c r="C1220" s="218" t="s">
        <v>1974</v>
      </c>
      <c r="D1220" s="10" t="s">
        <v>9</v>
      </c>
      <c r="E1220" s="13" t="s">
        <v>1895</v>
      </c>
      <c r="F1220" s="29">
        <v>90.76</v>
      </c>
    </row>
    <row r="1221">
      <c r="A1221" s="70">
        <v>46251.0</v>
      </c>
      <c r="B1221" s="37"/>
      <c r="C1221" s="218" t="s">
        <v>735</v>
      </c>
      <c r="D1221" s="10" t="s">
        <v>9</v>
      </c>
      <c r="E1221" s="13" t="s">
        <v>1895</v>
      </c>
      <c r="F1221" s="29">
        <v>22.76</v>
      </c>
      <c r="G1221" s="29">
        <v>2.0</v>
      </c>
    </row>
    <row r="1222">
      <c r="A1222" s="70">
        <v>46251.0</v>
      </c>
      <c r="B1222" s="37"/>
      <c r="C1222" s="218" t="s">
        <v>619</v>
      </c>
      <c r="D1222" s="10" t="s">
        <v>9</v>
      </c>
      <c r="E1222" s="13" t="s">
        <v>1895</v>
      </c>
      <c r="F1222" s="29">
        <v>30.76</v>
      </c>
    </row>
    <row r="1223">
      <c r="A1223" s="70">
        <v>46251.0</v>
      </c>
      <c r="B1223" s="37"/>
      <c r="C1223" s="20" t="s">
        <v>703</v>
      </c>
      <c r="D1223" s="10" t="s">
        <v>9</v>
      </c>
      <c r="E1223" s="13" t="s">
        <v>1895</v>
      </c>
      <c r="F1223" s="29">
        <v>21.76</v>
      </c>
    </row>
    <row r="1224">
      <c r="A1224" s="70">
        <v>46251.0</v>
      </c>
      <c r="B1224" s="37"/>
      <c r="C1224" s="218" t="s">
        <v>1979</v>
      </c>
      <c r="D1224" s="10" t="s">
        <v>9</v>
      </c>
      <c r="E1224" s="13" t="s">
        <v>1895</v>
      </c>
      <c r="F1224" s="29">
        <v>58.76</v>
      </c>
    </row>
    <row r="1225">
      <c r="A1225" s="98"/>
      <c r="B1225" s="59"/>
      <c r="C1225" s="59"/>
      <c r="D1225" s="97"/>
      <c r="E1225" s="69"/>
      <c r="F1225" s="23"/>
      <c r="G1225" s="23"/>
    </row>
    <row r="1226">
      <c r="A1226" s="70">
        <v>46252.0</v>
      </c>
      <c r="B1226" s="37"/>
      <c r="C1226" s="218" t="s">
        <v>1982</v>
      </c>
      <c r="D1226" s="10" t="s">
        <v>9</v>
      </c>
      <c r="E1226" s="13" t="s">
        <v>1895</v>
      </c>
      <c r="F1226" s="29">
        <v>25.76</v>
      </c>
    </row>
    <row r="1227">
      <c r="A1227" s="70">
        <v>46252.0</v>
      </c>
      <c r="B1227" s="37"/>
      <c r="C1227" s="218" t="s">
        <v>929</v>
      </c>
      <c r="D1227" s="10" t="s">
        <v>9</v>
      </c>
      <c r="E1227" s="13" t="s">
        <v>1895</v>
      </c>
      <c r="F1227" s="29">
        <v>118.76</v>
      </c>
    </row>
    <row r="1228">
      <c r="A1228" s="70">
        <v>46252.0</v>
      </c>
      <c r="B1228" s="37"/>
      <c r="C1228" s="20">
        <v>353244.0</v>
      </c>
      <c r="D1228" s="10" t="s">
        <v>9</v>
      </c>
      <c r="E1228" s="13" t="s">
        <v>1895</v>
      </c>
      <c r="F1228" s="29">
        <v>26.76</v>
      </c>
      <c r="G1228" s="29">
        <v>2.0</v>
      </c>
    </row>
    <row r="1229">
      <c r="A1229" s="70">
        <v>46252.0</v>
      </c>
      <c r="B1229" s="37"/>
      <c r="C1229" s="218" t="s">
        <v>1986</v>
      </c>
      <c r="D1229" s="10" t="s">
        <v>9</v>
      </c>
      <c r="E1229" s="13" t="s">
        <v>1895</v>
      </c>
      <c r="F1229" s="29">
        <v>45.76</v>
      </c>
    </row>
    <row r="1230">
      <c r="A1230" s="70">
        <v>46252.0</v>
      </c>
      <c r="B1230" s="37"/>
      <c r="C1230" s="218" t="s">
        <v>1988</v>
      </c>
      <c r="D1230" s="10" t="s">
        <v>9</v>
      </c>
      <c r="E1230" s="13" t="s">
        <v>1895</v>
      </c>
      <c r="F1230" s="29">
        <v>75.76</v>
      </c>
    </row>
    <row r="1231">
      <c r="A1231" s="70">
        <v>46252.0</v>
      </c>
      <c r="B1231" s="37"/>
      <c r="C1231" s="218" t="s">
        <v>1989</v>
      </c>
      <c r="D1231" s="10" t="s">
        <v>9</v>
      </c>
      <c r="E1231" s="13" t="s">
        <v>1895</v>
      </c>
      <c r="F1231" s="29">
        <v>65.76</v>
      </c>
    </row>
    <row r="1232">
      <c r="A1232" s="70">
        <v>46252.0</v>
      </c>
      <c r="B1232" s="37"/>
      <c r="C1232" s="218" t="s">
        <v>1430</v>
      </c>
      <c r="D1232" s="10" t="s">
        <v>9</v>
      </c>
      <c r="E1232" s="13" t="s">
        <v>1895</v>
      </c>
      <c r="F1232" s="29">
        <v>20.76</v>
      </c>
    </row>
    <row r="1233">
      <c r="A1233" s="70">
        <v>46252.0</v>
      </c>
      <c r="B1233" s="37"/>
      <c r="C1233" s="218" t="s">
        <v>214</v>
      </c>
      <c r="D1233" s="10" t="s">
        <v>9</v>
      </c>
      <c r="E1233" s="13" t="s">
        <v>1895</v>
      </c>
      <c r="F1233" s="29">
        <v>21.76</v>
      </c>
    </row>
    <row r="1234">
      <c r="A1234" s="70">
        <v>46252.0</v>
      </c>
      <c r="B1234" s="37"/>
      <c r="C1234" s="20" t="s">
        <v>1993</v>
      </c>
      <c r="D1234" s="10" t="s">
        <v>9</v>
      </c>
      <c r="E1234" s="13" t="s">
        <v>1895</v>
      </c>
      <c r="F1234" s="29">
        <v>50.76</v>
      </c>
    </row>
    <row r="1235">
      <c r="A1235" s="70">
        <v>46252.0</v>
      </c>
      <c r="B1235" s="37"/>
      <c r="C1235" s="218" t="s">
        <v>1996</v>
      </c>
      <c r="D1235" s="10" t="s">
        <v>9</v>
      </c>
      <c r="E1235" s="13" t="s">
        <v>1895</v>
      </c>
      <c r="F1235" s="29">
        <v>50.76</v>
      </c>
    </row>
    <row r="1236">
      <c r="A1236" s="70">
        <v>46252.0</v>
      </c>
      <c r="B1236" s="37"/>
      <c r="C1236" s="218" t="s">
        <v>1998</v>
      </c>
      <c r="D1236" s="10" t="s">
        <v>9</v>
      </c>
      <c r="E1236" s="13" t="s">
        <v>1895</v>
      </c>
      <c r="F1236" s="29">
        <v>25.76</v>
      </c>
    </row>
    <row r="1237">
      <c r="A1237" s="70">
        <v>46252.0</v>
      </c>
      <c r="B1237" s="37"/>
      <c r="C1237" s="37"/>
      <c r="D1237" s="10" t="s">
        <v>9</v>
      </c>
      <c r="E1237" s="13" t="s">
        <v>1895</v>
      </c>
    </row>
    <row r="1238">
      <c r="A1238" s="70">
        <v>46252.0</v>
      </c>
      <c r="B1238" s="37"/>
      <c r="C1238" s="37"/>
      <c r="D1238" s="10" t="s">
        <v>9</v>
      </c>
      <c r="E1238" s="13" t="s">
        <v>1895</v>
      </c>
    </row>
    <row r="1239">
      <c r="A1239" s="70">
        <v>46252.0</v>
      </c>
      <c r="B1239" s="37"/>
      <c r="C1239" s="37"/>
      <c r="D1239" s="10" t="s">
        <v>9</v>
      </c>
      <c r="E1239" s="13" t="s">
        <v>1895</v>
      </c>
    </row>
    <row r="1240">
      <c r="A1240" s="70">
        <v>46252.0</v>
      </c>
      <c r="B1240" s="37"/>
      <c r="C1240" s="37"/>
      <c r="D1240" s="10" t="s">
        <v>9</v>
      </c>
      <c r="E1240" s="13" t="s">
        <v>1895</v>
      </c>
    </row>
    <row r="1241">
      <c r="B1241" s="37"/>
      <c r="C1241" s="37"/>
      <c r="D1241" s="49"/>
    </row>
    <row r="1242">
      <c r="B1242" s="37"/>
      <c r="C1242" s="37"/>
      <c r="D1242" s="49"/>
    </row>
    <row r="1243">
      <c r="B1243" s="37"/>
      <c r="C1243" s="37"/>
      <c r="D1243" s="49"/>
    </row>
    <row r="1244">
      <c r="B1244" s="37"/>
      <c r="C1244" s="37"/>
      <c r="D1244" s="49"/>
    </row>
    <row r="1245">
      <c r="B1245" s="37"/>
      <c r="C1245" s="37"/>
      <c r="D1245" s="49"/>
    </row>
    <row r="1246">
      <c r="B1246" s="37"/>
      <c r="C1246" s="37"/>
      <c r="D1246" s="49"/>
    </row>
    <row r="1247">
      <c r="B1247" s="37"/>
      <c r="C1247" s="37"/>
      <c r="D1247" s="49"/>
    </row>
    <row r="1248">
      <c r="B1248" s="37"/>
      <c r="C1248" s="37"/>
      <c r="D1248" s="49"/>
    </row>
    <row r="1249">
      <c r="B1249" s="37"/>
      <c r="C1249" s="37"/>
      <c r="D1249" s="49"/>
    </row>
    <row r="1250">
      <c r="B1250" s="37"/>
      <c r="C1250" s="37"/>
      <c r="D1250" s="49"/>
    </row>
    <row r="1251">
      <c r="B1251" s="37"/>
      <c r="C1251" s="37"/>
      <c r="D1251" s="49"/>
    </row>
    <row r="1252">
      <c r="B1252" s="37"/>
      <c r="C1252" s="37"/>
      <c r="D1252" s="49"/>
    </row>
    <row r="1253">
      <c r="B1253" s="37"/>
      <c r="C1253" s="37"/>
      <c r="D1253" s="49"/>
    </row>
    <row r="1254">
      <c r="B1254" s="37"/>
      <c r="C1254" s="37"/>
      <c r="D1254" s="49"/>
    </row>
    <row r="1255">
      <c r="B1255" s="37"/>
      <c r="C1255" s="37"/>
      <c r="D1255" s="49"/>
    </row>
    <row r="1256">
      <c r="B1256" s="37"/>
      <c r="C1256" s="37"/>
      <c r="D1256" s="49"/>
    </row>
    <row r="1257">
      <c r="B1257" s="37"/>
      <c r="C1257" s="37"/>
      <c r="D1257" s="49"/>
    </row>
    <row r="1258">
      <c r="B1258" s="37"/>
      <c r="C1258" s="37"/>
      <c r="D1258" s="49"/>
    </row>
    <row r="1259">
      <c r="B1259" s="37"/>
      <c r="C1259" s="37"/>
      <c r="D1259" s="49"/>
    </row>
    <row r="1260">
      <c r="B1260" s="37"/>
      <c r="C1260" s="37"/>
      <c r="D1260" s="49"/>
    </row>
    <row r="1261">
      <c r="B1261" s="37"/>
      <c r="C1261" s="37"/>
      <c r="D1261" s="49"/>
    </row>
    <row r="1262">
      <c r="B1262" s="37"/>
      <c r="C1262" s="37"/>
      <c r="D1262" s="49"/>
    </row>
    <row r="1263">
      <c r="B1263" s="37"/>
      <c r="C1263" s="37"/>
      <c r="D1263" s="49"/>
    </row>
    <row r="1264">
      <c r="B1264" s="37"/>
      <c r="C1264" s="37"/>
      <c r="D1264" s="49"/>
    </row>
    <row r="1265">
      <c r="B1265" s="37"/>
      <c r="C1265" s="37"/>
      <c r="D1265" s="49"/>
    </row>
    <row r="1266">
      <c r="B1266" s="37"/>
      <c r="C1266" s="37"/>
      <c r="D1266" s="49"/>
    </row>
    <row r="1267">
      <c r="B1267" s="37"/>
      <c r="C1267" s="37"/>
      <c r="D1267" s="49"/>
    </row>
    <row r="1268">
      <c r="B1268" s="37"/>
      <c r="C1268" s="37"/>
      <c r="D1268" s="49"/>
    </row>
    <row r="1269">
      <c r="B1269" s="37"/>
      <c r="C1269" s="37"/>
      <c r="D1269" s="49"/>
    </row>
    <row r="1270">
      <c r="B1270" s="37"/>
      <c r="C1270" s="37"/>
      <c r="D1270" s="49"/>
    </row>
    <row r="1271">
      <c r="B1271" s="37"/>
      <c r="C1271" s="37"/>
      <c r="D1271" s="49"/>
    </row>
    <row r="1272">
      <c r="B1272" s="37"/>
      <c r="C1272" s="37"/>
      <c r="D1272" s="49"/>
    </row>
    <row r="1273">
      <c r="B1273" s="37"/>
      <c r="C1273" s="37"/>
      <c r="D1273" s="49"/>
    </row>
    <row r="1274">
      <c r="B1274" s="37"/>
      <c r="C1274" s="37"/>
      <c r="D1274" s="49"/>
    </row>
    <row r="1275">
      <c r="B1275" s="37"/>
      <c r="C1275" s="37"/>
      <c r="D1275" s="49"/>
    </row>
    <row r="1276">
      <c r="B1276" s="37"/>
      <c r="C1276" s="37"/>
      <c r="D1276" s="49"/>
    </row>
    <row r="1277">
      <c r="B1277" s="37"/>
      <c r="C1277" s="37"/>
      <c r="D1277" s="49"/>
    </row>
    <row r="1278">
      <c r="B1278" s="37"/>
      <c r="C1278" s="37"/>
      <c r="D1278" s="49"/>
    </row>
    <row r="1279">
      <c r="B1279" s="37"/>
      <c r="C1279" s="37"/>
      <c r="D1279" s="49"/>
    </row>
    <row r="1280">
      <c r="B1280" s="37"/>
      <c r="C1280" s="37"/>
      <c r="D1280" s="49"/>
    </row>
    <row r="1281">
      <c r="B1281" s="37"/>
      <c r="C1281" s="37"/>
      <c r="D1281" s="49"/>
    </row>
    <row r="1282">
      <c r="B1282" s="37"/>
      <c r="C1282" s="37"/>
      <c r="D1282" s="49"/>
    </row>
    <row r="1283">
      <c r="B1283" s="37"/>
      <c r="C1283" s="37"/>
      <c r="D1283" s="49"/>
    </row>
    <row r="1284">
      <c r="B1284" s="37"/>
      <c r="C1284" s="37"/>
      <c r="D1284" s="49"/>
    </row>
    <row r="1285">
      <c r="B1285" s="37"/>
      <c r="C1285" s="37"/>
      <c r="D1285" s="49"/>
    </row>
    <row r="1286">
      <c r="B1286" s="37"/>
      <c r="C1286" s="37"/>
      <c r="D1286" s="49"/>
    </row>
    <row r="1287">
      <c r="B1287" s="37"/>
      <c r="C1287" s="37"/>
      <c r="D1287" s="49"/>
    </row>
    <row r="1288">
      <c r="B1288" s="37"/>
      <c r="C1288" s="37"/>
      <c r="D1288" s="49"/>
    </row>
    <row r="1289">
      <c r="B1289" s="37"/>
      <c r="C1289" s="37"/>
      <c r="D1289" s="49"/>
    </row>
    <row r="1290">
      <c r="B1290" s="37"/>
      <c r="C1290" s="37"/>
      <c r="D1290" s="49"/>
    </row>
    <row r="1291">
      <c r="B1291" s="37"/>
      <c r="C1291" s="37"/>
      <c r="D1291" s="49"/>
    </row>
    <row r="1292">
      <c r="B1292" s="37"/>
      <c r="C1292" s="37"/>
      <c r="D1292" s="49"/>
    </row>
    <row r="1293">
      <c r="B1293" s="37"/>
      <c r="C1293" s="37"/>
      <c r="D1293" s="49"/>
    </row>
    <row r="1294">
      <c r="B1294" s="37"/>
      <c r="C1294" s="37"/>
      <c r="D1294" s="49"/>
    </row>
    <row r="1295">
      <c r="B1295" s="37"/>
      <c r="C1295" s="37"/>
      <c r="D1295" s="49"/>
    </row>
    <row r="1296">
      <c r="B1296" s="37"/>
      <c r="C1296" s="37"/>
      <c r="D1296" s="49"/>
    </row>
    <row r="1297">
      <c r="B1297" s="37"/>
      <c r="C1297" s="37"/>
      <c r="D1297" s="49"/>
    </row>
    <row r="1298">
      <c r="B1298" s="37"/>
      <c r="C1298" s="37"/>
      <c r="D1298" s="49"/>
    </row>
    <row r="1299">
      <c r="B1299" s="37"/>
      <c r="C1299" s="37"/>
      <c r="D1299" s="49"/>
    </row>
    <row r="1300">
      <c r="B1300" s="37"/>
      <c r="C1300" s="37"/>
      <c r="D1300" s="49"/>
    </row>
    <row r="1301">
      <c r="B1301" s="37"/>
      <c r="C1301" s="37"/>
      <c r="D1301" s="49"/>
    </row>
    <row r="1302">
      <c r="B1302" s="37"/>
      <c r="C1302" s="37"/>
      <c r="D1302" s="49"/>
    </row>
    <row r="1303">
      <c r="B1303" s="37"/>
      <c r="C1303" s="37"/>
      <c r="D1303" s="49"/>
    </row>
    <row r="1304">
      <c r="B1304" s="37"/>
      <c r="C1304" s="37"/>
      <c r="D1304" s="49"/>
    </row>
    <row r="1305">
      <c r="B1305" s="37"/>
      <c r="C1305" s="37"/>
      <c r="D1305" s="49"/>
    </row>
    <row r="1306">
      <c r="B1306" s="37"/>
      <c r="C1306" s="37"/>
      <c r="D1306" s="49"/>
    </row>
    <row r="1307">
      <c r="B1307" s="37"/>
      <c r="C1307" s="37"/>
      <c r="D1307" s="49"/>
    </row>
    <row r="1308">
      <c r="B1308" s="37"/>
      <c r="C1308" s="37"/>
      <c r="D1308" s="49"/>
    </row>
    <row r="1309">
      <c r="B1309" s="37"/>
      <c r="C1309" s="37"/>
      <c r="D1309" s="49"/>
    </row>
    <row r="1310">
      <c r="B1310" s="37"/>
      <c r="C1310" s="37"/>
      <c r="D1310" s="49"/>
    </row>
    <row r="1311">
      <c r="B1311" s="37"/>
      <c r="C1311" s="37"/>
      <c r="D1311" s="49"/>
    </row>
    <row r="1312">
      <c r="B1312" s="37"/>
      <c r="C1312" s="37"/>
      <c r="D1312" s="49"/>
    </row>
    <row r="1313">
      <c r="B1313" s="37"/>
      <c r="C1313" s="37"/>
      <c r="D1313" s="49"/>
    </row>
    <row r="1314">
      <c r="B1314" s="37"/>
      <c r="C1314" s="37"/>
      <c r="D1314" s="49"/>
    </row>
    <row r="1315">
      <c r="B1315" s="37"/>
      <c r="C1315" s="37"/>
      <c r="D1315" s="49"/>
    </row>
    <row r="1316">
      <c r="B1316" s="37"/>
      <c r="C1316" s="37"/>
      <c r="D1316" s="49"/>
    </row>
    <row r="1317">
      <c r="B1317" s="37"/>
      <c r="C1317" s="37"/>
      <c r="D1317" s="49"/>
    </row>
    <row r="1318">
      <c r="B1318" s="37"/>
      <c r="C1318" s="37"/>
      <c r="D1318" s="49"/>
    </row>
    <row r="1319">
      <c r="B1319" s="37"/>
      <c r="C1319" s="37"/>
      <c r="D1319" s="49"/>
    </row>
    <row r="1320">
      <c r="B1320" s="37"/>
      <c r="C1320" s="37"/>
      <c r="D1320" s="49"/>
    </row>
    <row r="1321">
      <c r="B1321" s="37"/>
      <c r="C1321" s="37"/>
      <c r="D1321" s="49"/>
    </row>
    <row r="1322">
      <c r="B1322" s="37"/>
      <c r="C1322" s="37"/>
      <c r="D1322" s="49"/>
    </row>
    <row r="1323">
      <c r="B1323" s="37"/>
      <c r="C1323" s="37"/>
      <c r="D1323" s="49"/>
    </row>
    <row r="1324">
      <c r="B1324" s="37"/>
      <c r="C1324" s="37"/>
      <c r="D1324" s="49"/>
    </row>
    <row r="1325">
      <c r="B1325" s="37"/>
      <c r="C1325" s="37"/>
      <c r="D1325" s="49"/>
    </row>
    <row r="1326">
      <c r="B1326" s="37"/>
      <c r="C1326" s="37"/>
      <c r="D1326" s="49"/>
    </row>
    <row r="1327">
      <c r="B1327" s="37"/>
      <c r="C1327" s="37"/>
      <c r="D1327" s="49"/>
    </row>
    <row r="1328">
      <c r="B1328" s="37"/>
      <c r="C1328" s="37"/>
      <c r="D1328" s="49"/>
    </row>
    <row r="1329">
      <c r="B1329" s="37"/>
      <c r="C1329" s="37"/>
      <c r="D1329" s="49"/>
    </row>
    <row r="1330">
      <c r="B1330" s="37"/>
      <c r="C1330" s="37"/>
      <c r="D1330" s="49"/>
    </row>
    <row r="1331">
      <c r="B1331" s="37"/>
      <c r="C1331" s="37"/>
      <c r="D1331" s="49"/>
    </row>
    <row r="1332">
      <c r="B1332" s="37"/>
      <c r="C1332" s="37"/>
      <c r="D1332" s="49"/>
    </row>
    <row r="1333">
      <c r="B1333" s="37"/>
      <c r="C1333" s="37"/>
      <c r="D1333" s="49"/>
    </row>
    <row r="1334">
      <c r="B1334" s="37"/>
      <c r="C1334" s="37"/>
      <c r="D1334" s="49"/>
    </row>
    <row r="1335">
      <c r="B1335" s="37"/>
      <c r="C1335" s="37"/>
      <c r="D1335" s="49"/>
    </row>
    <row r="1336">
      <c r="B1336" s="37"/>
      <c r="C1336" s="37"/>
      <c r="D1336" s="49"/>
    </row>
    <row r="1337">
      <c r="B1337" s="37"/>
      <c r="C1337" s="37"/>
      <c r="D1337" s="49"/>
    </row>
    <row r="1338">
      <c r="B1338" s="37"/>
      <c r="C1338" s="37"/>
      <c r="D1338" s="49"/>
    </row>
    <row r="1339">
      <c r="B1339" s="37"/>
      <c r="C1339" s="37"/>
      <c r="D1339" s="49"/>
    </row>
    <row r="1340">
      <c r="B1340" s="37"/>
      <c r="C1340" s="37"/>
      <c r="D1340" s="49"/>
    </row>
    <row r="1341">
      <c r="B1341" s="37"/>
      <c r="C1341" s="37"/>
      <c r="D1341" s="49"/>
    </row>
    <row r="1342">
      <c r="B1342" s="37"/>
      <c r="C1342" s="37"/>
      <c r="D1342" s="49"/>
    </row>
    <row r="1343">
      <c r="B1343" s="37"/>
      <c r="C1343" s="37"/>
      <c r="D1343" s="49"/>
    </row>
    <row r="1344">
      <c r="B1344" s="37"/>
      <c r="C1344" s="37"/>
      <c r="D1344" s="49"/>
    </row>
    <row r="1345">
      <c r="B1345" s="37"/>
      <c r="C1345" s="37"/>
      <c r="D1345" s="49"/>
    </row>
    <row r="1346">
      <c r="B1346" s="37"/>
      <c r="C1346" s="37"/>
      <c r="D1346" s="49"/>
    </row>
    <row r="1347">
      <c r="B1347" s="37"/>
      <c r="C1347" s="37"/>
      <c r="D1347" s="49"/>
    </row>
    <row r="1348">
      <c r="B1348" s="37"/>
      <c r="C1348" s="37"/>
      <c r="D1348" s="49"/>
    </row>
    <row r="1349">
      <c r="B1349" s="37"/>
      <c r="C1349" s="37"/>
      <c r="D1349" s="49"/>
    </row>
    <row r="1350">
      <c r="B1350" s="37"/>
      <c r="C1350" s="37"/>
      <c r="D1350" s="49"/>
    </row>
    <row r="1351">
      <c r="B1351" s="37"/>
      <c r="C1351" s="37"/>
      <c r="D1351" s="49"/>
    </row>
    <row r="1352">
      <c r="B1352" s="37"/>
      <c r="C1352" s="37"/>
      <c r="D1352" s="49"/>
    </row>
    <row r="1353">
      <c r="B1353" s="37"/>
      <c r="C1353" s="37"/>
      <c r="D1353" s="49"/>
    </row>
    <row r="1354">
      <c r="B1354" s="37"/>
      <c r="C1354" s="37"/>
      <c r="D1354" s="49"/>
    </row>
    <row r="1355">
      <c r="B1355" s="37"/>
      <c r="C1355" s="37"/>
      <c r="D1355" s="49"/>
    </row>
    <row r="1356">
      <c r="B1356" s="37"/>
      <c r="C1356" s="37"/>
      <c r="D1356" s="49"/>
    </row>
    <row r="1357">
      <c r="B1357" s="37"/>
      <c r="C1357" s="37"/>
      <c r="D1357" s="49"/>
    </row>
    <row r="1358">
      <c r="B1358" s="37"/>
      <c r="C1358" s="37"/>
      <c r="D1358" s="49"/>
    </row>
    <row r="1359">
      <c r="B1359" s="37"/>
      <c r="C1359" s="37"/>
      <c r="D1359" s="49"/>
    </row>
    <row r="1360">
      <c r="B1360" s="37"/>
      <c r="C1360" s="37"/>
      <c r="D1360" s="49"/>
    </row>
    <row r="1361">
      <c r="B1361" s="37"/>
      <c r="C1361" s="37"/>
      <c r="D1361" s="49"/>
    </row>
    <row r="1362">
      <c r="B1362" s="37"/>
      <c r="C1362" s="37"/>
      <c r="D1362" s="49"/>
    </row>
    <row r="1363">
      <c r="B1363" s="37"/>
      <c r="C1363" s="37"/>
      <c r="D1363" s="49"/>
    </row>
    <row r="1364">
      <c r="B1364" s="37"/>
      <c r="C1364" s="37"/>
      <c r="D1364" s="49"/>
    </row>
    <row r="1365">
      <c r="B1365" s="37"/>
      <c r="C1365" s="37"/>
      <c r="D1365" s="49"/>
    </row>
    <row r="1366">
      <c r="B1366" s="37"/>
      <c r="C1366" s="37"/>
      <c r="D1366" s="49"/>
    </row>
    <row r="1367">
      <c r="B1367" s="37"/>
      <c r="C1367" s="37"/>
      <c r="D1367" s="49"/>
    </row>
    <row r="1368">
      <c r="B1368" s="37"/>
      <c r="C1368" s="37"/>
      <c r="D1368" s="49"/>
    </row>
    <row r="1369">
      <c r="B1369" s="37"/>
      <c r="C1369" s="37"/>
      <c r="D1369" s="49"/>
    </row>
    <row r="1370">
      <c r="B1370" s="37"/>
      <c r="C1370" s="37"/>
      <c r="D1370" s="49"/>
    </row>
    <row r="1371">
      <c r="B1371" s="37"/>
      <c r="C1371" s="37"/>
      <c r="D1371" s="49"/>
    </row>
    <row r="1372">
      <c r="B1372" s="37"/>
      <c r="C1372" s="37"/>
      <c r="D1372" s="49"/>
    </row>
    <row r="1373">
      <c r="B1373" s="37"/>
      <c r="C1373" s="37"/>
      <c r="D1373" s="49"/>
    </row>
    <row r="1374">
      <c r="B1374" s="37"/>
      <c r="C1374" s="37"/>
      <c r="D1374" s="49"/>
    </row>
    <row r="1375">
      <c r="B1375" s="37"/>
      <c r="C1375" s="37"/>
      <c r="D1375" s="49"/>
    </row>
    <row r="1376">
      <c r="B1376" s="37"/>
      <c r="C1376" s="37"/>
      <c r="D1376" s="49"/>
    </row>
    <row r="1377">
      <c r="B1377" s="37"/>
      <c r="C1377" s="37"/>
      <c r="D1377" s="49"/>
    </row>
    <row r="1378">
      <c r="B1378" s="37"/>
      <c r="C1378" s="37"/>
      <c r="D1378" s="49"/>
    </row>
    <row r="1379">
      <c r="B1379" s="37"/>
      <c r="C1379" s="37"/>
      <c r="D1379" s="49"/>
    </row>
    <row r="1380">
      <c r="B1380" s="37"/>
      <c r="C1380" s="37"/>
      <c r="D1380" s="49"/>
    </row>
    <row r="1381">
      <c r="B1381" s="37"/>
      <c r="C1381" s="37"/>
      <c r="D1381" s="49"/>
    </row>
    <row r="1382">
      <c r="B1382" s="37"/>
      <c r="C1382" s="37"/>
      <c r="D1382" s="49"/>
    </row>
    <row r="1383">
      <c r="B1383" s="37"/>
      <c r="C1383" s="37"/>
      <c r="D1383" s="49"/>
    </row>
    <row r="1384">
      <c r="B1384" s="37"/>
      <c r="C1384" s="37"/>
      <c r="D1384" s="49"/>
    </row>
    <row r="1385">
      <c r="B1385" s="37"/>
      <c r="C1385" s="37"/>
      <c r="D1385" s="49"/>
    </row>
    <row r="1386">
      <c r="B1386" s="37"/>
      <c r="C1386" s="37"/>
      <c r="D1386" s="49"/>
    </row>
    <row r="1387">
      <c r="B1387" s="37"/>
      <c r="C1387" s="37"/>
      <c r="D1387" s="49"/>
    </row>
    <row r="1388">
      <c r="B1388" s="37"/>
      <c r="C1388" s="37"/>
      <c r="D1388" s="49"/>
    </row>
    <row r="1389">
      <c r="B1389" s="37"/>
      <c r="C1389" s="37"/>
      <c r="D1389" s="49"/>
    </row>
    <row r="1390">
      <c r="B1390" s="37"/>
      <c r="C1390" s="37"/>
      <c r="D1390" s="49"/>
    </row>
    <row r="1391">
      <c r="B1391" s="37"/>
      <c r="C1391" s="37"/>
      <c r="D1391" s="49"/>
    </row>
    <row r="1392">
      <c r="B1392" s="37"/>
      <c r="C1392" s="37"/>
      <c r="D1392" s="49"/>
    </row>
    <row r="1393">
      <c r="B1393" s="37"/>
      <c r="C1393" s="37"/>
      <c r="D1393" s="49"/>
    </row>
    <row r="1394">
      <c r="B1394" s="37"/>
      <c r="C1394" s="37"/>
      <c r="D1394" s="49"/>
    </row>
    <row r="1395">
      <c r="B1395" s="37"/>
      <c r="C1395" s="37"/>
      <c r="D1395" s="49"/>
    </row>
    <row r="1396">
      <c r="B1396" s="37"/>
      <c r="C1396" s="37"/>
      <c r="D1396" s="49"/>
    </row>
    <row r="1397">
      <c r="B1397" s="37"/>
      <c r="C1397" s="37"/>
      <c r="D1397" s="49"/>
    </row>
    <row r="1398">
      <c r="B1398" s="37"/>
      <c r="C1398" s="37"/>
      <c r="D1398" s="49"/>
    </row>
    <row r="1399">
      <c r="B1399" s="37"/>
      <c r="C1399" s="37"/>
      <c r="D1399" s="49"/>
    </row>
    <row r="1400">
      <c r="B1400" s="37"/>
      <c r="C1400" s="37"/>
      <c r="D1400" s="49"/>
    </row>
    <row r="1401">
      <c r="B1401" s="37"/>
      <c r="C1401" s="37"/>
      <c r="D1401" s="49"/>
    </row>
    <row r="1402">
      <c r="B1402" s="37"/>
      <c r="C1402" s="37"/>
      <c r="D1402" s="49"/>
    </row>
    <row r="1403">
      <c r="B1403" s="37"/>
      <c r="C1403" s="37"/>
      <c r="D1403" s="49"/>
    </row>
    <row r="1404">
      <c r="B1404" s="37"/>
      <c r="C1404" s="37"/>
      <c r="D1404" s="49"/>
    </row>
    <row r="1405">
      <c r="B1405" s="37"/>
      <c r="C1405" s="37"/>
      <c r="D1405" s="49"/>
    </row>
    <row r="1406">
      <c r="B1406" s="37"/>
      <c r="C1406" s="37"/>
      <c r="D1406" s="49"/>
    </row>
    <row r="1407">
      <c r="B1407" s="37"/>
      <c r="C1407" s="37"/>
      <c r="D1407" s="49"/>
    </row>
    <row r="1408">
      <c r="B1408" s="37"/>
      <c r="C1408" s="37"/>
      <c r="D1408" s="49"/>
    </row>
    <row r="1409">
      <c r="B1409" s="37"/>
      <c r="C1409" s="37"/>
      <c r="D1409" s="49"/>
    </row>
    <row r="1410">
      <c r="B1410" s="37"/>
      <c r="C1410" s="37"/>
      <c r="D1410" s="49"/>
    </row>
    <row r="1411">
      <c r="B1411" s="37"/>
      <c r="C1411" s="37"/>
      <c r="D1411" s="49"/>
    </row>
    <row r="1412">
      <c r="B1412" s="37"/>
      <c r="C1412" s="37"/>
      <c r="D1412" s="49"/>
    </row>
    <row r="1413">
      <c r="B1413" s="37"/>
      <c r="C1413" s="37"/>
      <c r="D1413" s="49"/>
    </row>
    <row r="1414">
      <c r="B1414" s="37"/>
      <c r="C1414" s="37"/>
      <c r="D1414" s="49"/>
    </row>
    <row r="1415">
      <c r="B1415" s="37"/>
      <c r="C1415" s="37"/>
      <c r="D1415" s="49"/>
    </row>
    <row r="1416">
      <c r="B1416" s="37"/>
      <c r="C1416" s="37"/>
      <c r="D1416" s="49"/>
    </row>
    <row r="1417">
      <c r="B1417" s="37"/>
      <c r="C1417" s="37"/>
      <c r="D1417" s="49"/>
    </row>
    <row r="1418">
      <c r="B1418" s="37"/>
      <c r="C1418" s="37"/>
      <c r="D1418" s="49"/>
    </row>
    <row r="1419">
      <c r="B1419" s="37"/>
      <c r="C1419" s="37"/>
      <c r="D1419" s="49"/>
    </row>
    <row r="1420">
      <c r="B1420" s="37"/>
      <c r="C1420" s="37"/>
      <c r="D1420" s="49"/>
    </row>
    <row r="1421">
      <c r="B1421" s="37"/>
      <c r="C1421" s="37"/>
      <c r="D1421" s="49"/>
    </row>
    <row r="1422">
      <c r="B1422" s="37"/>
      <c r="C1422" s="37"/>
      <c r="D1422" s="49"/>
    </row>
    <row r="1423">
      <c r="B1423" s="37"/>
      <c r="C1423" s="37"/>
      <c r="D1423" s="49"/>
    </row>
    <row r="1424">
      <c r="B1424" s="37"/>
      <c r="C1424" s="37"/>
      <c r="D1424" s="49"/>
    </row>
    <row r="1425">
      <c r="B1425" s="37"/>
      <c r="C1425" s="37"/>
      <c r="D1425" s="49"/>
    </row>
    <row r="1426">
      <c r="B1426" s="37"/>
      <c r="C1426" s="37"/>
      <c r="D1426" s="49"/>
    </row>
    <row r="1427">
      <c r="B1427" s="37"/>
      <c r="C1427" s="37"/>
      <c r="D1427" s="49"/>
    </row>
    <row r="1428">
      <c r="B1428" s="37"/>
      <c r="C1428" s="37"/>
      <c r="D1428" s="49"/>
    </row>
    <row r="1429">
      <c r="B1429" s="37"/>
      <c r="C1429" s="37"/>
      <c r="D1429" s="49"/>
    </row>
    <row r="1430">
      <c r="B1430" s="37"/>
      <c r="C1430" s="37"/>
      <c r="D1430" s="49"/>
    </row>
    <row r="1431">
      <c r="B1431" s="37"/>
      <c r="C1431" s="37"/>
      <c r="D1431" s="49"/>
    </row>
    <row r="1432">
      <c r="B1432" s="37"/>
      <c r="C1432" s="37"/>
      <c r="D1432" s="49"/>
    </row>
    <row r="1433">
      <c r="B1433" s="37"/>
      <c r="C1433" s="37"/>
      <c r="D1433" s="49"/>
    </row>
    <row r="1434">
      <c r="B1434" s="37"/>
      <c r="C1434" s="37"/>
      <c r="D1434" s="49"/>
    </row>
    <row r="1435">
      <c r="B1435" s="37"/>
      <c r="C1435" s="37"/>
      <c r="D1435" s="49"/>
    </row>
    <row r="1436">
      <c r="B1436" s="37"/>
      <c r="C1436" s="37"/>
      <c r="D1436" s="49"/>
    </row>
    <row r="1437">
      <c r="B1437" s="37"/>
      <c r="C1437" s="37"/>
      <c r="D1437" s="49"/>
    </row>
    <row r="1438">
      <c r="B1438" s="37"/>
      <c r="C1438" s="37"/>
      <c r="D1438" s="49"/>
    </row>
    <row r="1439">
      <c r="B1439" s="37"/>
      <c r="C1439" s="37"/>
      <c r="D1439" s="49"/>
    </row>
    <row r="1440">
      <c r="B1440" s="37"/>
      <c r="C1440" s="37"/>
      <c r="D1440" s="49"/>
    </row>
    <row r="1441">
      <c r="B1441" s="37"/>
      <c r="C1441" s="37"/>
      <c r="D1441" s="49"/>
    </row>
    <row r="1442">
      <c r="B1442" s="37"/>
      <c r="C1442" s="37"/>
      <c r="D1442" s="49"/>
    </row>
    <row r="1443">
      <c r="B1443" s="37"/>
      <c r="C1443" s="37"/>
      <c r="D1443" s="49"/>
    </row>
    <row r="1444">
      <c r="B1444" s="37"/>
      <c r="C1444" s="37"/>
      <c r="D1444" s="49"/>
    </row>
    <row r="1445">
      <c r="B1445" s="37"/>
      <c r="C1445" s="37"/>
      <c r="D1445" s="49"/>
    </row>
    <row r="1446">
      <c r="B1446" s="37"/>
      <c r="C1446" s="37"/>
      <c r="D1446" s="49"/>
    </row>
    <row r="1447">
      <c r="B1447" s="37"/>
      <c r="C1447" s="37"/>
      <c r="D1447" s="49"/>
    </row>
    <row r="1448">
      <c r="B1448" s="37"/>
      <c r="C1448" s="37"/>
      <c r="D1448" s="49"/>
    </row>
    <row r="1449">
      <c r="B1449" s="37"/>
      <c r="C1449" s="37"/>
      <c r="D1449" s="49"/>
    </row>
    <row r="1450">
      <c r="B1450" s="37"/>
      <c r="C1450" s="37"/>
      <c r="D1450" s="49"/>
    </row>
    <row r="1451">
      <c r="B1451" s="37"/>
      <c r="C1451" s="37"/>
      <c r="D1451" s="49"/>
    </row>
    <row r="1452">
      <c r="B1452" s="37"/>
      <c r="C1452" s="37"/>
      <c r="D1452" s="49"/>
    </row>
    <row r="1453">
      <c r="B1453" s="37"/>
      <c r="C1453" s="37"/>
      <c r="D1453" s="49"/>
    </row>
    <row r="1454">
      <c r="B1454" s="37"/>
      <c r="C1454" s="37"/>
      <c r="D1454" s="49"/>
    </row>
    <row r="1455">
      <c r="B1455" s="37"/>
      <c r="C1455" s="37"/>
      <c r="D1455" s="49"/>
    </row>
    <row r="1456">
      <c r="B1456" s="37"/>
      <c r="C1456" s="37"/>
      <c r="D1456" s="49"/>
    </row>
    <row r="1457">
      <c r="B1457" s="37"/>
      <c r="C1457" s="37"/>
      <c r="D1457" s="49"/>
    </row>
    <row r="1458">
      <c r="B1458" s="37"/>
      <c r="C1458" s="37"/>
      <c r="D1458" s="49"/>
    </row>
    <row r="1459">
      <c r="B1459" s="37"/>
      <c r="C1459" s="37"/>
      <c r="D1459" s="49"/>
    </row>
    <row r="1460">
      <c r="B1460" s="37"/>
      <c r="C1460" s="37"/>
      <c r="D1460" s="49"/>
    </row>
    <row r="1461">
      <c r="B1461" s="37"/>
      <c r="C1461" s="37"/>
      <c r="D1461" s="49"/>
    </row>
    <row r="1462">
      <c r="B1462" s="37"/>
      <c r="C1462" s="37"/>
      <c r="D1462" s="49"/>
    </row>
    <row r="1463">
      <c r="B1463" s="37"/>
      <c r="C1463" s="37"/>
      <c r="D1463" s="49"/>
    </row>
    <row r="1464">
      <c r="B1464" s="37"/>
      <c r="C1464" s="37"/>
      <c r="D1464" s="49"/>
    </row>
    <row r="1465">
      <c r="B1465" s="37"/>
      <c r="C1465" s="37"/>
      <c r="D1465" s="49"/>
    </row>
    <row r="1466">
      <c r="B1466" s="37"/>
      <c r="C1466" s="37"/>
      <c r="D1466" s="49"/>
    </row>
    <row r="1467">
      <c r="B1467" s="37"/>
      <c r="C1467" s="37"/>
      <c r="D1467" s="49"/>
    </row>
    <row r="1468">
      <c r="B1468" s="37"/>
      <c r="C1468" s="37"/>
      <c r="D1468" s="49"/>
    </row>
    <row r="1469">
      <c r="B1469" s="37"/>
      <c r="C1469" s="37"/>
      <c r="D1469" s="49"/>
    </row>
    <row r="1470">
      <c r="B1470" s="37"/>
      <c r="C1470" s="37"/>
      <c r="D1470" s="49"/>
    </row>
    <row r="1471">
      <c r="B1471" s="37"/>
      <c r="C1471" s="37"/>
      <c r="D1471" s="49"/>
    </row>
    <row r="1472">
      <c r="B1472" s="37"/>
      <c r="C1472" s="37"/>
      <c r="D1472" s="49"/>
    </row>
    <row r="1473">
      <c r="B1473" s="37"/>
      <c r="C1473" s="37"/>
      <c r="D1473" s="49"/>
    </row>
    <row r="1474">
      <c r="B1474" s="37"/>
      <c r="C1474" s="37"/>
      <c r="D1474" s="49"/>
    </row>
    <row r="1475">
      <c r="B1475" s="37"/>
      <c r="C1475" s="37"/>
      <c r="D1475" s="49"/>
    </row>
    <row r="1476">
      <c r="B1476" s="37"/>
      <c r="C1476" s="37"/>
      <c r="D1476" s="49"/>
    </row>
    <row r="1477">
      <c r="B1477" s="37"/>
      <c r="C1477" s="37"/>
      <c r="D1477" s="49"/>
    </row>
    <row r="1478">
      <c r="B1478" s="37"/>
      <c r="C1478" s="37"/>
      <c r="D1478" s="49"/>
    </row>
    <row r="1479">
      <c r="B1479" s="37"/>
      <c r="C1479" s="37"/>
      <c r="D1479" s="49"/>
    </row>
    <row r="1480">
      <c r="B1480" s="37"/>
      <c r="C1480" s="37"/>
      <c r="D1480" s="49"/>
    </row>
    <row r="1481">
      <c r="B1481" s="37"/>
      <c r="C1481" s="37"/>
      <c r="D1481" s="49"/>
    </row>
    <row r="1482">
      <c r="B1482" s="37"/>
      <c r="C1482" s="37"/>
      <c r="D1482" s="49"/>
    </row>
    <row r="1483">
      <c r="B1483" s="37"/>
      <c r="C1483" s="37"/>
      <c r="D1483" s="49"/>
    </row>
    <row r="1484">
      <c r="B1484" s="37"/>
      <c r="C1484" s="37"/>
      <c r="D1484" s="49"/>
    </row>
    <row r="1485">
      <c r="B1485" s="37"/>
      <c r="C1485" s="37"/>
      <c r="D1485" s="49"/>
    </row>
    <row r="1486">
      <c r="B1486" s="37"/>
      <c r="C1486" s="37"/>
      <c r="D1486" s="49"/>
    </row>
    <row r="1487">
      <c r="B1487" s="37"/>
      <c r="C1487" s="37"/>
      <c r="D1487" s="49"/>
    </row>
    <row r="1488">
      <c r="B1488" s="37"/>
      <c r="C1488" s="37"/>
      <c r="D1488" s="49"/>
    </row>
    <row r="1489">
      <c r="B1489" s="37"/>
      <c r="C1489" s="37"/>
      <c r="D1489" s="49"/>
    </row>
    <row r="1490">
      <c r="B1490" s="37"/>
      <c r="C1490" s="37"/>
      <c r="D1490" s="49"/>
    </row>
    <row r="1491">
      <c r="B1491" s="37"/>
      <c r="C1491" s="37"/>
      <c r="D1491" s="49"/>
    </row>
    <row r="1492">
      <c r="B1492" s="37"/>
      <c r="C1492" s="37"/>
      <c r="D1492" s="49"/>
    </row>
    <row r="1493">
      <c r="B1493" s="37"/>
      <c r="C1493" s="37"/>
      <c r="D1493" s="49"/>
    </row>
    <row r="1494">
      <c r="B1494" s="37"/>
      <c r="C1494" s="37"/>
      <c r="D1494" s="49"/>
    </row>
    <row r="1495">
      <c r="B1495" s="37"/>
      <c r="C1495" s="37"/>
      <c r="D1495" s="49"/>
    </row>
    <row r="1496">
      <c r="B1496" s="37"/>
      <c r="C1496" s="37"/>
      <c r="D1496" s="49"/>
    </row>
    <row r="1497">
      <c r="B1497" s="37"/>
      <c r="C1497" s="37"/>
      <c r="D1497" s="49"/>
    </row>
    <row r="1498">
      <c r="B1498" s="37"/>
      <c r="C1498" s="37"/>
      <c r="D1498" s="49"/>
    </row>
    <row r="1499">
      <c r="B1499" s="37"/>
      <c r="C1499" s="37"/>
      <c r="D1499" s="49"/>
    </row>
    <row r="1500">
      <c r="B1500" s="37"/>
      <c r="C1500" s="37"/>
      <c r="D1500" s="49"/>
    </row>
    <row r="1501">
      <c r="B1501" s="37"/>
      <c r="C1501" s="37"/>
      <c r="D1501" s="49"/>
    </row>
    <row r="1502">
      <c r="B1502" s="37"/>
      <c r="C1502" s="37"/>
      <c r="D1502" s="49"/>
    </row>
    <row r="1503">
      <c r="B1503" s="37"/>
      <c r="C1503" s="37"/>
      <c r="D1503" s="49"/>
    </row>
    <row r="1504">
      <c r="B1504" s="37"/>
      <c r="C1504" s="37"/>
      <c r="D1504" s="49"/>
    </row>
    <row r="1505">
      <c r="B1505" s="37"/>
      <c r="C1505" s="37"/>
      <c r="D1505" s="49"/>
    </row>
    <row r="1506">
      <c r="B1506" s="37"/>
      <c r="C1506" s="37"/>
      <c r="D1506" s="49"/>
    </row>
    <row r="1507">
      <c r="B1507" s="37"/>
      <c r="C1507" s="37"/>
      <c r="D1507" s="49"/>
    </row>
    <row r="1508">
      <c r="B1508" s="37"/>
      <c r="C1508" s="37"/>
      <c r="D1508" s="49"/>
    </row>
    <row r="1509">
      <c r="B1509" s="37"/>
      <c r="C1509" s="37"/>
      <c r="D1509" s="49"/>
    </row>
    <row r="1510">
      <c r="B1510" s="37"/>
      <c r="C1510" s="37"/>
      <c r="D1510" s="49"/>
    </row>
    <row r="1511">
      <c r="B1511" s="37"/>
      <c r="C1511" s="37"/>
      <c r="D1511" s="49"/>
    </row>
    <row r="1512">
      <c r="B1512" s="37"/>
      <c r="C1512" s="37"/>
      <c r="D1512" s="49"/>
    </row>
    <row r="1513">
      <c r="B1513" s="37"/>
      <c r="C1513" s="37"/>
      <c r="D1513" s="49"/>
    </row>
    <row r="1514">
      <c r="B1514" s="37"/>
      <c r="C1514" s="37"/>
      <c r="D1514" s="49"/>
    </row>
    <row r="1515">
      <c r="B1515" s="37"/>
      <c r="C1515" s="37"/>
      <c r="D1515" s="49"/>
    </row>
    <row r="1516">
      <c r="B1516" s="37"/>
      <c r="C1516" s="37"/>
      <c r="D1516" s="49"/>
    </row>
    <row r="1517">
      <c r="B1517" s="37"/>
      <c r="C1517" s="37"/>
      <c r="D1517" s="49"/>
    </row>
    <row r="1518">
      <c r="B1518" s="37"/>
      <c r="C1518" s="37"/>
      <c r="D1518" s="49"/>
    </row>
    <row r="1519">
      <c r="B1519" s="37"/>
      <c r="C1519" s="37"/>
      <c r="D1519" s="49"/>
    </row>
    <row r="1520">
      <c r="B1520" s="37"/>
      <c r="C1520" s="37"/>
      <c r="D1520" s="49"/>
    </row>
    <row r="1521">
      <c r="B1521" s="37"/>
      <c r="C1521" s="37"/>
      <c r="D1521" s="49"/>
    </row>
    <row r="1522">
      <c r="B1522" s="37"/>
      <c r="C1522" s="37"/>
      <c r="D1522" s="49"/>
    </row>
    <row r="1523">
      <c r="B1523" s="37"/>
      <c r="C1523" s="37"/>
      <c r="D1523" s="49"/>
    </row>
    <row r="1524">
      <c r="B1524" s="37"/>
      <c r="C1524" s="37"/>
      <c r="D1524" s="49"/>
    </row>
    <row r="1525">
      <c r="B1525" s="37"/>
      <c r="C1525" s="37"/>
      <c r="D1525" s="49"/>
    </row>
    <row r="1526">
      <c r="B1526" s="37"/>
      <c r="C1526" s="37"/>
      <c r="D1526" s="49"/>
    </row>
    <row r="1527">
      <c r="B1527" s="37"/>
      <c r="C1527" s="37"/>
      <c r="D1527" s="49"/>
    </row>
    <row r="1528">
      <c r="B1528" s="37"/>
      <c r="C1528" s="37"/>
      <c r="D1528" s="49"/>
    </row>
    <row r="1529">
      <c r="B1529" s="37"/>
      <c r="C1529" s="37"/>
      <c r="D1529" s="49"/>
    </row>
    <row r="1530">
      <c r="B1530" s="37"/>
      <c r="C1530" s="37"/>
      <c r="D1530" s="49"/>
    </row>
    <row r="1531">
      <c r="B1531" s="37"/>
      <c r="C1531" s="37"/>
      <c r="D1531" s="49"/>
    </row>
    <row r="1532">
      <c r="B1532" s="37"/>
      <c r="C1532" s="37"/>
      <c r="D1532" s="49"/>
    </row>
    <row r="1533">
      <c r="B1533" s="37"/>
      <c r="C1533" s="37"/>
      <c r="D1533" s="49"/>
    </row>
    <row r="1534">
      <c r="B1534" s="37"/>
      <c r="C1534" s="37"/>
      <c r="D1534" s="49"/>
    </row>
    <row r="1535">
      <c r="B1535" s="37"/>
      <c r="C1535" s="37"/>
      <c r="D1535" s="49"/>
    </row>
    <row r="1536">
      <c r="B1536" s="37"/>
      <c r="C1536" s="37"/>
      <c r="D1536" s="49"/>
    </row>
    <row r="1537">
      <c r="B1537" s="37"/>
      <c r="C1537" s="37"/>
      <c r="D1537" s="49"/>
    </row>
    <row r="1538">
      <c r="B1538" s="37"/>
      <c r="C1538" s="37"/>
      <c r="D1538" s="49"/>
    </row>
    <row r="1539">
      <c r="B1539" s="37"/>
      <c r="C1539" s="37"/>
      <c r="D1539" s="49"/>
    </row>
    <row r="1540">
      <c r="B1540" s="37"/>
      <c r="C1540" s="37"/>
      <c r="D1540" s="49"/>
    </row>
    <row r="1541">
      <c r="B1541" s="37"/>
      <c r="C1541" s="37"/>
      <c r="D1541" s="49"/>
    </row>
    <row r="1542">
      <c r="B1542" s="37"/>
      <c r="C1542" s="37"/>
      <c r="D1542" s="49"/>
    </row>
    <row r="1543">
      <c r="B1543" s="37"/>
      <c r="C1543" s="37"/>
      <c r="D1543" s="49"/>
    </row>
    <row r="1544">
      <c r="B1544" s="37"/>
      <c r="C1544" s="37"/>
      <c r="D1544" s="49"/>
    </row>
    <row r="1545">
      <c r="B1545" s="37"/>
      <c r="C1545" s="37"/>
      <c r="D1545" s="49"/>
    </row>
    <row r="1546">
      <c r="B1546" s="37"/>
      <c r="C1546" s="37"/>
      <c r="D1546" s="49"/>
    </row>
    <row r="1547">
      <c r="B1547" s="37"/>
      <c r="C1547" s="37"/>
      <c r="D1547" s="49"/>
    </row>
    <row r="1548">
      <c r="B1548" s="37"/>
      <c r="C1548" s="37"/>
      <c r="D1548" s="49"/>
    </row>
    <row r="1549">
      <c r="B1549" s="37"/>
      <c r="C1549" s="37"/>
      <c r="D1549" s="49"/>
    </row>
    <row r="1550">
      <c r="B1550" s="37"/>
      <c r="C1550" s="37"/>
      <c r="D1550" s="49"/>
    </row>
    <row r="1551">
      <c r="B1551" s="37"/>
      <c r="C1551" s="37"/>
      <c r="D1551" s="49"/>
    </row>
    <row r="1552">
      <c r="B1552" s="37"/>
      <c r="C1552" s="37"/>
      <c r="D1552" s="49"/>
    </row>
    <row r="1553">
      <c r="B1553" s="37"/>
      <c r="C1553" s="37"/>
      <c r="D1553" s="49"/>
    </row>
    <row r="1554">
      <c r="B1554" s="37"/>
      <c r="C1554" s="37"/>
      <c r="D1554" s="49"/>
    </row>
    <row r="1555">
      <c r="B1555" s="37"/>
      <c r="C1555" s="37"/>
      <c r="D1555" s="49"/>
    </row>
    <row r="1556">
      <c r="B1556" s="37"/>
      <c r="C1556" s="37"/>
      <c r="D1556" s="49"/>
    </row>
    <row r="1557">
      <c r="B1557" s="37"/>
      <c r="C1557" s="37"/>
      <c r="D1557" s="49"/>
    </row>
    <row r="1558">
      <c r="B1558" s="37"/>
      <c r="C1558" s="37"/>
      <c r="D1558" s="49"/>
    </row>
    <row r="1559">
      <c r="B1559" s="37"/>
      <c r="C1559" s="37"/>
      <c r="D1559" s="49"/>
    </row>
    <row r="1560">
      <c r="B1560" s="37"/>
      <c r="C1560" s="37"/>
      <c r="D1560" s="49"/>
    </row>
    <row r="1561">
      <c r="B1561" s="37"/>
      <c r="C1561" s="37"/>
      <c r="D1561" s="49"/>
    </row>
    <row r="1562">
      <c r="B1562" s="37"/>
      <c r="C1562" s="37"/>
      <c r="D1562" s="49"/>
    </row>
    <row r="1563">
      <c r="B1563" s="37"/>
      <c r="C1563" s="37"/>
      <c r="D1563" s="49"/>
    </row>
    <row r="1564">
      <c r="B1564" s="37"/>
      <c r="C1564" s="37"/>
      <c r="D1564" s="49"/>
    </row>
    <row r="1565">
      <c r="B1565" s="37"/>
      <c r="C1565" s="37"/>
      <c r="D1565" s="49"/>
    </row>
    <row r="1566">
      <c r="B1566" s="37"/>
      <c r="C1566" s="37"/>
      <c r="D1566" s="49"/>
    </row>
    <row r="1567">
      <c r="B1567" s="37"/>
      <c r="C1567" s="37"/>
      <c r="D1567" s="49"/>
    </row>
    <row r="1568">
      <c r="B1568" s="37"/>
      <c r="C1568" s="37"/>
      <c r="D1568" s="49"/>
    </row>
    <row r="1569">
      <c r="B1569" s="37"/>
      <c r="C1569" s="37"/>
      <c r="D1569" s="49"/>
    </row>
    <row r="1570">
      <c r="B1570" s="37"/>
      <c r="C1570" s="37"/>
      <c r="D1570" s="49"/>
    </row>
    <row r="1571">
      <c r="B1571" s="37"/>
      <c r="C1571" s="37"/>
      <c r="D1571" s="49"/>
    </row>
    <row r="1572">
      <c r="B1572" s="37"/>
      <c r="C1572" s="37"/>
      <c r="D1572" s="49"/>
    </row>
    <row r="1573">
      <c r="B1573" s="37"/>
      <c r="C1573" s="37"/>
      <c r="D1573" s="49"/>
    </row>
    <row r="1574">
      <c r="B1574" s="37"/>
      <c r="C1574" s="37"/>
      <c r="D1574" s="49"/>
    </row>
    <row r="1575">
      <c r="B1575" s="37"/>
      <c r="C1575" s="37"/>
      <c r="D1575" s="49"/>
    </row>
    <row r="1576">
      <c r="B1576" s="37"/>
      <c r="C1576" s="37"/>
      <c r="D1576" s="49"/>
    </row>
    <row r="1577">
      <c r="B1577" s="37"/>
      <c r="C1577" s="37"/>
      <c r="D1577" s="49"/>
    </row>
    <row r="1578">
      <c r="B1578" s="37"/>
      <c r="C1578" s="37"/>
      <c r="D1578" s="49"/>
    </row>
    <row r="1579">
      <c r="B1579" s="37"/>
      <c r="C1579" s="37"/>
      <c r="D1579" s="49"/>
    </row>
    <row r="1580">
      <c r="B1580" s="37"/>
      <c r="C1580" s="37"/>
      <c r="D1580" s="49"/>
    </row>
    <row r="1581">
      <c r="B1581" s="37"/>
      <c r="C1581" s="37"/>
      <c r="D1581" s="49"/>
    </row>
    <row r="1582">
      <c r="B1582" s="37"/>
      <c r="C1582" s="37"/>
      <c r="D1582" s="49"/>
    </row>
    <row r="1583">
      <c r="B1583" s="37"/>
      <c r="C1583" s="37"/>
      <c r="D1583" s="49"/>
    </row>
    <row r="1584">
      <c r="B1584" s="37"/>
      <c r="C1584" s="37"/>
      <c r="D1584" s="49"/>
    </row>
    <row r="1585">
      <c r="B1585" s="37"/>
      <c r="C1585" s="37"/>
      <c r="D1585" s="49"/>
    </row>
    <row r="1586">
      <c r="B1586" s="37"/>
      <c r="C1586" s="37"/>
      <c r="D1586" s="49"/>
    </row>
    <row r="1587">
      <c r="B1587" s="37"/>
      <c r="C1587" s="37"/>
      <c r="D1587" s="49"/>
    </row>
    <row r="1588">
      <c r="B1588" s="37"/>
      <c r="C1588" s="37"/>
      <c r="D1588" s="49"/>
    </row>
    <row r="1589">
      <c r="B1589" s="37"/>
      <c r="C1589" s="37"/>
      <c r="D1589" s="49"/>
    </row>
    <row r="1590">
      <c r="B1590" s="37"/>
      <c r="C1590" s="37"/>
      <c r="D1590" s="49"/>
    </row>
    <row r="1591">
      <c r="B1591" s="37"/>
      <c r="C1591" s="37"/>
      <c r="D1591" s="49"/>
    </row>
    <row r="1592">
      <c r="B1592" s="37"/>
      <c r="C1592" s="37"/>
      <c r="D1592" s="49"/>
    </row>
    <row r="1593">
      <c r="B1593" s="37"/>
      <c r="C1593" s="37"/>
      <c r="D1593" s="49"/>
    </row>
    <row r="1594">
      <c r="B1594" s="37"/>
      <c r="C1594" s="37"/>
      <c r="D1594" s="49"/>
    </row>
    <row r="1595">
      <c r="B1595" s="37"/>
      <c r="C1595" s="37"/>
      <c r="D1595" s="49"/>
    </row>
    <row r="1596">
      <c r="B1596" s="37"/>
      <c r="C1596" s="37"/>
      <c r="D1596" s="49"/>
    </row>
    <row r="1597">
      <c r="B1597" s="37"/>
      <c r="C1597" s="37"/>
      <c r="D1597" s="49"/>
    </row>
    <row r="1598">
      <c r="B1598" s="37"/>
      <c r="C1598" s="37"/>
      <c r="D1598" s="49"/>
    </row>
    <row r="1599">
      <c r="B1599" s="37"/>
      <c r="C1599" s="37"/>
      <c r="D1599" s="49"/>
    </row>
    <row r="1600">
      <c r="B1600" s="37"/>
      <c r="C1600" s="37"/>
      <c r="D1600" s="49"/>
    </row>
    <row r="1601">
      <c r="B1601" s="37"/>
      <c r="C1601" s="37"/>
      <c r="D1601" s="49"/>
    </row>
    <row r="1602">
      <c r="B1602" s="37"/>
      <c r="C1602" s="37"/>
      <c r="D1602" s="49"/>
    </row>
    <row r="1603">
      <c r="B1603" s="37"/>
      <c r="C1603" s="37"/>
      <c r="D1603" s="49"/>
    </row>
    <row r="1604">
      <c r="B1604" s="37"/>
      <c r="C1604" s="37"/>
      <c r="D1604" s="49"/>
    </row>
    <row r="1605">
      <c r="B1605" s="37"/>
      <c r="C1605" s="37"/>
      <c r="D1605" s="49"/>
    </row>
    <row r="1606">
      <c r="B1606" s="37"/>
      <c r="C1606" s="37"/>
      <c r="D1606" s="49"/>
    </row>
    <row r="1607">
      <c r="B1607" s="37"/>
      <c r="C1607" s="37"/>
      <c r="D1607" s="49"/>
    </row>
    <row r="1608">
      <c r="B1608" s="37"/>
      <c r="C1608" s="37"/>
      <c r="D1608" s="49"/>
    </row>
    <row r="1609">
      <c r="B1609" s="37"/>
      <c r="C1609" s="37"/>
      <c r="D1609" s="49"/>
    </row>
    <row r="1610">
      <c r="B1610" s="37"/>
      <c r="C1610" s="37"/>
      <c r="D1610" s="49"/>
    </row>
    <row r="1611">
      <c r="B1611" s="37"/>
      <c r="C1611" s="37"/>
      <c r="D1611" s="49"/>
    </row>
    <row r="1612">
      <c r="B1612" s="37"/>
      <c r="C1612" s="37"/>
      <c r="D1612" s="49"/>
    </row>
    <row r="1613">
      <c r="B1613" s="37"/>
      <c r="C1613" s="37"/>
      <c r="D1613" s="49"/>
    </row>
    <row r="1614">
      <c r="B1614" s="37"/>
      <c r="C1614" s="37"/>
      <c r="D1614" s="49"/>
    </row>
    <row r="1615">
      <c r="B1615" s="37"/>
      <c r="C1615" s="37"/>
      <c r="D1615" s="49"/>
    </row>
    <row r="1616">
      <c r="B1616" s="37"/>
      <c r="C1616" s="37"/>
      <c r="D1616" s="49"/>
    </row>
    <row r="1617">
      <c r="B1617" s="37"/>
      <c r="C1617" s="37"/>
      <c r="D1617" s="49"/>
    </row>
    <row r="1618">
      <c r="B1618" s="37"/>
      <c r="C1618" s="37"/>
      <c r="D1618" s="49"/>
    </row>
    <row r="1619">
      <c r="B1619" s="37"/>
      <c r="C1619" s="37"/>
      <c r="D1619" s="49"/>
    </row>
    <row r="1620">
      <c r="B1620" s="37"/>
      <c r="C1620" s="37"/>
      <c r="D1620" s="49"/>
    </row>
    <row r="1621">
      <c r="B1621" s="37"/>
      <c r="C1621" s="37"/>
      <c r="D1621" s="49"/>
    </row>
    <row r="1622">
      <c r="B1622" s="37"/>
      <c r="C1622" s="37"/>
      <c r="D1622" s="49"/>
    </row>
    <row r="1623">
      <c r="B1623" s="37"/>
      <c r="C1623" s="37"/>
      <c r="D1623" s="49"/>
    </row>
    <row r="1624">
      <c r="B1624" s="37"/>
      <c r="C1624" s="37"/>
      <c r="D1624" s="49"/>
    </row>
    <row r="1625">
      <c r="B1625" s="37"/>
      <c r="C1625" s="37"/>
      <c r="D1625" s="49"/>
    </row>
    <row r="1626">
      <c r="B1626" s="37"/>
      <c r="C1626" s="37"/>
      <c r="D1626" s="49"/>
    </row>
    <row r="1627">
      <c r="B1627" s="37"/>
      <c r="C1627" s="37"/>
      <c r="D1627" s="49"/>
    </row>
    <row r="1628">
      <c r="B1628" s="37"/>
      <c r="C1628" s="37"/>
      <c r="D1628" s="49"/>
    </row>
    <row r="1629">
      <c r="B1629" s="37"/>
      <c r="C1629" s="37"/>
      <c r="D1629" s="49"/>
    </row>
    <row r="1630">
      <c r="B1630" s="37"/>
      <c r="C1630" s="37"/>
      <c r="D1630" s="49"/>
    </row>
    <row r="1631">
      <c r="B1631" s="37"/>
      <c r="C1631" s="37"/>
      <c r="D1631" s="49"/>
    </row>
    <row r="1632">
      <c r="B1632" s="37"/>
      <c r="C1632" s="37"/>
      <c r="D1632" s="49"/>
    </row>
    <row r="1633">
      <c r="B1633" s="37"/>
      <c r="C1633" s="37"/>
      <c r="D1633" s="49"/>
    </row>
    <row r="1634">
      <c r="B1634" s="37"/>
      <c r="C1634" s="37"/>
      <c r="D1634" s="49"/>
    </row>
    <row r="1635">
      <c r="B1635" s="37"/>
      <c r="C1635" s="37"/>
      <c r="D1635" s="49"/>
    </row>
    <row r="1636">
      <c r="B1636" s="37"/>
      <c r="C1636" s="37"/>
      <c r="D1636" s="49"/>
    </row>
    <row r="1637">
      <c r="B1637" s="37"/>
      <c r="C1637" s="37"/>
      <c r="D1637" s="49"/>
    </row>
    <row r="1638">
      <c r="B1638" s="37"/>
      <c r="C1638" s="37"/>
      <c r="D1638" s="49"/>
    </row>
    <row r="1639">
      <c r="B1639" s="37"/>
      <c r="C1639" s="37"/>
      <c r="D1639" s="49"/>
    </row>
    <row r="1640">
      <c r="B1640" s="37"/>
      <c r="C1640" s="37"/>
      <c r="D1640" s="49"/>
    </row>
    <row r="1641">
      <c r="B1641" s="37"/>
      <c r="C1641" s="37"/>
      <c r="D1641" s="49"/>
    </row>
    <row r="1642">
      <c r="B1642" s="37"/>
      <c r="C1642" s="37"/>
      <c r="D1642" s="49"/>
    </row>
    <row r="1643">
      <c r="B1643" s="37"/>
      <c r="C1643" s="37"/>
      <c r="D1643" s="49"/>
    </row>
    <row r="1644">
      <c r="B1644" s="37"/>
      <c r="C1644" s="37"/>
      <c r="D1644" s="49"/>
    </row>
    <row r="1645">
      <c r="B1645" s="37"/>
      <c r="C1645" s="37"/>
      <c r="D1645" s="49"/>
    </row>
    <row r="1646">
      <c r="B1646" s="37"/>
      <c r="C1646" s="37"/>
      <c r="D1646" s="49"/>
    </row>
    <row r="1647">
      <c r="B1647" s="37"/>
      <c r="C1647" s="37"/>
      <c r="D1647" s="49"/>
    </row>
    <row r="1648">
      <c r="B1648" s="37"/>
      <c r="C1648" s="37"/>
      <c r="D1648" s="49"/>
    </row>
    <row r="1649">
      <c r="B1649" s="37"/>
      <c r="C1649" s="37"/>
      <c r="D1649" s="49"/>
    </row>
    <row r="1650">
      <c r="B1650" s="37"/>
      <c r="C1650" s="37"/>
      <c r="D1650" s="49"/>
    </row>
    <row r="1651">
      <c r="B1651" s="37"/>
      <c r="C1651" s="37"/>
      <c r="D1651" s="49"/>
    </row>
    <row r="1652">
      <c r="B1652" s="37"/>
      <c r="C1652" s="37"/>
      <c r="D1652" s="49"/>
    </row>
    <row r="1653">
      <c r="B1653" s="37"/>
      <c r="C1653" s="37"/>
      <c r="D1653" s="49"/>
    </row>
    <row r="1654">
      <c r="B1654" s="37"/>
      <c r="C1654" s="37"/>
      <c r="D1654" s="49"/>
    </row>
    <row r="1655">
      <c r="B1655" s="37"/>
      <c r="C1655" s="37"/>
      <c r="D1655" s="49"/>
    </row>
    <row r="1656">
      <c r="B1656" s="37"/>
      <c r="C1656" s="37"/>
      <c r="D1656" s="49"/>
    </row>
    <row r="1657">
      <c r="B1657" s="37"/>
      <c r="C1657" s="37"/>
      <c r="D1657" s="49"/>
    </row>
    <row r="1658">
      <c r="B1658" s="37"/>
      <c r="C1658" s="37"/>
      <c r="D1658" s="49"/>
    </row>
    <row r="1659">
      <c r="B1659" s="37"/>
      <c r="C1659" s="37"/>
      <c r="D1659" s="49"/>
    </row>
    <row r="1660">
      <c r="B1660" s="37"/>
      <c r="C1660" s="37"/>
      <c r="D1660" s="49"/>
    </row>
    <row r="1661">
      <c r="B1661" s="37"/>
      <c r="C1661" s="37"/>
      <c r="D1661" s="49"/>
    </row>
    <row r="1662">
      <c r="B1662" s="37"/>
      <c r="C1662" s="37"/>
      <c r="D1662" s="49"/>
    </row>
    <row r="1663">
      <c r="B1663" s="37"/>
      <c r="C1663" s="37"/>
      <c r="D1663" s="49"/>
    </row>
    <row r="1664">
      <c r="B1664" s="37"/>
      <c r="C1664" s="37"/>
      <c r="D1664" s="49"/>
    </row>
    <row r="1665">
      <c r="B1665" s="37"/>
      <c r="C1665" s="37"/>
      <c r="D1665" s="49"/>
    </row>
    <row r="1666">
      <c r="B1666" s="37"/>
      <c r="C1666" s="37"/>
      <c r="D1666" s="49"/>
    </row>
    <row r="1667">
      <c r="B1667" s="37"/>
      <c r="C1667" s="37"/>
      <c r="D1667" s="49"/>
    </row>
    <row r="1668">
      <c r="B1668" s="37"/>
      <c r="C1668" s="37"/>
      <c r="D1668" s="49"/>
    </row>
    <row r="1669">
      <c r="B1669" s="37"/>
      <c r="C1669" s="37"/>
      <c r="D1669" s="49"/>
    </row>
    <row r="1670">
      <c r="B1670" s="37"/>
      <c r="C1670" s="37"/>
      <c r="D1670" s="49"/>
    </row>
    <row r="1671">
      <c r="B1671" s="37"/>
      <c r="C1671" s="37"/>
      <c r="D1671" s="49"/>
    </row>
    <row r="1672">
      <c r="B1672" s="37"/>
      <c r="C1672" s="37"/>
      <c r="D1672" s="49"/>
    </row>
    <row r="1673">
      <c r="B1673" s="37"/>
      <c r="C1673" s="37"/>
      <c r="D1673" s="49"/>
    </row>
    <row r="1674">
      <c r="B1674" s="37"/>
      <c r="C1674" s="37"/>
      <c r="D1674" s="49"/>
    </row>
    <row r="1675">
      <c r="B1675" s="37"/>
      <c r="C1675" s="37"/>
      <c r="D1675" s="49"/>
    </row>
    <row r="1676">
      <c r="B1676" s="37"/>
      <c r="C1676" s="37"/>
      <c r="D1676" s="49"/>
    </row>
    <row r="1677">
      <c r="B1677" s="37"/>
      <c r="C1677" s="37"/>
      <c r="D1677" s="49"/>
    </row>
    <row r="1678">
      <c r="B1678" s="37"/>
      <c r="C1678" s="37"/>
      <c r="D1678" s="49"/>
    </row>
    <row r="1679">
      <c r="B1679" s="37"/>
      <c r="C1679" s="37"/>
      <c r="D1679" s="49"/>
    </row>
    <row r="1680">
      <c r="B1680" s="37"/>
      <c r="C1680" s="37"/>
      <c r="D1680" s="49"/>
    </row>
    <row r="1681">
      <c r="B1681" s="37"/>
      <c r="C1681" s="37"/>
      <c r="D1681" s="49"/>
    </row>
    <row r="1682">
      <c r="B1682" s="37"/>
      <c r="C1682" s="37"/>
      <c r="D1682" s="49"/>
    </row>
    <row r="1683">
      <c r="B1683" s="37"/>
      <c r="C1683" s="37"/>
      <c r="D1683" s="49"/>
    </row>
    <row r="1684">
      <c r="B1684" s="37"/>
      <c r="C1684" s="37"/>
      <c r="D1684" s="49"/>
    </row>
    <row r="1685">
      <c r="B1685" s="37"/>
      <c r="C1685" s="37"/>
      <c r="D1685" s="49"/>
    </row>
    <row r="1686">
      <c r="B1686" s="37"/>
      <c r="C1686" s="37"/>
      <c r="D1686" s="49"/>
    </row>
    <row r="1687">
      <c r="B1687" s="37"/>
      <c r="C1687" s="37"/>
      <c r="D1687" s="49"/>
    </row>
    <row r="1688">
      <c r="B1688" s="37"/>
      <c r="C1688" s="37"/>
      <c r="D1688" s="49"/>
    </row>
    <row r="1689">
      <c r="B1689" s="37"/>
      <c r="C1689" s="37"/>
      <c r="D1689" s="49"/>
    </row>
    <row r="1690">
      <c r="B1690" s="37"/>
      <c r="C1690" s="37"/>
      <c r="D1690" s="49"/>
    </row>
    <row r="1691">
      <c r="B1691" s="37"/>
      <c r="C1691" s="37"/>
      <c r="D1691" s="49"/>
    </row>
    <row r="1692">
      <c r="B1692" s="37"/>
      <c r="C1692" s="37"/>
      <c r="D1692" s="49"/>
    </row>
    <row r="1693">
      <c r="B1693" s="37"/>
      <c r="C1693" s="37"/>
      <c r="D1693" s="49"/>
    </row>
    <row r="1694">
      <c r="B1694" s="37"/>
      <c r="C1694" s="37"/>
      <c r="D1694" s="49"/>
    </row>
    <row r="1695">
      <c r="B1695" s="37"/>
      <c r="C1695" s="37"/>
      <c r="D1695" s="49"/>
    </row>
    <row r="1696">
      <c r="B1696" s="37"/>
      <c r="C1696" s="37"/>
      <c r="D1696" s="49"/>
    </row>
    <row r="1697">
      <c r="B1697" s="37"/>
      <c r="C1697" s="37"/>
      <c r="D1697" s="49"/>
    </row>
    <row r="1698">
      <c r="B1698" s="37"/>
      <c r="C1698" s="37"/>
      <c r="D1698" s="49"/>
    </row>
    <row r="1699">
      <c r="B1699" s="37"/>
      <c r="C1699" s="37"/>
      <c r="D1699" s="49"/>
    </row>
    <row r="1700">
      <c r="B1700" s="37"/>
      <c r="C1700" s="37"/>
      <c r="D1700" s="49"/>
    </row>
    <row r="1701">
      <c r="B1701" s="37"/>
      <c r="C1701" s="37"/>
      <c r="D1701" s="49"/>
    </row>
    <row r="1702">
      <c r="B1702" s="37"/>
      <c r="C1702" s="37"/>
      <c r="D1702" s="49"/>
    </row>
    <row r="1703">
      <c r="B1703" s="37"/>
      <c r="C1703" s="37"/>
      <c r="D1703" s="49"/>
    </row>
    <row r="1704">
      <c r="B1704" s="37"/>
      <c r="C1704" s="37"/>
      <c r="D1704" s="49"/>
    </row>
    <row r="1705">
      <c r="B1705" s="37"/>
      <c r="C1705" s="37"/>
      <c r="D1705" s="49"/>
    </row>
    <row r="1706">
      <c r="B1706" s="37"/>
      <c r="C1706" s="37"/>
      <c r="D1706" s="49"/>
    </row>
    <row r="1707">
      <c r="B1707" s="37"/>
      <c r="C1707" s="37"/>
      <c r="D1707" s="49"/>
    </row>
    <row r="1708">
      <c r="B1708" s="37"/>
      <c r="C1708" s="37"/>
      <c r="D1708" s="49"/>
    </row>
    <row r="1709">
      <c r="B1709" s="37"/>
      <c r="C1709" s="37"/>
      <c r="D1709" s="49"/>
    </row>
    <row r="1710">
      <c r="B1710" s="37"/>
      <c r="C1710" s="37"/>
      <c r="D1710" s="49"/>
    </row>
    <row r="1711">
      <c r="B1711" s="37"/>
      <c r="C1711" s="37"/>
      <c r="D1711" s="49"/>
    </row>
    <row r="1712">
      <c r="B1712" s="37"/>
      <c r="C1712" s="37"/>
      <c r="D1712" s="49"/>
    </row>
    <row r="1713">
      <c r="B1713" s="37"/>
      <c r="C1713" s="37"/>
      <c r="D1713" s="49"/>
    </row>
    <row r="1714">
      <c r="B1714" s="37"/>
      <c r="C1714" s="37"/>
      <c r="D1714" s="49"/>
    </row>
    <row r="1715">
      <c r="B1715" s="37"/>
      <c r="C1715" s="37"/>
      <c r="D1715" s="49"/>
    </row>
    <row r="1716">
      <c r="B1716" s="37"/>
      <c r="C1716" s="37"/>
      <c r="D1716" s="49"/>
    </row>
    <row r="1717">
      <c r="B1717" s="37"/>
      <c r="C1717" s="37"/>
      <c r="D1717" s="49"/>
    </row>
    <row r="1718">
      <c r="B1718" s="37"/>
      <c r="C1718" s="37"/>
      <c r="D1718" s="49"/>
    </row>
    <row r="1719">
      <c r="B1719" s="37"/>
      <c r="C1719" s="37"/>
      <c r="D1719" s="49"/>
    </row>
    <row r="1720">
      <c r="B1720" s="37"/>
      <c r="C1720" s="37"/>
      <c r="D1720" s="49"/>
    </row>
    <row r="1721">
      <c r="B1721" s="37"/>
      <c r="C1721" s="37"/>
      <c r="D1721" s="49"/>
    </row>
    <row r="1722">
      <c r="B1722" s="37"/>
      <c r="C1722" s="37"/>
      <c r="D1722" s="49"/>
    </row>
    <row r="1723">
      <c r="B1723" s="37"/>
      <c r="C1723" s="37"/>
      <c r="D1723" s="49"/>
    </row>
    <row r="1724">
      <c r="B1724" s="37"/>
      <c r="C1724" s="37"/>
      <c r="D1724" s="49"/>
    </row>
    <row r="1725">
      <c r="B1725" s="37"/>
      <c r="C1725" s="37"/>
      <c r="D1725" s="49"/>
    </row>
    <row r="1726">
      <c r="B1726" s="37"/>
      <c r="C1726" s="37"/>
      <c r="D1726" s="49"/>
    </row>
    <row r="1727">
      <c r="B1727" s="37"/>
      <c r="C1727" s="37"/>
      <c r="D1727" s="49"/>
    </row>
    <row r="1728">
      <c r="B1728" s="37"/>
      <c r="C1728" s="37"/>
      <c r="D1728" s="49"/>
    </row>
    <row r="1729">
      <c r="B1729" s="37"/>
      <c r="C1729" s="37"/>
      <c r="D1729" s="49"/>
    </row>
    <row r="1730">
      <c r="B1730" s="37"/>
      <c r="C1730" s="37"/>
      <c r="D1730" s="49"/>
    </row>
    <row r="1731">
      <c r="B1731" s="37"/>
      <c r="C1731" s="37"/>
      <c r="D1731" s="49"/>
    </row>
    <row r="1732">
      <c r="B1732" s="37"/>
      <c r="C1732" s="37"/>
      <c r="D1732" s="49"/>
    </row>
    <row r="1733">
      <c r="B1733" s="37"/>
      <c r="C1733" s="37"/>
      <c r="D1733" s="49"/>
    </row>
    <row r="1734">
      <c r="B1734" s="37"/>
      <c r="C1734" s="37"/>
      <c r="D1734" s="49"/>
    </row>
    <row r="1735">
      <c r="B1735" s="37"/>
      <c r="C1735" s="37"/>
      <c r="D1735" s="49"/>
    </row>
    <row r="1736">
      <c r="B1736" s="37"/>
      <c r="C1736" s="37"/>
      <c r="D1736" s="49"/>
    </row>
    <row r="1737">
      <c r="B1737" s="37"/>
      <c r="C1737" s="37"/>
      <c r="D1737" s="49"/>
    </row>
    <row r="1738">
      <c r="B1738" s="37"/>
      <c r="C1738" s="37"/>
      <c r="D1738" s="49"/>
    </row>
    <row r="1739">
      <c r="B1739" s="37"/>
      <c r="C1739" s="37"/>
      <c r="D1739" s="49"/>
    </row>
    <row r="1740">
      <c r="B1740" s="37"/>
      <c r="C1740" s="37"/>
      <c r="D1740" s="49"/>
    </row>
    <row r="1741">
      <c r="B1741" s="37"/>
      <c r="C1741" s="37"/>
      <c r="D1741" s="49"/>
    </row>
    <row r="1742">
      <c r="B1742" s="37"/>
      <c r="C1742" s="37"/>
      <c r="D1742" s="49"/>
    </row>
    <row r="1743">
      <c r="B1743" s="37"/>
      <c r="C1743" s="37"/>
      <c r="D1743" s="49"/>
    </row>
    <row r="1744">
      <c r="B1744" s="37"/>
      <c r="C1744" s="37"/>
      <c r="D1744" s="49"/>
    </row>
    <row r="1745">
      <c r="B1745" s="37"/>
      <c r="C1745" s="37"/>
      <c r="D1745" s="49"/>
    </row>
    <row r="1746">
      <c r="B1746" s="37"/>
      <c r="C1746" s="37"/>
      <c r="D1746" s="49"/>
    </row>
    <row r="1747">
      <c r="B1747" s="37"/>
      <c r="C1747" s="37"/>
      <c r="D1747" s="49"/>
    </row>
    <row r="1748">
      <c r="B1748" s="37"/>
      <c r="C1748" s="37"/>
      <c r="D1748" s="49"/>
    </row>
    <row r="1749">
      <c r="B1749" s="37"/>
      <c r="C1749" s="37"/>
      <c r="D1749" s="49"/>
    </row>
    <row r="1750">
      <c r="B1750" s="37"/>
      <c r="C1750" s="37"/>
      <c r="D1750" s="49"/>
    </row>
    <row r="1751">
      <c r="B1751" s="37"/>
      <c r="C1751" s="37"/>
      <c r="D1751" s="49"/>
    </row>
    <row r="1752">
      <c r="B1752" s="37"/>
      <c r="C1752" s="37"/>
      <c r="D1752" s="49"/>
    </row>
    <row r="1753">
      <c r="B1753" s="37"/>
      <c r="C1753" s="37"/>
      <c r="D1753" s="49"/>
    </row>
    <row r="1754">
      <c r="B1754" s="37"/>
      <c r="C1754" s="37"/>
      <c r="D1754" s="49"/>
    </row>
    <row r="1755">
      <c r="B1755" s="37"/>
      <c r="C1755" s="37"/>
      <c r="D1755" s="49"/>
    </row>
    <row r="1756">
      <c r="B1756" s="37"/>
      <c r="C1756" s="37"/>
      <c r="D1756" s="49"/>
    </row>
    <row r="1757">
      <c r="B1757" s="37"/>
      <c r="C1757" s="37"/>
      <c r="D1757" s="49"/>
    </row>
    <row r="1758">
      <c r="B1758" s="37"/>
      <c r="C1758" s="37"/>
      <c r="D1758" s="49"/>
    </row>
    <row r="1759">
      <c r="B1759" s="37"/>
      <c r="C1759" s="37"/>
      <c r="D1759" s="49"/>
    </row>
    <row r="1760">
      <c r="B1760" s="37"/>
      <c r="C1760" s="37"/>
      <c r="D1760" s="49"/>
    </row>
    <row r="1761">
      <c r="B1761" s="37"/>
      <c r="C1761" s="37"/>
      <c r="D1761" s="49"/>
    </row>
    <row r="1762">
      <c r="B1762" s="37"/>
      <c r="C1762" s="37"/>
      <c r="D1762" s="49"/>
    </row>
    <row r="1763">
      <c r="B1763" s="37"/>
      <c r="C1763" s="37"/>
      <c r="D1763" s="49"/>
    </row>
    <row r="1764">
      <c r="B1764" s="37"/>
      <c r="C1764" s="37"/>
      <c r="D1764" s="49"/>
    </row>
    <row r="1765">
      <c r="B1765" s="37"/>
      <c r="C1765" s="37"/>
      <c r="D1765" s="49"/>
    </row>
    <row r="1766">
      <c r="B1766" s="37"/>
      <c r="C1766" s="37"/>
      <c r="D1766" s="49"/>
    </row>
    <row r="1767">
      <c r="B1767" s="37"/>
      <c r="C1767" s="37"/>
      <c r="D1767" s="49"/>
    </row>
    <row r="1768">
      <c r="B1768" s="37"/>
      <c r="C1768" s="37"/>
      <c r="D1768" s="49"/>
    </row>
    <row r="1769">
      <c r="B1769" s="37"/>
      <c r="C1769" s="37"/>
      <c r="D1769" s="49"/>
    </row>
    <row r="1770">
      <c r="B1770" s="37"/>
      <c r="C1770" s="37"/>
      <c r="D1770" s="49"/>
    </row>
    <row r="1771">
      <c r="B1771" s="37"/>
      <c r="C1771" s="37"/>
      <c r="D1771" s="49"/>
    </row>
    <row r="1772">
      <c r="B1772" s="37"/>
      <c r="C1772" s="37"/>
      <c r="D1772" s="49"/>
    </row>
    <row r="1773">
      <c r="B1773" s="37"/>
      <c r="C1773" s="37"/>
      <c r="D1773" s="49"/>
    </row>
    <row r="1774">
      <c r="B1774" s="37"/>
      <c r="C1774" s="37"/>
      <c r="D1774" s="49"/>
    </row>
    <row r="1775">
      <c r="B1775" s="37"/>
      <c r="C1775" s="37"/>
      <c r="D1775" s="49"/>
    </row>
    <row r="1776">
      <c r="B1776" s="37"/>
      <c r="C1776" s="37"/>
      <c r="D1776" s="49"/>
    </row>
    <row r="1777">
      <c r="B1777" s="37"/>
      <c r="C1777" s="37"/>
      <c r="D1777" s="49"/>
    </row>
    <row r="1778">
      <c r="B1778" s="37"/>
      <c r="C1778" s="37"/>
      <c r="D1778" s="49"/>
    </row>
    <row r="1779">
      <c r="B1779" s="37"/>
      <c r="C1779" s="37"/>
      <c r="D1779" s="49"/>
    </row>
    <row r="1780">
      <c r="B1780" s="37"/>
      <c r="C1780" s="37"/>
      <c r="D1780" s="49"/>
    </row>
    <row r="1781">
      <c r="B1781" s="37"/>
      <c r="C1781" s="37"/>
      <c r="D1781" s="49"/>
    </row>
    <row r="1782">
      <c r="B1782" s="37"/>
      <c r="C1782" s="37"/>
      <c r="D1782" s="49"/>
    </row>
    <row r="1783">
      <c r="B1783" s="37"/>
      <c r="C1783" s="37"/>
      <c r="D1783" s="49"/>
    </row>
    <row r="1784">
      <c r="B1784" s="37"/>
      <c r="C1784" s="37"/>
      <c r="D1784" s="49"/>
    </row>
    <row r="1785">
      <c r="B1785" s="37"/>
      <c r="C1785" s="37"/>
      <c r="D1785" s="49"/>
    </row>
    <row r="1786">
      <c r="B1786" s="37"/>
      <c r="C1786" s="37"/>
      <c r="D1786" s="49"/>
    </row>
    <row r="1787">
      <c r="B1787" s="37"/>
      <c r="C1787" s="37"/>
      <c r="D1787" s="49"/>
    </row>
    <row r="1788">
      <c r="B1788" s="37"/>
      <c r="C1788" s="37"/>
      <c r="D1788" s="49"/>
    </row>
    <row r="1789">
      <c r="B1789" s="37"/>
      <c r="C1789" s="37"/>
      <c r="D1789" s="49"/>
    </row>
    <row r="1790">
      <c r="B1790" s="37"/>
      <c r="C1790" s="37"/>
      <c r="D1790" s="49"/>
    </row>
    <row r="1791">
      <c r="B1791" s="37"/>
      <c r="C1791" s="37"/>
      <c r="D1791" s="49"/>
    </row>
    <row r="1792">
      <c r="B1792" s="37"/>
      <c r="C1792" s="37"/>
      <c r="D1792" s="49"/>
    </row>
    <row r="1793">
      <c r="B1793" s="37"/>
      <c r="C1793" s="37"/>
      <c r="D1793" s="49"/>
    </row>
    <row r="1794">
      <c r="B1794" s="37"/>
      <c r="C1794" s="37"/>
      <c r="D1794" s="49"/>
    </row>
    <row r="1795">
      <c r="B1795" s="37"/>
      <c r="C1795" s="37"/>
      <c r="D1795" s="49"/>
    </row>
    <row r="1796">
      <c r="B1796" s="37"/>
      <c r="C1796" s="37"/>
      <c r="D1796" s="49"/>
    </row>
    <row r="1797">
      <c r="B1797" s="37"/>
      <c r="C1797" s="37"/>
      <c r="D1797" s="49"/>
    </row>
    <row r="1798">
      <c r="B1798" s="37"/>
      <c r="C1798" s="37"/>
      <c r="D1798" s="49"/>
    </row>
    <row r="1799">
      <c r="B1799" s="37"/>
      <c r="C1799" s="37"/>
      <c r="D1799" s="49"/>
    </row>
    <row r="1800">
      <c r="B1800" s="37"/>
      <c r="C1800" s="37"/>
      <c r="D1800" s="49"/>
    </row>
    <row r="1801">
      <c r="B1801" s="37"/>
      <c r="C1801" s="37"/>
      <c r="D1801" s="49"/>
    </row>
    <row r="1802">
      <c r="B1802" s="37"/>
      <c r="C1802" s="37"/>
      <c r="D1802" s="49"/>
    </row>
    <row r="1803">
      <c r="B1803" s="37"/>
      <c r="C1803" s="37"/>
      <c r="D1803" s="49"/>
    </row>
    <row r="1804">
      <c r="B1804" s="37"/>
      <c r="C1804" s="37"/>
      <c r="D1804" s="49"/>
    </row>
    <row r="1805">
      <c r="B1805" s="37"/>
      <c r="C1805" s="37"/>
      <c r="D1805" s="49"/>
    </row>
    <row r="1806">
      <c r="B1806" s="37"/>
      <c r="C1806" s="37"/>
      <c r="D1806" s="49"/>
    </row>
    <row r="1807">
      <c r="B1807" s="37"/>
      <c r="C1807" s="37"/>
      <c r="D1807" s="49"/>
    </row>
    <row r="1808">
      <c r="B1808" s="37"/>
      <c r="C1808" s="37"/>
      <c r="D1808" s="49"/>
    </row>
    <row r="1809">
      <c r="B1809" s="37"/>
      <c r="C1809" s="37"/>
      <c r="D1809" s="49"/>
    </row>
    <row r="1810">
      <c r="B1810" s="37"/>
      <c r="C1810" s="37"/>
      <c r="D1810" s="49"/>
    </row>
    <row r="1811">
      <c r="B1811" s="37"/>
      <c r="C1811" s="37"/>
      <c r="D1811" s="49"/>
    </row>
    <row r="1812">
      <c r="B1812" s="37"/>
      <c r="C1812" s="37"/>
      <c r="D1812" s="49"/>
    </row>
    <row r="1813">
      <c r="B1813" s="37"/>
      <c r="C1813" s="37"/>
      <c r="D1813" s="49"/>
    </row>
    <row r="1814">
      <c r="B1814" s="37"/>
      <c r="C1814" s="37"/>
      <c r="D1814" s="49"/>
    </row>
    <row r="1815">
      <c r="B1815" s="37"/>
      <c r="C1815" s="37"/>
      <c r="D1815" s="49"/>
    </row>
    <row r="1816">
      <c r="B1816" s="37"/>
      <c r="C1816" s="37"/>
      <c r="D1816" s="49"/>
    </row>
    <row r="1817">
      <c r="B1817" s="37"/>
      <c r="C1817" s="37"/>
      <c r="D1817" s="49"/>
    </row>
    <row r="1818">
      <c r="B1818" s="37"/>
      <c r="C1818" s="37"/>
      <c r="D1818" s="49"/>
    </row>
    <row r="1819">
      <c r="B1819" s="37"/>
      <c r="C1819" s="37"/>
      <c r="D1819" s="49"/>
    </row>
    <row r="1820">
      <c r="B1820" s="37"/>
      <c r="C1820" s="37"/>
      <c r="D1820" s="49"/>
    </row>
    <row r="1821">
      <c r="B1821" s="37"/>
      <c r="C1821" s="37"/>
      <c r="D1821" s="49"/>
    </row>
    <row r="1822">
      <c r="B1822" s="37"/>
      <c r="C1822" s="37"/>
      <c r="D1822" s="49"/>
    </row>
    <row r="1823">
      <c r="B1823" s="37"/>
      <c r="C1823" s="37"/>
      <c r="D1823" s="49"/>
    </row>
    <row r="1824">
      <c r="B1824" s="37"/>
      <c r="C1824" s="37"/>
      <c r="D1824" s="49"/>
    </row>
    <row r="1825">
      <c r="B1825" s="37"/>
      <c r="C1825" s="37"/>
      <c r="D1825" s="49"/>
    </row>
    <row r="1826">
      <c r="B1826" s="37"/>
      <c r="C1826" s="37"/>
      <c r="D1826" s="49"/>
    </row>
    <row r="1827">
      <c r="B1827" s="37"/>
      <c r="C1827" s="37"/>
      <c r="D1827" s="49"/>
    </row>
    <row r="1828">
      <c r="B1828" s="37"/>
      <c r="C1828" s="37"/>
      <c r="D1828" s="49"/>
    </row>
    <row r="1829">
      <c r="B1829" s="37"/>
      <c r="C1829" s="37"/>
      <c r="D1829" s="49"/>
    </row>
    <row r="1830">
      <c r="B1830" s="37"/>
      <c r="C1830" s="37"/>
      <c r="D1830" s="49"/>
    </row>
    <row r="1831">
      <c r="B1831" s="37"/>
      <c r="C1831" s="37"/>
      <c r="D1831" s="49"/>
    </row>
    <row r="1832">
      <c r="B1832" s="37"/>
      <c r="C1832" s="37"/>
      <c r="D1832" s="49"/>
    </row>
    <row r="1833">
      <c r="B1833" s="37"/>
      <c r="C1833" s="37"/>
      <c r="D1833" s="49"/>
    </row>
    <row r="1834">
      <c r="B1834" s="37"/>
      <c r="C1834" s="37"/>
      <c r="D1834" s="49"/>
    </row>
    <row r="1835">
      <c r="B1835" s="37"/>
      <c r="C1835" s="37"/>
      <c r="D1835" s="49"/>
    </row>
    <row r="1836">
      <c r="B1836" s="37"/>
      <c r="C1836" s="37"/>
      <c r="D1836" s="49"/>
    </row>
    <row r="1837">
      <c r="B1837" s="37"/>
      <c r="C1837" s="37"/>
      <c r="D1837" s="49"/>
    </row>
    <row r="1838">
      <c r="B1838" s="37"/>
      <c r="C1838" s="37"/>
      <c r="D1838" s="49"/>
    </row>
    <row r="1839">
      <c r="B1839" s="37"/>
      <c r="C1839" s="37"/>
      <c r="D1839" s="49"/>
    </row>
    <row r="1840">
      <c r="B1840" s="37"/>
      <c r="C1840" s="37"/>
      <c r="D1840" s="49"/>
    </row>
    <row r="1841">
      <c r="B1841" s="37"/>
      <c r="C1841" s="37"/>
      <c r="D1841" s="49"/>
    </row>
    <row r="1842">
      <c r="B1842" s="37"/>
      <c r="C1842" s="37"/>
      <c r="D1842" s="49"/>
    </row>
    <row r="1843">
      <c r="B1843" s="37"/>
      <c r="C1843" s="37"/>
      <c r="D1843" s="49"/>
    </row>
    <row r="1844">
      <c r="B1844" s="37"/>
      <c r="C1844" s="37"/>
      <c r="D1844" s="49"/>
    </row>
    <row r="1845">
      <c r="B1845" s="37"/>
      <c r="C1845" s="37"/>
      <c r="D1845" s="49"/>
    </row>
    <row r="1846">
      <c r="B1846" s="37"/>
      <c r="C1846" s="37"/>
      <c r="D1846" s="49"/>
    </row>
    <row r="1847">
      <c r="B1847" s="37"/>
      <c r="C1847" s="37"/>
      <c r="D1847" s="49"/>
    </row>
    <row r="1848">
      <c r="B1848" s="37"/>
      <c r="C1848" s="37"/>
      <c r="D1848" s="49"/>
    </row>
    <row r="1849">
      <c r="B1849" s="37"/>
      <c r="C1849" s="37"/>
      <c r="D1849" s="49"/>
    </row>
    <row r="1850">
      <c r="B1850" s="37"/>
      <c r="C1850" s="37"/>
      <c r="D1850" s="49"/>
    </row>
    <row r="1851">
      <c r="B1851" s="37"/>
      <c r="C1851" s="37"/>
      <c r="D1851" s="49"/>
    </row>
    <row r="1852">
      <c r="B1852" s="37"/>
      <c r="C1852" s="37"/>
      <c r="D1852" s="49"/>
    </row>
    <row r="1853">
      <c r="B1853" s="37"/>
      <c r="C1853" s="37"/>
      <c r="D1853" s="49"/>
    </row>
    <row r="1854">
      <c r="B1854" s="37"/>
      <c r="C1854" s="37"/>
      <c r="D1854" s="49"/>
    </row>
    <row r="1855">
      <c r="B1855" s="37"/>
      <c r="C1855" s="37"/>
      <c r="D1855" s="49"/>
    </row>
    <row r="1856">
      <c r="B1856" s="37"/>
      <c r="C1856" s="37"/>
      <c r="D1856" s="49"/>
    </row>
    <row r="1857">
      <c r="B1857" s="37"/>
      <c r="C1857" s="37"/>
      <c r="D1857" s="49"/>
    </row>
    <row r="1858">
      <c r="B1858" s="37"/>
      <c r="C1858" s="37"/>
      <c r="D1858" s="49"/>
    </row>
    <row r="1859">
      <c r="B1859" s="37"/>
      <c r="C1859" s="37"/>
      <c r="D1859" s="49"/>
    </row>
    <row r="1860">
      <c r="B1860" s="37"/>
      <c r="C1860" s="37"/>
      <c r="D1860" s="49"/>
    </row>
    <row r="1861">
      <c r="B1861" s="37"/>
      <c r="C1861" s="37"/>
      <c r="D1861" s="49"/>
    </row>
    <row r="1862">
      <c r="B1862" s="37"/>
      <c r="C1862" s="37"/>
      <c r="D1862" s="49"/>
    </row>
    <row r="1863">
      <c r="B1863" s="37"/>
      <c r="C1863" s="37"/>
      <c r="D1863" s="49"/>
    </row>
    <row r="1864">
      <c r="B1864" s="37"/>
      <c r="C1864" s="37"/>
      <c r="D1864" s="49"/>
    </row>
    <row r="1865">
      <c r="B1865" s="37"/>
      <c r="C1865" s="37"/>
      <c r="D1865" s="49"/>
    </row>
    <row r="1866">
      <c r="B1866" s="37"/>
      <c r="C1866" s="37"/>
      <c r="D1866" s="49"/>
    </row>
    <row r="1867">
      <c r="B1867" s="37"/>
      <c r="C1867" s="37"/>
      <c r="D1867" s="49"/>
    </row>
    <row r="1868">
      <c r="B1868" s="37"/>
      <c r="C1868" s="37"/>
      <c r="D1868" s="49"/>
    </row>
    <row r="1869">
      <c r="B1869" s="37"/>
      <c r="C1869" s="37"/>
      <c r="D1869" s="49"/>
    </row>
    <row r="1870">
      <c r="B1870" s="37"/>
      <c r="C1870" s="37"/>
      <c r="D1870" s="49"/>
    </row>
    <row r="1871">
      <c r="B1871" s="37"/>
      <c r="C1871" s="37"/>
      <c r="D1871" s="49"/>
    </row>
    <row r="1872">
      <c r="B1872" s="37"/>
      <c r="C1872" s="37"/>
      <c r="D1872" s="49"/>
    </row>
    <row r="1873">
      <c r="B1873" s="37"/>
      <c r="C1873" s="37"/>
      <c r="D1873" s="49"/>
    </row>
    <row r="1874">
      <c r="B1874" s="37"/>
      <c r="C1874" s="37"/>
      <c r="D1874" s="49"/>
    </row>
    <row r="1875">
      <c r="B1875" s="37"/>
      <c r="C1875" s="37"/>
      <c r="D1875" s="49"/>
    </row>
    <row r="1876">
      <c r="B1876" s="37"/>
      <c r="C1876" s="37"/>
      <c r="D1876" s="49"/>
    </row>
    <row r="1877">
      <c r="B1877" s="37"/>
      <c r="C1877" s="37"/>
      <c r="D1877" s="49"/>
    </row>
    <row r="1878">
      <c r="B1878" s="37"/>
      <c r="C1878" s="37"/>
      <c r="D1878" s="49"/>
    </row>
    <row r="1879">
      <c r="B1879" s="37"/>
      <c r="C1879" s="37"/>
      <c r="D1879" s="49"/>
    </row>
    <row r="1880">
      <c r="B1880" s="37"/>
      <c r="C1880" s="37"/>
      <c r="D1880" s="49"/>
    </row>
    <row r="1881">
      <c r="B1881" s="37"/>
      <c r="C1881" s="37"/>
      <c r="D1881" s="49"/>
    </row>
    <row r="1882">
      <c r="B1882" s="37"/>
      <c r="C1882" s="37"/>
      <c r="D1882" s="49"/>
    </row>
    <row r="1883">
      <c r="B1883" s="37"/>
      <c r="C1883" s="37"/>
      <c r="D1883" s="49"/>
    </row>
    <row r="1884">
      <c r="B1884" s="37"/>
      <c r="C1884" s="37"/>
      <c r="D1884" s="49"/>
    </row>
    <row r="1885">
      <c r="B1885" s="37"/>
      <c r="C1885" s="37"/>
      <c r="D1885" s="49"/>
    </row>
    <row r="1886">
      <c r="B1886" s="37"/>
      <c r="C1886" s="37"/>
      <c r="D1886" s="49"/>
    </row>
    <row r="1887">
      <c r="B1887" s="37"/>
      <c r="C1887" s="37"/>
      <c r="D1887" s="49"/>
    </row>
    <row r="1888">
      <c r="B1888" s="37"/>
      <c r="C1888" s="37"/>
      <c r="D1888" s="49"/>
    </row>
    <row r="1889">
      <c r="B1889" s="37"/>
      <c r="C1889" s="37"/>
      <c r="D1889" s="49"/>
    </row>
    <row r="1890">
      <c r="B1890" s="37"/>
      <c r="C1890" s="37"/>
      <c r="D1890" s="49"/>
    </row>
    <row r="1891">
      <c r="B1891" s="37"/>
      <c r="C1891" s="37"/>
      <c r="D1891" s="49"/>
    </row>
    <row r="1892">
      <c r="B1892" s="37"/>
      <c r="C1892" s="37"/>
      <c r="D1892" s="49"/>
    </row>
    <row r="1893">
      <c r="B1893" s="37"/>
      <c r="C1893" s="37"/>
      <c r="D1893" s="49"/>
    </row>
    <row r="1894">
      <c r="B1894" s="37"/>
      <c r="C1894" s="37"/>
      <c r="D1894" s="49"/>
    </row>
    <row r="1895">
      <c r="B1895" s="37"/>
      <c r="C1895" s="37"/>
      <c r="D1895" s="49"/>
    </row>
    <row r="1896">
      <c r="B1896" s="37"/>
      <c r="C1896" s="37"/>
      <c r="D1896" s="49"/>
    </row>
    <row r="1897">
      <c r="B1897" s="37"/>
      <c r="C1897" s="37"/>
      <c r="D1897" s="49"/>
    </row>
    <row r="1898">
      <c r="B1898" s="37"/>
      <c r="C1898" s="37"/>
      <c r="D1898" s="49"/>
    </row>
    <row r="1899">
      <c r="B1899" s="37"/>
      <c r="C1899" s="37"/>
      <c r="D1899" s="49"/>
    </row>
    <row r="1900">
      <c r="B1900" s="37"/>
      <c r="C1900" s="37"/>
      <c r="D1900" s="49"/>
    </row>
    <row r="1901">
      <c r="B1901" s="37"/>
      <c r="C1901" s="37"/>
      <c r="D1901" s="49"/>
    </row>
    <row r="1902">
      <c r="B1902" s="37"/>
      <c r="C1902" s="37"/>
      <c r="D1902" s="49"/>
    </row>
    <row r="1903">
      <c r="B1903" s="37"/>
      <c r="C1903" s="37"/>
      <c r="D1903" s="49"/>
    </row>
    <row r="1904">
      <c r="B1904" s="37"/>
      <c r="C1904" s="37"/>
      <c r="D1904" s="49"/>
    </row>
    <row r="1905">
      <c r="B1905" s="37"/>
      <c r="C1905" s="37"/>
      <c r="D1905" s="49"/>
    </row>
    <row r="1906">
      <c r="B1906" s="37"/>
      <c r="C1906" s="37"/>
      <c r="D1906" s="49"/>
    </row>
    <row r="1907">
      <c r="B1907" s="37"/>
      <c r="C1907" s="37"/>
      <c r="D1907" s="49"/>
    </row>
    <row r="1908">
      <c r="B1908" s="37"/>
      <c r="C1908" s="37"/>
      <c r="D1908" s="49"/>
    </row>
    <row r="1909">
      <c r="B1909" s="37"/>
      <c r="C1909" s="37"/>
      <c r="D1909" s="49"/>
    </row>
    <row r="1910">
      <c r="B1910" s="37"/>
      <c r="C1910" s="37"/>
      <c r="D1910" s="49"/>
    </row>
    <row r="1911">
      <c r="B1911" s="37"/>
      <c r="C1911" s="37"/>
      <c r="D1911" s="49"/>
    </row>
    <row r="1912">
      <c r="B1912" s="37"/>
      <c r="C1912" s="37"/>
      <c r="D1912" s="49"/>
    </row>
    <row r="1913">
      <c r="B1913" s="37"/>
      <c r="C1913" s="37"/>
      <c r="D1913" s="49"/>
    </row>
    <row r="1914">
      <c r="B1914" s="37"/>
      <c r="C1914" s="37"/>
      <c r="D1914" s="49"/>
    </row>
    <row r="1915">
      <c r="B1915" s="37"/>
      <c r="C1915" s="37"/>
      <c r="D1915" s="49"/>
    </row>
    <row r="1916">
      <c r="B1916" s="37"/>
      <c r="C1916" s="37"/>
      <c r="D1916" s="49"/>
    </row>
    <row r="1917">
      <c r="B1917" s="37"/>
      <c r="C1917" s="37"/>
      <c r="D1917" s="49"/>
    </row>
    <row r="1918">
      <c r="B1918" s="37"/>
      <c r="C1918" s="37"/>
      <c r="D1918" s="49"/>
    </row>
    <row r="1919">
      <c r="B1919" s="37"/>
      <c r="C1919" s="37"/>
      <c r="D1919" s="49"/>
    </row>
    <row r="1920">
      <c r="B1920" s="37"/>
      <c r="C1920" s="37"/>
      <c r="D1920" s="49"/>
    </row>
    <row r="1921">
      <c r="B1921" s="37"/>
      <c r="C1921" s="37"/>
      <c r="D1921" s="49"/>
    </row>
    <row r="1922">
      <c r="B1922" s="37"/>
      <c r="C1922" s="37"/>
      <c r="D1922" s="49"/>
    </row>
    <row r="1923">
      <c r="B1923" s="37"/>
      <c r="C1923" s="37"/>
      <c r="D1923" s="49"/>
    </row>
    <row r="1924">
      <c r="B1924" s="37"/>
      <c r="C1924" s="37"/>
      <c r="D1924" s="49"/>
    </row>
    <row r="1925">
      <c r="B1925" s="37"/>
      <c r="C1925" s="37"/>
      <c r="D1925" s="49"/>
    </row>
    <row r="1926">
      <c r="B1926" s="37"/>
      <c r="C1926" s="37"/>
      <c r="D1926" s="49"/>
    </row>
    <row r="1927">
      <c r="B1927" s="37"/>
      <c r="C1927" s="37"/>
      <c r="D1927" s="49"/>
    </row>
    <row r="1928">
      <c r="B1928" s="37"/>
      <c r="C1928" s="37"/>
      <c r="D1928" s="49"/>
    </row>
    <row r="1929">
      <c r="B1929" s="37"/>
      <c r="C1929" s="37"/>
      <c r="D1929" s="49"/>
    </row>
    <row r="1930">
      <c r="B1930" s="37"/>
      <c r="C1930" s="37"/>
      <c r="D1930" s="49"/>
    </row>
    <row r="1931">
      <c r="B1931" s="37"/>
      <c r="C1931" s="37"/>
      <c r="D1931" s="49"/>
    </row>
    <row r="1932">
      <c r="B1932" s="37"/>
      <c r="C1932" s="37"/>
      <c r="D1932" s="49"/>
    </row>
    <row r="1933">
      <c r="B1933" s="37"/>
      <c r="C1933" s="37"/>
      <c r="D1933" s="49"/>
    </row>
    <row r="1934">
      <c r="B1934" s="37"/>
      <c r="C1934" s="37"/>
      <c r="D1934" s="49"/>
    </row>
    <row r="1935">
      <c r="B1935" s="37"/>
      <c r="C1935" s="37"/>
      <c r="D1935" s="49"/>
    </row>
    <row r="1936">
      <c r="B1936" s="37"/>
      <c r="C1936" s="37"/>
      <c r="D1936" s="49"/>
    </row>
    <row r="1937">
      <c r="B1937" s="37"/>
      <c r="C1937" s="37"/>
      <c r="D1937" s="49"/>
    </row>
    <row r="1938">
      <c r="B1938" s="37"/>
      <c r="C1938" s="37"/>
      <c r="D1938" s="49"/>
    </row>
    <row r="1939">
      <c r="B1939" s="37"/>
      <c r="C1939" s="37"/>
      <c r="D1939" s="49"/>
    </row>
    <row r="1940">
      <c r="B1940" s="37"/>
      <c r="C1940" s="37"/>
      <c r="D1940" s="49"/>
    </row>
    <row r="1941">
      <c r="B1941" s="37"/>
      <c r="C1941" s="37"/>
      <c r="D1941" s="49"/>
    </row>
    <row r="1942">
      <c r="B1942" s="37"/>
      <c r="C1942" s="37"/>
      <c r="D1942" s="49"/>
    </row>
    <row r="1943">
      <c r="B1943" s="37"/>
      <c r="C1943" s="37"/>
      <c r="D1943" s="49"/>
    </row>
    <row r="1944">
      <c r="B1944" s="37"/>
      <c r="C1944" s="37"/>
      <c r="D1944" s="49"/>
    </row>
    <row r="1945">
      <c r="B1945" s="37"/>
      <c r="C1945" s="37"/>
      <c r="D1945" s="49"/>
    </row>
    <row r="1946">
      <c r="B1946" s="37"/>
      <c r="C1946" s="37"/>
      <c r="D1946" s="49"/>
    </row>
    <row r="1947">
      <c r="B1947" s="37"/>
      <c r="C1947" s="37"/>
      <c r="D1947" s="49"/>
    </row>
    <row r="1948">
      <c r="B1948" s="37"/>
      <c r="C1948" s="37"/>
      <c r="D1948" s="49"/>
    </row>
    <row r="1949">
      <c r="B1949" s="37"/>
      <c r="C1949" s="37"/>
      <c r="D1949" s="49"/>
    </row>
    <row r="1950">
      <c r="B1950" s="37"/>
      <c r="C1950" s="37"/>
      <c r="D1950" s="49"/>
    </row>
    <row r="1951">
      <c r="B1951" s="37"/>
      <c r="C1951" s="37"/>
      <c r="D1951" s="49"/>
    </row>
    <row r="1952">
      <c r="B1952" s="37"/>
      <c r="C1952" s="37"/>
      <c r="D1952" s="49"/>
    </row>
    <row r="1953">
      <c r="B1953" s="37"/>
      <c r="C1953" s="37"/>
      <c r="D1953" s="49"/>
    </row>
    <row r="1954">
      <c r="B1954" s="37"/>
      <c r="C1954" s="37"/>
      <c r="D1954" s="49"/>
    </row>
    <row r="1955">
      <c r="B1955" s="37"/>
      <c r="C1955" s="37"/>
      <c r="D1955" s="49"/>
    </row>
    <row r="1956">
      <c r="B1956" s="37"/>
      <c r="C1956" s="37"/>
      <c r="D1956" s="49"/>
    </row>
    <row r="1957">
      <c r="B1957" s="37"/>
      <c r="C1957" s="37"/>
      <c r="D1957" s="49"/>
    </row>
    <row r="1958">
      <c r="B1958" s="37"/>
      <c r="C1958" s="37"/>
      <c r="D1958" s="49"/>
    </row>
    <row r="1959">
      <c r="B1959" s="37"/>
      <c r="C1959" s="37"/>
      <c r="D1959" s="49"/>
    </row>
    <row r="1960">
      <c r="B1960" s="37"/>
      <c r="C1960" s="37"/>
      <c r="D1960" s="49"/>
    </row>
    <row r="1961">
      <c r="B1961" s="37"/>
      <c r="C1961" s="37"/>
      <c r="D1961" s="49"/>
    </row>
    <row r="1962">
      <c r="B1962" s="37"/>
      <c r="C1962" s="37"/>
      <c r="D1962" s="49"/>
    </row>
    <row r="1963">
      <c r="B1963" s="37"/>
      <c r="C1963" s="37"/>
      <c r="D1963" s="49"/>
    </row>
    <row r="1964">
      <c r="B1964" s="37"/>
      <c r="C1964" s="37"/>
      <c r="D1964" s="49"/>
    </row>
    <row r="1965">
      <c r="B1965" s="37"/>
      <c r="C1965" s="37"/>
      <c r="D1965" s="49"/>
    </row>
    <row r="1966">
      <c r="B1966" s="37"/>
      <c r="C1966" s="37"/>
      <c r="D1966" s="49"/>
    </row>
    <row r="1967">
      <c r="B1967" s="37"/>
      <c r="C1967" s="37"/>
      <c r="D1967" s="49"/>
    </row>
    <row r="1968">
      <c r="B1968" s="37"/>
      <c r="C1968" s="37"/>
      <c r="D1968" s="49"/>
    </row>
    <row r="1969">
      <c r="B1969" s="37"/>
      <c r="C1969" s="37"/>
      <c r="D1969" s="49"/>
    </row>
    <row r="1970">
      <c r="B1970" s="37"/>
      <c r="C1970" s="37"/>
      <c r="D1970" s="49"/>
    </row>
    <row r="1971">
      <c r="B1971" s="37"/>
      <c r="C1971" s="37"/>
      <c r="D1971" s="49"/>
    </row>
    <row r="1972">
      <c r="B1972" s="37"/>
      <c r="C1972" s="37"/>
      <c r="D1972" s="49"/>
    </row>
    <row r="1973">
      <c r="B1973" s="37"/>
      <c r="C1973" s="37"/>
      <c r="D1973" s="49"/>
    </row>
    <row r="1974">
      <c r="B1974" s="37"/>
      <c r="C1974" s="37"/>
      <c r="D1974" s="49"/>
    </row>
    <row r="1975">
      <c r="B1975" s="37"/>
      <c r="C1975" s="37"/>
      <c r="D1975" s="49"/>
    </row>
    <row r="1976">
      <c r="B1976" s="37"/>
      <c r="C1976" s="37"/>
      <c r="D1976" s="49"/>
    </row>
    <row r="1977">
      <c r="B1977" s="37"/>
      <c r="C1977" s="37"/>
      <c r="D1977" s="49"/>
    </row>
    <row r="1978">
      <c r="B1978" s="37"/>
      <c r="C1978" s="37"/>
      <c r="D1978" s="49"/>
    </row>
    <row r="1979">
      <c r="B1979" s="37"/>
      <c r="C1979" s="37"/>
      <c r="D1979" s="49"/>
    </row>
    <row r="1980">
      <c r="B1980" s="37"/>
      <c r="C1980" s="37"/>
      <c r="D1980" s="49"/>
    </row>
    <row r="1981">
      <c r="B1981" s="37"/>
      <c r="C1981" s="37"/>
      <c r="D1981" s="49"/>
    </row>
    <row r="1982">
      <c r="B1982" s="37"/>
      <c r="C1982" s="37"/>
      <c r="D1982" s="49"/>
    </row>
    <row r="1983">
      <c r="B1983" s="37"/>
      <c r="C1983" s="37"/>
      <c r="D1983" s="49"/>
    </row>
    <row r="1984">
      <c r="B1984" s="37"/>
      <c r="C1984" s="37"/>
      <c r="D1984" s="49"/>
    </row>
    <row r="1985">
      <c r="B1985" s="37"/>
      <c r="C1985" s="37"/>
      <c r="D1985" s="49"/>
    </row>
    <row r="1986">
      <c r="B1986" s="37"/>
      <c r="C1986" s="37"/>
      <c r="D1986" s="49"/>
    </row>
    <row r="1987">
      <c r="B1987" s="37"/>
      <c r="C1987" s="37"/>
      <c r="D1987" s="49"/>
    </row>
    <row r="1988">
      <c r="B1988" s="37"/>
      <c r="C1988" s="37"/>
      <c r="D1988" s="49"/>
    </row>
    <row r="1989">
      <c r="B1989" s="37"/>
      <c r="C1989" s="37"/>
      <c r="D1989" s="49"/>
    </row>
    <row r="1990">
      <c r="B1990" s="37"/>
      <c r="C1990" s="37"/>
      <c r="D1990" s="49"/>
    </row>
    <row r="1991">
      <c r="B1991" s="37"/>
      <c r="C1991" s="37"/>
      <c r="D1991" s="49"/>
    </row>
    <row r="1992">
      <c r="B1992" s="37"/>
      <c r="C1992" s="37"/>
      <c r="D1992" s="49"/>
    </row>
    <row r="1993">
      <c r="B1993" s="37"/>
      <c r="C1993" s="37"/>
      <c r="D1993" s="49"/>
    </row>
    <row r="1994">
      <c r="B1994" s="37"/>
      <c r="C1994" s="37"/>
      <c r="D1994" s="49"/>
    </row>
    <row r="1995">
      <c r="B1995" s="37"/>
      <c r="C1995" s="37"/>
      <c r="D1995" s="49"/>
    </row>
    <row r="1996">
      <c r="B1996" s="37"/>
      <c r="C1996" s="37"/>
      <c r="D1996" s="49"/>
    </row>
    <row r="1997">
      <c r="B1997" s="37"/>
      <c r="C1997" s="37"/>
      <c r="D1997" s="49"/>
    </row>
    <row r="1998">
      <c r="B1998" s="37"/>
      <c r="C1998" s="37"/>
      <c r="D1998" s="49"/>
    </row>
    <row r="1999">
      <c r="B1999" s="37"/>
      <c r="C1999" s="37"/>
      <c r="D1999" s="49"/>
    </row>
    <row r="2000">
      <c r="B2000" s="37"/>
      <c r="C2000" s="37"/>
      <c r="D2000" s="49"/>
    </row>
  </sheetData>
  <dataValidations>
    <dataValidation type="list" allowBlank="1" showErrorMessage="1" sqref="D2:D51 D54:D78 D80:D99 D102:D121 D124:D143 D145:D159 D161:D175 D177:D206 D208:D237 D239:D310 D312:D341 D343:D357 D359:D393 D395:D417 D419:D443 D445:D467 D469:D498 D500:D524 D526:D567 D569:D583 D585:D609 D611:D630 D632:D641 D643:D657 D659:D705 D707:D723 D725:D749 D751:D775 D777:D791 D793:D817 D819:D833 D835:D864 D866:D908 D910:D939 D941:D955 D957:D997 D999:D1018 D1020:D1039 D1041:D1096 D1098:D1117 D1119:D1128 D1130:D1144 D1146:D1160 D1162:D1217 D1219:D1224 D1226:D1240">
      <formula1>"Ebay (warehouse_101),Ebay (tekp07)"</formula1>
    </dataValidation>
    <dataValidation type="list" allowBlank="1" showErrorMessage="1" sqref="E2:E51 E54:E78 E80:E99 E102:E121 E124:E143 E145:E175 E177:E206 E208:E237 E239:E310 E312:E341 E343:E357 E359:E393 E395:E417 E419:E443 E445:E467 E469:E498 E500:E524 E526:E567 E569:E583 E585:E609 E611:E630 E632:E641 E643:E657 E659:E705 E707:E723 E725:E749 E751:E775 E777:E791 E793:E817 E819:E833 E835:E864 E866:E908 E910:E939 E941:E955 E957:E997 E999:E1018 E1020:E1039 E1041:E1096 E1098:E1117 E1119:E1128 E1130:E1144 E1146:E1160 E1162:E1217 E1219:E1224 E1226:E1240">
      <formula1>"MEMPHIS,NASHVILLE,CHATTANOOGA,TALLAHASSEE,ATLANTA,KNOXVILLE,Jackson MS "</formula1>
    </dataValidation>
  </dataValidations>
  <hyperlinks>
    <hyperlink r:id="rId1" ref="C120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23.13"/>
    <col customWidth="1" min="4" max="4" width="17.63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idden="1">
      <c r="A2" s="7">
        <v>46086.0</v>
      </c>
      <c r="B2" s="8" t="s">
        <v>7</v>
      </c>
      <c r="C2" s="9" t="s">
        <v>8</v>
      </c>
      <c r="D2" s="13" t="s">
        <v>11</v>
      </c>
      <c r="E2" s="14">
        <v>80.93</v>
      </c>
      <c r="F2" s="4"/>
    </row>
    <row r="3" hidden="1">
      <c r="A3" s="7">
        <v>46086.0</v>
      </c>
      <c r="B3" s="8" t="s">
        <v>13</v>
      </c>
      <c r="C3" s="9" t="s">
        <v>8</v>
      </c>
      <c r="D3" s="13" t="s">
        <v>11</v>
      </c>
      <c r="E3" s="14">
        <v>68.93</v>
      </c>
      <c r="F3" s="4"/>
    </row>
    <row r="4" hidden="1">
      <c r="A4" s="7">
        <v>46086.0</v>
      </c>
      <c r="B4" s="8" t="s">
        <v>15</v>
      </c>
      <c r="C4" s="9" t="s">
        <v>9</v>
      </c>
      <c r="D4" s="13" t="s">
        <v>11</v>
      </c>
      <c r="E4" s="14">
        <v>165.93</v>
      </c>
      <c r="F4" s="4"/>
      <c r="J4" s="16"/>
    </row>
    <row r="5" hidden="1">
      <c r="A5" s="7">
        <v>46086.0</v>
      </c>
      <c r="B5" s="8" t="s">
        <v>16</v>
      </c>
      <c r="C5" s="9" t="s">
        <v>9</v>
      </c>
      <c r="D5" s="13" t="s">
        <v>11</v>
      </c>
      <c r="E5" s="14">
        <v>125.93</v>
      </c>
      <c r="F5" s="4"/>
    </row>
    <row r="6" hidden="1">
      <c r="A6" s="7">
        <v>46086.0</v>
      </c>
      <c r="B6" s="8" t="s">
        <v>19</v>
      </c>
      <c r="C6" s="9" t="s">
        <v>9</v>
      </c>
      <c r="D6" s="13" t="s">
        <v>11</v>
      </c>
      <c r="E6" s="14">
        <v>75.93</v>
      </c>
      <c r="F6" s="4"/>
    </row>
    <row r="7" hidden="1">
      <c r="A7" s="7">
        <v>46086.0</v>
      </c>
      <c r="B7" s="8" t="s">
        <v>20</v>
      </c>
      <c r="C7" s="9" t="s">
        <v>9</v>
      </c>
      <c r="D7" s="13" t="s">
        <v>11</v>
      </c>
      <c r="E7" s="14">
        <v>50.93</v>
      </c>
      <c r="F7" s="4"/>
    </row>
    <row r="8" hidden="1">
      <c r="A8" s="7">
        <v>46086.0</v>
      </c>
      <c r="B8" s="8" t="s">
        <v>22</v>
      </c>
      <c r="C8" s="9" t="s">
        <v>9</v>
      </c>
      <c r="D8" s="13" t="s">
        <v>11</v>
      </c>
      <c r="E8" s="14">
        <v>135.93</v>
      </c>
      <c r="F8" s="4"/>
    </row>
    <row r="9" hidden="1">
      <c r="A9" s="7">
        <v>46086.0</v>
      </c>
      <c r="B9" s="8" t="s">
        <v>25</v>
      </c>
      <c r="C9" s="9" t="s">
        <v>9</v>
      </c>
      <c r="D9" s="13" t="s">
        <v>11</v>
      </c>
      <c r="E9" s="14">
        <v>219.93</v>
      </c>
      <c r="F9" s="4"/>
    </row>
    <row r="10" hidden="1">
      <c r="A10" s="7">
        <v>46086.0</v>
      </c>
      <c r="B10" s="8" t="s">
        <v>25</v>
      </c>
      <c r="C10" s="9" t="s">
        <v>9</v>
      </c>
      <c r="D10" s="13" t="s">
        <v>11</v>
      </c>
      <c r="E10" s="14">
        <v>219.93</v>
      </c>
      <c r="F10" s="4"/>
    </row>
    <row r="11" hidden="1">
      <c r="A11" s="7">
        <v>46086.0</v>
      </c>
      <c r="B11" s="8" t="s">
        <v>27</v>
      </c>
      <c r="C11" s="9" t="s">
        <v>9</v>
      </c>
      <c r="D11" s="13" t="s">
        <v>11</v>
      </c>
      <c r="E11" s="14">
        <v>149.93</v>
      </c>
      <c r="F11" s="4"/>
    </row>
    <row r="12" hidden="1">
      <c r="A12" s="7">
        <v>46086.0</v>
      </c>
      <c r="B12" s="8" t="s">
        <v>29</v>
      </c>
      <c r="C12" s="9" t="s">
        <v>9</v>
      </c>
      <c r="D12" s="13" t="s">
        <v>11</v>
      </c>
      <c r="E12" s="14">
        <v>169.93</v>
      </c>
      <c r="F12" s="4"/>
    </row>
    <row r="13" hidden="1">
      <c r="A13" s="7">
        <v>46086.0</v>
      </c>
      <c r="B13" s="8" t="s">
        <v>32</v>
      </c>
      <c r="C13" s="9" t="s">
        <v>9</v>
      </c>
      <c r="D13" s="13" t="s">
        <v>11</v>
      </c>
      <c r="E13" s="14">
        <v>129.93</v>
      </c>
      <c r="F13" s="4"/>
    </row>
    <row r="14" hidden="1">
      <c r="A14" s="7">
        <v>46086.0</v>
      </c>
      <c r="B14" s="8" t="s">
        <v>34</v>
      </c>
      <c r="C14" s="9" t="s">
        <v>9</v>
      </c>
      <c r="D14" s="13" t="s">
        <v>11</v>
      </c>
      <c r="E14" s="14">
        <v>169.93</v>
      </c>
      <c r="F14" s="4"/>
    </row>
    <row r="15" hidden="1">
      <c r="A15" s="7">
        <v>46086.0</v>
      </c>
      <c r="B15" s="8" t="s">
        <v>37</v>
      </c>
      <c r="C15" s="9" t="s">
        <v>9</v>
      </c>
      <c r="D15" s="13" t="s">
        <v>11</v>
      </c>
      <c r="E15" s="14">
        <v>39.93</v>
      </c>
      <c r="F15" s="4"/>
    </row>
    <row r="16" hidden="1">
      <c r="A16" s="7">
        <v>46086.0</v>
      </c>
      <c r="B16" s="8" t="s">
        <v>40</v>
      </c>
      <c r="C16" s="9" t="s">
        <v>8</v>
      </c>
      <c r="D16" s="13" t="s">
        <v>11</v>
      </c>
      <c r="E16" s="14">
        <v>119.93</v>
      </c>
      <c r="F16" s="4"/>
    </row>
    <row r="17" hidden="1">
      <c r="A17" s="21"/>
      <c r="B17" s="22"/>
      <c r="C17" s="23"/>
      <c r="D17" s="23"/>
      <c r="E17" s="24"/>
      <c r="F17" s="24"/>
    </row>
    <row r="18" hidden="1">
      <c r="A18" s="25">
        <v>46087.0</v>
      </c>
      <c r="B18" s="27" t="s">
        <v>48</v>
      </c>
      <c r="C18" s="29" t="s">
        <v>9</v>
      </c>
      <c r="D18" s="29" t="s">
        <v>11</v>
      </c>
      <c r="E18" s="14">
        <v>229.93</v>
      </c>
      <c r="F18" s="4"/>
    </row>
    <row r="19" hidden="1">
      <c r="A19" s="25">
        <v>46087.0</v>
      </c>
      <c r="B19" s="27">
        <v>8.07460149E8</v>
      </c>
      <c r="C19" s="29" t="s">
        <v>9</v>
      </c>
      <c r="D19" s="29" t="s">
        <v>11</v>
      </c>
      <c r="E19" s="14">
        <v>239.93</v>
      </c>
      <c r="F19" s="4"/>
    </row>
    <row r="20" hidden="1">
      <c r="A20" s="25">
        <v>46087.0</v>
      </c>
      <c r="B20" s="27" t="s">
        <v>52</v>
      </c>
      <c r="C20" s="29" t="s">
        <v>9</v>
      </c>
      <c r="D20" s="29" t="s">
        <v>53</v>
      </c>
      <c r="E20" s="14">
        <v>32.91</v>
      </c>
      <c r="F20" s="4"/>
    </row>
    <row r="21" hidden="1">
      <c r="A21" s="25">
        <v>46087.0</v>
      </c>
      <c r="B21" s="27" t="s">
        <v>55</v>
      </c>
      <c r="C21" s="29" t="s">
        <v>8</v>
      </c>
      <c r="D21" s="29" t="s">
        <v>53</v>
      </c>
      <c r="E21" s="14">
        <v>80.91</v>
      </c>
      <c r="F21" s="4"/>
    </row>
    <row r="22" hidden="1">
      <c r="A22" s="25">
        <v>46087.0</v>
      </c>
      <c r="B22" s="27" t="s">
        <v>56</v>
      </c>
      <c r="C22" s="29" t="s">
        <v>8</v>
      </c>
      <c r="D22" s="29" t="s">
        <v>53</v>
      </c>
      <c r="E22" s="14">
        <v>169.91</v>
      </c>
      <c r="F22" s="4"/>
    </row>
    <row r="23" hidden="1">
      <c r="A23" s="25">
        <v>46087.0</v>
      </c>
      <c r="B23" s="27" t="s">
        <v>58</v>
      </c>
      <c r="C23" s="29" t="s">
        <v>8</v>
      </c>
      <c r="D23" s="29" t="s">
        <v>53</v>
      </c>
      <c r="E23" s="14">
        <v>98.91</v>
      </c>
      <c r="F23" s="4"/>
    </row>
    <row r="24" hidden="1">
      <c r="A24" s="25">
        <v>46087.0</v>
      </c>
      <c r="B24" s="27" t="s">
        <v>60</v>
      </c>
      <c r="C24" s="29" t="s">
        <v>8</v>
      </c>
      <c r="D24" s="29" t="s">
        <v>53</v>
      </c>
      <c r="E24" s="14">
        <v>149.91</v>
      </c>
      <c r="F24" s="4"/>
    </row>
    <row r="25" hidden="1">
      <c r="A25" s="25">
        <v>46087.0</v>
      </c>
      <c r="B25" s="27" t="s">
        <v>63</v>
      </c>
      <c r="C25" s="29" t="s">
        <v>8</v>
      </c>
      <c r="D25" s="29" t="s">
        <v>53</v>
      </c>
      <c r="E25" s="14">
        <v>59.91</v>
      </c>
      <c r="F25" s="4"/>
    </row>
    <row r="26" hidden="1">
      <c r="A26" s="25">
        <v>46087.0</v>
      </c>
      <c r="B26" s="27" t="s">
        <v>65</v>
      </c>
      <c r="C26" s="29" t="s">
        <v>8</v>
      </c>
      <c r="D26" s="29" t="s">
        <v>53</v>
      </c>
      <c r="E26" s="14">
        <v>70.91</v>
      </c>
      <c r="F26" s="4"/>
    </row>
    <row r="27" hidden="1">
      <c r="A27" s="25">
        <v>46087.0</v>
      </c>
      <c r="B27" s="27" t="s">
        <v>68</v>
      </c>
      <c r="C27" s="29" t="s">
        <v>8</v>
      </c>
      <c r="D27" s="29" t="s">
        <v>53</v>
      </c>
      <c r="E27" s="14">
        <v>45.91</v>
      </c>
      <c r="F27" s="4"/>
    </row>
    <row r="28" hidden="1">
      <c r="A28" s="25">
        <v>46087.0</v>
      </c>
      <c r="B28" s="27" t="s">
        <v>70</v>
      </c>
      <c r="C28" s="29" t="s">
        <v>8</v>
      </c>
      <c r="D28" s="29" t="s">
        <v>53</v>
      </c>
      <c r="E28" s="14">
        <v>110.91</v>
      </c>
      <c r="F28" s="4"/>
    </row>
    <row r="29" hidden="1">
      <c r="A29" s="25">
        <v>46087.0</v>
      </c>
      <c r="B29" s="27" t="s">
        <v>71</v>
      </c>
      <c r="C29" s="29" t="s">
        <v>8</v>
      </c>
      <c r="D29" s="29" t="s">
        <v>53</v>
      </c>
      <c r="E29" s="14">
        <v>185.91</v>
      </c>
      <c r="F29" s="4"/>
    </row>
    <row r="30" hidden="1">
      <c r="A30" s="25">
        <v>46087.0</v>
      </c>
      <c r="B30" s="27" t="s">
        <v>72</v>
      </c>
      <c r="C30" s="33" t="s">
        <v>8</v>
      </c>
      <c r="D30" s="33" t="s">
        <v>53</v>
      </c>
      <c r="E30" s="14">
        <v>14.91</v>
      </c>
      <c r="F30" s="4"/>
    </row>
    <row r="31" hidden="1">
      <c r="A31" s="25">
        <v>46087.0</v>
      </c>
      <c r="B31" s="27" t="s">
        <v>74</v>
      </c>
      <c r="C31" s="29" t="s">
        <v>8</v>
      </c>
      <c r="D31" s="29" t="s">
        <v>53</v>
      </c>
      <c r="E31" s="14">
        <v>75.91</v>
      </c>
      <c r="F31" s="4"/>
    </row>
    <row r="32" hidden="1">
      <c r="A32" s="25">
        <v>46087.0</v>
      </c>
      <c r="B32" s="27" t="s">
        <v>76</v>
      </c>
      <c r="C32" s="29" t="s">
        <v>8</v>
      </c>
      <c r="D32" s="29" t="s">
        <v>53</v>
      </c>
      <c r="E32" s="14">
        <v>50.91</v>
      </c>
      <c r="F32" s="4"/>
    </row>
    <row r="33" hidden="1">
      <c r="A33" s="25">
        <v>46087.0</v>
      </c>
      <c r="B33" s="27" t="s">
        <v>77</v>
      </c>
      <c r="C33" s="29" t="s">
        <v>8</v>
      </c>
      <c r="D33" s="29" t="s">
        <v>53</v>
      </c>
      <c r="E33" s="14">
        <v>59.91</v>
      </c>
      <c r="F33" s="4"/>
    </row>
    <row r="34" hidden="1">
      <c r="A34" s="25">
        <v>46087.0</v>
      </c>
      <c r="B34" s="27" t="s">
        <v>79</v>
      </c>
      <c r="C34" s="29" t="s">
        <v>8</v>
      </c>
      <c r="D34" s="29" t="s">
        <v>53</v>
      </c>
      <c r="E34" s="14">
        <v>79.91</v>
      </c>
      <c r="F34" s="4"/>
    </row>
    <row r="35" hidden="1">
      <c r="A35" s="25">
        <v>46087.0</v>
      </c>
      <c r="B35" s="27" t="s">
        <v>80</v>
      </c>
      <c r="C35" s="29" t="s">
        <v>8</v>
      </c>
      <c r="D35" s="29" t="s">
        <v>53</v>
      </c>
      <c r="E35" s="14">
        <v>89.91</v>
      </c>
      <c r="F35" s="4"/>
    </row>
    <row r="36" hidden="1">
      <c r="A36" s="21"/>
      <c r="B36" s="22"/>
      <c r="C36" s="23"/>
      <c r="D36" s="23"/>
      <c r="E36" s="24"/>
      <c r="F36" s="24"/>
    </row>
    <row r="37" hidden="1">
      <c r="A37" s="7">
        <v>46090.0</v>
      </c>
      <c r="B37" s="45" t="s">
        <v>82</v>
      </c>
      <c r="C37" s="9" t="s">
        <v>8</v>
      </c>
      <c r="D37" s="9" t="s">
        <v>11</v>
      </c>
      <c r="E37" s="34">
        <v>90.93</v>
      </c>
      <c r="F37" s="4"/>
    </row>
    <row r="38" hidden="1">
      <c r="A38" s="7">
        <v>46090.0</v>
      </c>
      <c r="B38" s="45" t="s">
        <v>86</v>
      </c>
      <c r="C38" s="9" t="s">
        <v>8</v>
      </c>
      <c r="D38" s="9" t="s">
        <v>11</v>
      </c>
      <c r="E38" s="34">
        <v>199.93</v>
      </c>
      <c r="F38" s="4"/>
    </row>
    <row r="39" hidden="1">
      <c r="A39" s="7">
        <v>46090.0</v>
      </c>
      <c r="B39" s="45" t="s">
        <v>89</v>
      </c>
      <c r="C39" s="9" t="s">
        <v>8</v>
      </c>
      <c r="D39" s="9" t="s">
        <v>11</v>
      </c>
      <c r="E39" s="34">
        <v>80.93</v>
      </c>
      <c r="F39" s="4"/>
    </row>
    <row r="40" hidden="1">
      <c r="A40" s="7">
        <v>46090.0</v>
      </c>
      <c r="B40" s="45" t="s">
        <v>92</v>
      </c>
      <c r="C40" s="9" t="s">
        <v>8</v>
      </c>
      <c r="D40" s="9" t="s">
        <v>11</v>
      </c>
      <c r="E40" s="34">
        <v>162.93</v>
      </c>
      <c r="F40" s="4"/>
    </row>
    <row r="41" hidden="1">
      <c r="A41" s="7">
        <v>46090.0</v>
      </c>
      <c r="B41" s="45" t="s">
        <v>94</v>
      </c>
      <c r="C41" s="9" t="s">
        <v>8</v>
      </c>
      <c r="D41" s="9" t="s">
        <v>11</v>
      </c>
      <c r="E41" s="34">
        <v>29.93</v>
      </c>
      <c r="F41" s="4"/>
    </row>
    <row r="42" hidden="1">
      <c r="A42" s="7">
        <v>46090.0</v>
      </c>
      <c r="B42" s="45" t="s">
        <v>96</v>
      </c>
      <c r="C42" s="9" t="s">
        <v>8</v>
      </c>
      <c r="D42" s="9" t="s">
        <v>11</v>
      </c>
      <c r="E42" s="34">
        <v>80.93</v>
      </c>
      <c r="F42" s="4"/>
    </row>
    <row r="43" hidden="1">
      <c r="A43" s="7">
        <v>46090.0</v>
      </c>
      <c r="B43" s="45" t="s">
        <v>98</v>
      </c>
      <c r="C43" s="9" t="s">
        <v>8</v>
      </c>
      <c r="D43" s="9" t="s">
        <v>11</v>
      </c>
      <c r="E43" s="34">
        <v>45.93</v>
      </c>
      <c r="F43" s="4"/>
    </row>
    <row r="44" hidden="1">
      <c r="A44" s="7">
        <v>46090.0</v>
      </c>
      <c r="B44" s="45" t="s">
        <v>100</v>
      </c>
      <c r="C44" s="9" t="s">
        <v>8</v>
      </c>
      <c r="D44" s="9" t="s">
        <v>11</v>
      </c>
      <c r="E44" s="34">
        <v>50.93</v>
      </c>
      <c r="F44" s="4"/>
    </row>
    <row r="45" hidden="1">
      <c r="A45" s="21"/>
      <c r="B45" s="22"/>
      <c r="C45" s="23"/>
      <c r="D45" s="23"/>
      <c r="E45" s="24"/>
      <c r="F45" s="24"/>
    </row>
    <row r="46" hidden="1">
      <c r="A46" s="7">
        <v>46091.0</v>
      </c>
      <c r="B46" s="45" t="s">
        <v>102</v>
      </c>
      <c r="C46" s="9" t="s">
        <v>8</v>
      </c>
      <c r="D46" s="9" t="s">
        <v>11</v>
      </c>
      <c r="E46" s="34">
        <v>28.93</v>
      </c>
      <c r="F46" s="31"/>
    </row>
    <row r="47" hidden="1">
      <c r="A47" s="7">
        <v>46091.0</v>
      </c>
      <c r="B47" s="45" t="s">
        <v>105</v>
      </c>
      <c r="C47" s="9" t="s">
        <v>8</v>
      </c>
      <c r="D47" s="9" t="s">
        <v>11</v>
      </c>
      <c r="E47" s="34">
        <v>129.93</v>
      </c>
      <c r="F47" s="31"/>
    </row>
    <row r="48" hidden="1">
      <c r="A48" s="7">
        <v>46091.0</v>
      </c>
      <c r="B48" s="8" t="s">
        <v>107</v>
      </c>
      <c r="C48" s="9" t="s">
        <v>8</v>
      </c>
      <c r="D48" s="9" t="s">
        <v>11</v>
      </c>
      <c r="E48" s="34">
        <v>29.93</v>
      </c>
      <c r="F48" s="31"/>
    </row>
    <row r="49" hidden="1">
      <c r="A49" s="7">
        <v>46091.0</v>
      </c>
      <c r="B49" s="8" t="s">
        <v>110</v>
      </c>
      <c r="C49" s="9" t="s">
        <v>8</v>
      </c>
      <c r="D49" s="9" t="s">
        <v>11</v>
      </c>
      <c r="E49" s="34">
        <v>199.93</v>
      </c>
      <c r="F49" s="31"/>
    </row>
    <row r="50" hidden="1">
      <c r="A50" s="7">
        <v>46091.0</v>
      </c>
      <c r="B50" s="8" t="s">
        <v>113</v>
      </c>
      <c r="C50" s="9" t="s">
        <v>8</v>
      </c>
      <c r="D50" s="9" t="s">
        <v>11</v>
      </c>
      <c r="E50" s="34">
        <v>139.93</v>
      </c>
      <c r="F50" s="31"/>
    </row>
    <row r="51" hidden="1">
      <c r="A51" s="7">
        <v>46091.0</v>
      </c>
      <c r="B51" s="8" t="s">
        <v>117</v>
      </c>
      <c r="C51" s="9" t="s">
        <v>8</v>
      </c>
      <c r="D51" s="9" t="s">
        <v>11</v>
      </c>
      <c r="E51" s="34">
        <v>269.93</v>
      </c>
      <c r="F51" s="31"/>
    </row>
    <row r="52" hidden="1">
      <c r="A52" s="7">
        <v>46091.0</v>
      </c>
      <c r="B52" s="8" t="s">
        <v>119</v>
      </c>
      <c r="C52" s="9" t="s">
        <v>8</v>
      </c>
      <c r="D52" s="9" t="s">
        <v>11</v>
      </c>
      <c r="E52" s="34">
        <v>70.93</v>
      </c>
      <c r="F52" s="31"/>
    </row>
    <row r="53" hidden="1">
      <c r="A53" s="7">
        <v>46091.0</v>
      </c>
      <c r="B53" s="45" t="s">
        <v>122</v>
      </c>
      <c r="C53" s="9" t="s">
        <v>8</v>
      </c>
      <c r="D53" s="9" t="s">
        <v>11</v>
      </c>
      <c r="E53" s="34">
        <v>51.93</v>
      </c>
      <c r="F53" s="31"/>
    </row>
    <row r="54" hidden="1">
      <c r="A54" s="7">
        <v>46091.0</v>
      </c>
      <c r="B54" s="8" t="s">
        <v>124</v>
      </c>
      <c r="C54" s="9" t="s">
        <v>8</v>
      </c>
      <c r="D54" s="9" t="s">
        <v>11</v>
      </c>
      <c r="E54" s="34">
        <v>40.93</v>
      </c>
      <c r="F54" s="31"/>
    </row>
    <row r="55" hidden="1">
      <c r="A55" s="7">
        <v>46091.0</v>
      </c>
      <c r="B55" s="48" t="s">
        <v>128</v>
      </c>
      <c r="C55" s="9" t="s">
        <v>8</v>
      </c>
      <c r="D55" s="9" t="s">
        <v>53</v>
      </c>
      <c r="E55" s="34">
        <v>259.91</v>
      </c>
      <c r="F55" s="31"/>
    </row>
    <row r="56" hidden="1">
      <c r="A56" s="7">
        <v>46091.0</v>
      </c>
      <c r="B56" s="45" t="s">
        <v>131</v>
      </c>
      <c r="C56" s="9" t="s">
        <v>8</v>
      </c>
      <c r="D56" s="9" t="s">
        <v>53</v>
      </c>
      <c r="E56" s="34">
        <v>59.93</v>
      </c>
      <c r="F56" s="31"/>
    </row>
    <row r="57" hidden="1">
      <c r="A57" s="7">
        <v>46091.0</v>
      </c>
      <c r="B57" s="45" t="s">
        <v>134</v>
      </c>
      <c r="C57" s="9" t="s">
        <v>8</v>
      </c>
      <c r="D57" s="9" t="s">
        <v>53</v>
      </c>
      <c r="E57" s="34">
        <v>45.91</v>
      </c>
      <c r="F57" s="31"/>
    </row>
    <row r="58" hidden="1">
      <c r="A58" s="7">
        <v>46091.0</v>
      </c>
      <c r="B58" s="48" t="s">
        <v>136</v>
      </c>
      <c r="C58" s="9" t="s">
        <v>8</v>
      </c>
      <c r="D58" s="9" t="s">
        <v>53</v>
      </c>
      <c r="E58" s="34">
        <v>72.91</v>
      </c>
      <c r="F58" s="31"/>
    </row>
    <row r="59" hidden="1">
      <c r="A59" s="7">
        <v>46091.0</v>
      </c>
      <c r="B59" s="45" t="s">
        <v>138</v>
      </c>
      <c r="C59" s="9" t="s">
        <v>8</v>
      </c>
      <c r="D59" s="9" t="s">
        <v>53</v>
      </c>
      <c r="E59" s="34">
        <v>140.91</v>
      </c>
      <c r="F59" s="31"/>
    </row>
    <row r="60" hidden="1">
      <c r="A60" s="7">
        <v>46091.0</v>
      </c>
      <c r="B60" s="45" t="s">
        <v>140</v>
      </c>
      <c r="C60" s="9" t="s">
        <v>8</v>
      </c>
      <c r="D60" s="9" t="s">
        <v>53</v>
      </c>
      <c r="E60" s="34">
        <v>50.91</v>
      </c>
      <c r="F60" s="31"/>
    </row>
    <row r="61" hidden="1">
      <c r="A61" s="21"/>
      <c r="B61" s="22"/>
      <c r="C61" s="23"/>
      <c r="D61" s="23"/>
      <c r="E61" s="24"/>
      <c r="F61" s="24"/>
    </row>
    <row r="62" hidden="1">
      <c r="A62" s="52">
        <v>46092.0</v>
      </c>
      <c r="B62" s="27" t="s">
        <v>146</v>
      </c>
      <c r="C62" s="29" t="s">
        <v>8</v>
      </c>
      <c r="D62" s="29" t="s">
        <v>53</v>
      </c>
      <c r="E62" s="14">
        <v>105.91</v>
      </c>
      <c r="F62" s="4"/>
    </row>
    <row r="63" hidden="1">
      <c r="A63" s="52">
        <v>46092.0</v>
      </c>
      <c r="B63" s="27" t="s">
        <v>149</v>
      </c>
      <c r="C63" s="29" t="s">
        <v>8</v>
      </c>
      <c r="D63" s="29" t="s">
        <v>53</v>
      </c>
      <c r="E63" s="14">
        <v>52.91</v>
      </c>
      <c r="F63" s="4"/>
    </row>
    <row r="64" hidden="1">
      <c r="A64" s="52">
        <v>46092.0</v>
      </c>
      <c r="B64" s="27" t="s">
        <v>152</v>
      </c>
      <c r="C64" s="29" t="s">
        <v>8</v>
      </c>
      <c r="D64" s="29" t="s">
        <v>53</v>
      </c>
      <c r="E64" s="14">
        <v>75.91</v>
      </c>
      <c r="F64" s="4"/>
    </row>
    <row r="65" hidden="1">
      <c r="A65" s="52">
        <v>46092.0</v>
      </c>
      <c r="B65" s="27" t="s">
        <v>155</v>
      </c>
      <c r="C65" s="29" t="s">
        <v>8</v>
      </c>
      <c r="D65" s="29" t="s">
        <v>53</v>
      </c>
      <c r="E65" s="14">
        <v>55.91</v>
      </c>
      <c r="F65" s="4"/>
    </row>
    <row r="66" hidden="1">
      <c r="A66" s="52">
        <v>46092.0</v>
      </c>
      <c r="B66" s="27" t="s">
        <v>76</v>
      </c>
      <c r="C66" s="29" t="s">
        <v>8</v>
      </c>
      <c r="D66" s="29" t="s">
        <v>53</v>
      </c>
      <c r="E66" s="14">
        <v>50.91</v>
      </c>
      <c r="F66" s="4"/>
    </row>
    <row r="67" hidden="1">
      <c r="A67" s="52">
        <v>46092.0</v>
      </c>
      <c r="B67" s="27" t="s">
        <v>161</v>
      </c>
      <c r="C67" s="29" t="s">
        <v>8</v>
      </c>
      <c r="D67" s="29" t="s">
        <v>53</v>
      </c>
      <c r="E67" s="14">
        <v>55.91</v>
      </c>
      <c r="F67" s="4"/>
    </row>
    <row r="68" hidden="1">
      <c r="A68" s="52">
        <v>46092.0</v>
      </c>
      <c r="B68" s="27" t="s">
        <v>164</v>
      </c>
      <c r="C68" s="29" t="s">
        <v>8</v>
      </c>
      <c r="D68" s="29" t="s">
        <v>53</v>
      </c>
      <c r="E68" s="14">
        <v>47.91</v>
      </c>
      <c r="F68" s="4"/>
    </row>
    <row r="69" hidden="1">
      <c r="A69" s="52">
        <v>46092.0</v>
      </c>
      <c r="B69" s="27" t="s">
        <v>167</v>
      </c>
      <c r="C69" s="29" t="s">
        <v>8</v>
      </c>
      <c r="D69" s="29" t="s">
        <v>53</v>
      </c>
      <c r="E69" s="14">
        <v>50.91</v>
      </c>
      <c r="F69" s="4"/>
    </row>
    <row r="70" hidden="1">
      <c r="A70" s="52">
        <v>46092.0</v>
      </c>
      <c r="B70" s="27" t="s">
        <v>170</v>
      </c>
      <c r="C70" s="29" t="s">
        <v>8</v>
      </c>
      <c r="D70" s="29" t="s">
        <v>53</v>
      </c>
      <c r="E70" s="14">
        <v>200.91</v>
      </c>
      <c r="F70" s="4"/>
    </row>
    <row r="71" hidden="1">
      <c r="A71" s="52">
        <v>46092.0</v>
      </c>
      <c r="B71" s="27" t="s">
        <v>173</v>
      </c>
      <c r="C71" s="29" t="s">
        <v>8</v>
      </c>
      <c r="D71" s="29" t="s">
        <v>53</v>
      </c>
      <c r="E71" s="14">
        <v>60.91</v>
      </c>
      <c r="F71" s="4"/>
    </row>
    <row r="72" hidden="1">
      <c r="A72" s="52">
        <v>46092.0</v>
      </c>
      <c r="B72" s="27" t="s">
        <v>175</v>
      </c>
      <c r="C72" s="29" t="s">
        <v>8</v>
      </c>
      <c r="D72" s="29" t="s">
        <v>53</v>
      </c>
      <c r="E72" s="14">
        <v>60.91</v>
      </c>
      <c r="F72" s="4"/>
    </row>
    <row r="73" hidden="1">
      <c r="A73" s="21"/>
      <c r="B73" s="22"/>
      <c r="C73" s="23"/>
      <c r="D73" s="23"/>
      <c r="E73" s="24"/>
      <c r="F73" s="24"/>
    </row>
    <row r="74" hidden="1">
      <c r="A74" s="25">
        <v>46093.0</v>
      </c>
      <c r="B74" s="27" t="s">
        <v>180</v>
      </c>
      <c r="C74" s="29" t="s">
        <v>8</v>
      </c>
      <c r="D74" s="29" t="s">
        <v>53</v>
      </c>
      <c r="E74" s="14">
        <v>39.91</v>
      </c>
      <c r="F74" s="4"/>
    </row>
    <row r="75" hidden="1">
      <c r="A75" s="52">
        <v>46093.0</v>
      </c>
      <c r="B75" s="27" t="s">
        <v>180</v>
      </c>
      <c r="C75" s="29" t="s">
        <v>8</v>
      </c>
      <c r="D75" s="29" t="s">
        <v>53</v>
      </c>
      <c r="E75" s="14">
        <v>39.91</v>
      </c>
      <c r="F75" s="4"/>
    </row>
    <row r="76" hidden="1">
      <c r="A76" s="52">
        <v>46093.0</v>
      </c>
      <c r="B76" s="27" t="s">
        <v>184</v>
      </c>
      <c r="C76" s="29" t="s">
        <v>8</v>
      </c>
      <c r="D76" s="29" t="s">
        <v>53</v>
      </c>
      <c r="E76" s="14">
        <v>45.91</v>
      </c>
      <c r="F76" s="4"/>
    </row>
    <row r="77" hidden="1">
      <c r="A77" s="52">
        <v>46093.0</v>
      </c>
      <c r="B77" s="27" t="s">
        <v>187</v>
      </c>
      <c r="C77" s="29" t="s">
        <v>8</v>
      </c>
      <c r="D77" s="29" t="s">
        <v>53</v>
      </c>
      <c r="E77" s="14">
        <v>57.91</v>
      </c>
      <c r="F77" s="4"/>
    </row>
    <row r="78" hidden="1">
      <c r="A78" s="52">
        <v>46093.0</v>
      </c>
      <c r="B78" s="27" t="s">
        <v>187</v>
      </c>
      <c r="C78" s="29" t="s">
        <v>8</v>
      </c>
      <c r="D78" s="29" t="s">
        <v>53</v>
      </c>
      <c r="E78" s="14">
        <v>57.91</v>
      </c>
      <c r="F78" s="4"/>
    </row>
    <row r="79" hidden="1">
      <c r="A79" s="52">
        <v>46093.0</v>
      </c>
      <c r="B79" s="27" t="s">
        <v>192</v>
      </c>
      <c r="C79" s="29" t="s">
        <v>8</v>
      </c>
      <c r="D79" s="29" t="s">
        <v>53</v>
      </c>
      <c r="E79" s="14">
        <v>30.91</v>
      </c>
      <c r="F79" s="4"/>
    </row>
    <row r="80" hidden="1">
      <c r="A80" s="52">
        <v>46093.0</v>
      </c>
      <c r="B80" s="27" t="s">
        <v>195</v>
      </c>
      <c r="C80" s="29" t="s">
        <v>8</v>
      </c>
      <c r="D80" s="29" t="s">
        <v>53</v>
      </c>
      <c r="E80" s="14">
        <v>79.91</v>
      </c>
      <c r="F80" s="4"/>
    </row>
    <row r="81" hidden="1">
      <c r="A81" s="52">
        <v>46093.0</v>
      </c>
      <c r="B81" s="27" t="s">
        <v>198</v>
      </c>
      <c r="C81" s="29" t="s">
        <v>8</v>
      </c>
      <c r="D81" s="29" t="s">
        <v>53</v>
      </c>
      <c r="E81" s="14">
        <v>80.91</v>
      </c>
      <c r="F81" s="4"/>
    </row>
    <row r="82" hidden="1">
      <c r="A82" s="52">
        <v>46093.0</v>
      </c>
      <c r="B82" s="27" t="s">
        <v>201</v>
      </c>
      <c r="C82" s="29" t="s">
        <v>8</v>
      </c>
      <c r="D82" s="29" t="s">
        <v>53</v>
      </c>
      <c r="E82" s="14">
        <v>139.91</v>
      </c>
      <c r="F82" s="4"/>
    </row>
    <row r="83" hidden="1">
      <c r="A83" s="52">
        <v>46093.0</v>
      </c>
      <c r="B83" s="27" t="s">
        <v>202</v>
      </c>
      <c r="C83" s="29" t="s">
        <v>8</v>
      </c>
      <c r="D83" s="29" t="s">
        <v>53</v>
      </c>
      <c r="E83" s="14">
        <v>200.91</v>
      </c>
      <c r="F83" s="4"/>
    </row>
    <row r="84" hidden="1">
      <c r="A84" s="52">
        <v>46093.0</v>
      </c>
      <c r="B84" s="27" t="s">
        <v>202</v>
      </c>
      <c r="C84" s="29" t="s">
        <v>9</v>
      </c>
      <c r="D84" s="29" t="s">
        <v>11</v>
      </c>
      <c r="E84" s="14">
        <v>199.93</v>
      </c>
      <c r="F84" s="4"/>
    </row>
    <row r="85" hidden="1">
      <c r="A85" s="52">
        <v>46093.0</v>
      </c>
      <c r="B85" s="27" t="s">
        <v>205</v>
      </c>
      <c r="C85" s="29" t="s">
        <v>8</v>
      </c>
      <c r="D85" s="29" t="s">
        <v>53</v>
      </c>
      <c r="E85" s="14">
        <v>80.91</v>
      </c>
      <c r="F85" s="4"/>
    </row>
    <row r="86" hidden="1">
      <c r="A86" s="52">
        <v>46093.0</v>
      </c>
      <c r="B86" s="27" t="s">
        <v>149</v>
      </c>
      <c r="C86" s="29" t="s">
        <v>8</v>
      </c>
      <c r="D86" s="29" t="s">
        <v>53</v>
      </c>
      <c r="E86" s="14">
        <v>52.91</v>
      </c>
      <c r="F86" s="4"/>
    </row>
    <row r="87" hidden="1">
      <c r="A87" s="52">
        <v>46093.0</v>
      </c>
      <c r="B87" s="27" t="s">
        <v>211</v>
      </c>
      <c r="C87" s="29" t="s">
        <v>8</v>
      </c>
      <c r="D87" s="29" t="s">
        <v>53</v>
      </c>
      <c r="E87" s="14">
        <v>35.91</v>
      </c>
      <c r="F87" s="4"/>
    </row>
    <row r="88" hidden="1">
      <c r="A88" s="52">
        <v>46093.0</v>
      </c>
      <c r="B88" s="27" t="s">
        <v>211</v>
      </c>
      <c r="C88" s="29" t="s">
        <v>9</v>
      </c>
      <c r="D88" s="29" t="s">
        <v>11</v>
      </c>
      <c r="E88" s="14">
        <v>30.93</v>
      </c>
      <c r="F88" s="4"/>
    </row>
    <row r="89" hidden="1">
      <c r="A89" s="52">
        <v>46093.0</v>
      </c>
      <c r="B89" s="27" t="s">
        <v>215</v>
      </c>
      <c r="C89" s="29" t="s">
        <v>8</v>
      </c>
      <c r="D89" s="29" t="s">
        <v>53</v>
      </c>
      <c r="E89" s="14">
        <v>70.91</v>
      </c>
      <c r="F89" s="4"/>
    </row>
    <row r="90" hidden="1">
      <c r="A90" s="52">
        <v>46093.0</v>
      </c>
      <c r="B90" s="27" t="s">
        <v>175</v>
      </c>
      <c r="C90" s="29" t="s">
        <v>8</v>
      </c>
      <c r="D90" s="29" t="s">
        <v>53</v>
      </c>
      <c r="E90" s="14">
        <v>55.91</v>
      </c>
      <c r="F90" s="4"/>
    </row>
    <row r="91" hidden="1">
      <c r="A91" s="21"/>
      <c r="B91" s="22"/>
      <c r="C91" s="23"/>
      <c r="D91" s="23"/>
      <c r="E91" s="24"/>
      <c r="F91" s="24"/>
    </row>
    <row r="92" hidden="1">
      <c r="A92" s="25">
        <v>46094.0</v>
      </c>
      <c r="B92" s="27" t="s">
        <v>220</v>
      </c>
      <c r="C92" s="29" t="s">
        <v>8</v>
      </c>
      <c r="D92" s="29" t="s">
        <v>53</v>
      </c>
      <c r="E92" s="14">
        <v>45.91</v>
      </c>
      <c r="F92" s="4"/>
    </row>
    <row r="93" hidden="1">
      <c r="A93" s="52">
        <v>46094.0</v>
      </c>
      <c r="B93" s="27" t="s">
        <v>220</v>
      </c>
      <c r="C93" s="29" t="s">
        <v>9</v>
      </c>
      <c r="D93" s="29" t="s">
        <v>11</v>
      </c>
      <c r="E93" s="14">
        <v>40.93</v>
      </c>
      <c r="F93" s="4"/>
    </row>
    <row r="94" hidden="1">
      <c r="A94" s="52">
        <v>46094.0</v>
      </c>
      <c r="B94" s="27" t="s">
        <v>225</v>
      </c>
      <c r="C94" s="29" t="s">
        <v>8</v>
      </c>
      <c r="D94" s="29" t="s">
        <v>53</v>
      </c>
      <c r="E94" s="14">
        <v>45.91</v>
      </c>
      <c r="F94" s="4"/>
    </row>
    <row r="95" hidden="1">
      <c r="A95" s="52">
        <v>46094.0</v>
      </c>
      <c r="B95" s="27" t="s">
        <v>225</v>
      </c>
      <c r="C95" s="29" t="s">
        <v>9</v>
      </c>
      <c r="D95" s="29" t="s">
        <v>11</v>
      </c>
      <c r="E95" s="14">
        <v>40.93</v>
      </c>
      <c r="F95" s="4"/>
    </row>
    <row r="96" hidden="1">
      <c r="A96" s="52">
        <v>46094.0</v>
      </c>
      <c r="B96" s="27" t="s">
        <v>228</v>
      </c>
      <c r="C96" s="29" t="s">
        <v>8</v>
      </c>
      <c r="D96" s="29" t="s">
        <v>53</v>
      </c>
      <c r="E96" s="14">
        <v>55.91</v>
      </c>
      <c r="F96" s="4"/>
    </row>
    <row r="97" hidden="1">
      <c r="A97" s="52">
        <v>46094.0</v>
      </c>
      <c r="B97" s="27" t="s">
        <v>228</v>
      </c>
      <c r="C97" s="29" t="s">
        <v>9</v>
      </c>
      <c r="D97" s="29" t="s">
        <v>53</v>
      </c>
      <c r="E97" s="14">
        <v>55.93</v>
      </c>
      <c r="F97" s="4"/>
    </row>
    <row r="98" hidden="1">
      <c r="A98" s="52">
        <v>46094.0</v>
      </c>
      <c r="B98" s="27" t="s">
        <v>233</v>
      </c>
      <c r="C98" s="29" t="s">
        <v>8</v>
      </c>
      <c r="D98" s="29" t="s">
        <v>53</v>
      </c>
      <c r="E98" s="14">
        <v>55.91</v>
      </c>
      <c r="F98" s="4"/>
    </row>
    <row r="99" hidden="1">
      <c r="A99" s="52">
        <v>46094.0</v>
      </c>
      <c r="B99" s="27" t="s">
        <v>236</v>
      </c>
      <c r="C99" s="29" t="s">
        <v>8</v>
      </c>
      <c r="D99" s="29" t="s">
        <v>53</v>
      </c>
      <c r="E99" s="14">
        <v>59.91</v>
      </c>
      <c r="F99" s="4"/>
    </row>
    <row r="100" hidden="1">
      <c r="A100" s="52">
        <v>46094.0</v>
      </c>
      <c r="B100" s="27" t="s">
        <v>239</v>
      </c>
      <c r="C100" s="29" t="s">
        <v>8</v>
      </c>
      <c r="D100" s="29" t="s">
        <v>53</v>
      </c>
      <c r="E100" s="14">
        <v>50.91</v>
      </c>
      <c r="F100" s="4"/>
    </row>
    <row r="101" hidden="1">
      <c r="A101" s="52">
        <v>46094.0</v>
      </c>
      <c r="B101" s="27" t="s">
        <v>239</v>
      </c>
      <c r="C101" s="29" t="s">
        <v>8</v>
      </c>
      <c r="D101" s="29" t="s">
        <v>53</v>
      </c>
      <c r="E101" s="14">
        <v>40.93</v>
      </c>
      <c r="F101" s="4"/>
    </row>
    <row r="102" hidden="1">
      <c r="A102" s="52">
        <v>46094.0</v>
      </c>
      <c r="B102" s="27" t="s">
        <v>244</v>
      </c>
      <c r="C102" s="29" t="s">
        <v>8</v>
      </c>
      <c r="D102" s="29" t="s">
        <v>53</v>
      </c>
      <c r="E102" s="14">
        <v>60.91</v>
      </c>
      <c r="F102" s="4"/>
    </row>
    <row r="103" hidden="1">
      <c r="A103" s="52">
        <v>46094.0</v>
      </c>
      <c r="B103" s="27" t="s">
        <v>161</v>
      </c>
      <c r="C103" s="29" t="s">
        <v>8</v>
      </c>
      <c r="D103" s="29" t="s">
        <v>53</v>
      </c>
      <c r="E103" s="14">
        <v>55.91</v>
      </c>
      <c r="F103" s="4"/>
    </row>
    <row r="104" hidden="1">
      <c r="A104" s="52">
        <v>46094.0</v>
      </c>
      <c r="B104" s="27" t="s">
        <v>248</v>
      </c>
      <c r="C104" s="29" t="s">
        <v>8</v>
      </c>
      <c r="D104" s="29" t="s">
        <v>53</v>
      </c>
      <c r="E104" s="14">
        <v>119.91</v>
      </c>
      <c r="F104" s="4"/>
    </row>
    <row r="105" hidden="1">
      <c r="A105" s="52">
        <v>46094.0</v>
      </c>
      <c r="B105" s="27" t="s">
        <v>251</v>
      </c>
      <c r="C105" s="29" t="s">
        <v>8</v>
      </c>
      <c r="D105" s="29" t="s">
        <v>53</v>
      </c>
      <c r="E105" s="14">
        <v>195.91</v>
      </c>
      <c r="F105" s="4"/>
    </row>
    <row r="106" hidden="1">
      <c r="A106" s="52">
        <v>46094.0</v>
      </c>
      <c r="B106" s="27" t="s">
        <v>252</v>
      </c>
      <c r="C106" s="29" t="s">
        <v>8</v>
      </c>
      <c r="D106" s="29" t="s">
        <v>53</v>
      </c>
      <c r="E106" s="14">
        <v>145.91</v>
      </c>
      <c r="F106" s="4"/>
    </row>
    <row r="107" hidden="1">
      <c r="A107" s="52">
        <v>46094.0</v>
      </c>
      <c r="B107" s="27" t="s">
        <v>254</v>
      </c>
      <c r="C107" s="29" t="s">
        <v>8</v>
      </c>
      <c r="D107" s="29" t="s">
        <v>53</v>
      </c>
      <c r="E107" s="14">
        <v>243.91</v>
      </c>
      <c r="F107" s="4"/>
    </row>
    <row r="108" hidden="1">
      <c r="A108" s="52">
        <v>46094.0</v>
      </c>
      <c r="B108" s="27" t="s">
        <v>256</v>
      </c>
      <c r="C108" s="29" t="s">
        <v>8</v>
      </c>
      <c r="D108" s="29" t="s">
        <v>53</v>
      </c>
      <c r="E108" s="14">
        <v>119.91</v>
      </c>
      <c r="F108" s="4"/>
    </row>
    <row r="109" hidden="1">
      <c r="A109" s="52">
        <v>46094.0</v>
      </c>
      <c r="B109" s="27" t="s">
        <v>258</v>
      </c>
      <c r="C109" s="29" t="s">
        <v>8</v>
      </c>
      <c r="D109" s="29" t="s">
        <v>53</v>
      </c>
      <c r="E109" s="14">
        <v>179.91</v>
      </c>
      <c r="F109" s="4"/>
    </row>
    <row r="110" hidden="1">
      <c r="A110" s="52">
        <v>46094.0</v>
      </c>
      <c r="B110" s="27" t="s">
        <v>261</v>
      </c>
      <c r="C110" s="29" t="s">
        <v>8</v>
      </c>
      <c r="D110" s="29" t="s">
        <v>53</v>
      </c>
      <c r="E110" s="14">
        <v>99.91</v>
      </c>
      <c r="F110" s="4"/>
    </row>
    <row r="111" hidden="1">
      <c r="A111" s="52">
        <v>46094.0</v>
      </c>
      <c r="B111" s="27" t="s">
        <v>264</v>
      </c>
      <c r="C111" s="29" t="s">
        <v>8</v>
      </c>
      <c r="D111" s="29" t="s">
        <v>53</v>
      </c>
      <c r="E111" s="14">
        <v>130.91</v>
      </c>
      <c r="F111" s="4"/>
    </row>
    <row r="112" hidden="1">
      <c r="A112" s="52">
        <v>46094.0</v>
      </c>
      <c r="B112" s="27" t="s">
        <v>270</v>
      </c>
      <c r="C112" s="29" t="s">
        <v>8</v>
      </c>
      <c r="D112" s="29" t="s">
        <v>53</v>
      </c>
      <c r="E112" s="14">
        <v>69.91</v>
      </c>
      <c r="F112" s="4"/>
    </row>
    <row r="113" hidden="1">
      <c r="A113" s="21"/>
      <c r="B113" s="22"/>
      <c r="C113" s="23"/>
      <c r="D113" s="23"/>
      <c r="E113" s="24"/>
      <c r="F113" s="24"/>
    </row>
    <row r="114" hidden="1">
      <c r="A114" s="25">
        <v>46098.0</v>
      </c>
      <c r="B114" s="27" t="s">
        <v>274</v>
      </c>
      <c r="C114" s="29" t="s">
        <v>8</v>
      </c>
      <c r="D114" s="29" t="s">
        <v>53</v>
      </c>
      <c r="E114" s="14">
        <v>129.91</v>
      </c>
      <c r="F114" s="4"/>
    </row>
    <row r="115" hidden="1">
      <c r="A115" s="52">
        <v>46098.0</v>
      </c>
      <c r="B115" s="53" t="s">
        <v>277</v>
      </c>
      <c r="C115" s="29" t="s">
        <v>8</v>
      </c>
      <c r="D115" s="29" t="s">
        <v>53</v>
      </c>
      <c r="E115" s="12">
        <v>75.91</v>
      </c>
      <c r="F115" s="4"/>
    </row>
    <row r="116" hidden="1">
      <c r="A116" s="52">
        <v>46098.0</v>
      </c>
      <c r="B116" s="54" t="s">
        <v>280</v>
      </c>
      <c r="C116" s="29" t="s">
        <v>8</v>
      </c>
      <c r="D116" s="29" t="s">
        <v>53</v>
      </c>
      <c r="E116" s="12">
        <v>85.91</v>
      </c>
      <c r="F116" s="4"/>
    </row>
    <row r="117" hidden="1">
      <c r="A117" s="52">
        <v>46098.0</v>
      </c>
      <c r="B117" s="54" t="s">
        <v>283</v>
      </c>
      <c r="C117" s="29" t="s">
        <v>8</v>
      </c>
      <c r="D117" s="29" t="s">
        <v>53</v>
      </c>
      <c r="E117" s="12">
        <v>35.91</v>
      </c>
      <c r="F117" s="4"/>
    </row>
    <row r="118" hidden="1">
      <c r="A118" s="52">
        <v>46098.0</v>
      </c>
      <c r="B118" s="55" t="s">
        <v>286</v>
      </c>
      <c r="C118" s="29" t="s">
        <v>8</v>
      </c>
      <c r="D118" s="29" t="s">
        <v>53</v>
      </c>
      <c r="E118" s="14">
        <v>30.91</v>
      </c>
      <c r="F118" s="4"/>
    </row>
    <row r="119" hidden="1">
      <c r="A119" s="52">
        <v>46098.0</v>
      </c>
      <c r="B119" s="55" t="s">
        <v>289</v>
      </c>
      <c r="C119" s="29" t="s">
        <v>8</v>
      </c>
      <c r="D119" s="29" t="s">
        <v>53</v>
      </c>
      <c r="E119" s="14">
        <v>230.91</v>
      </c>
      <c r="F119" s="4"/>
    </row>
    <row r="120" hidden="1">
      <c r="A120" s="52">
        <v>46098.0</v>
      </c>
      <c r="B120" s="55" t="s">
        <v>292</v>
      </c>
      <c r="C120" s="29" t="s">
        <v>8</v>
      </c>
      <c r="D120" s="29" t="s">
        <v>53</v>
      </c>
      <c r="E120" s="14">
        <v>40.91</v>
      </c>
      <c r="F120" s="4"/>
    </row>
    <row r="121" hidden="1">
      <c r="A121" s="52">
        <v>46098.0</v>
      </c>
      <c r="B121" s="55" t="s">
        <v>295</v>
      </c>
      <c r="C121" s="29" t="s">
        <v>8</v>
      </c>
      <c r="D121" s="29" t="s">
        <v>53</v>
      </c>
      <c r="E121" s="14">
        <v>55.91</v>
      </c>
      <c r="F121" s="4"/>
    </row>
    <row r="122" hidden="1">
      <c r="A122" s="52">
        <v>46098.0</v>
      </c>
      <c r="B122" s="55" t="s">
        <v>298</v>
      </c>
      <c r="C122" s="29" t="s">
        <v>8</v>
      </c>
      <c r="D122" s="29" t="s">
        <v>53</v>
      </c>
      <c r="E122" s="14">
        <v>30.91</v>
      </c>
      <c r="F122" s="4"/>
    </row>
    <row r="123" hidden="1">
      <c r="A123" s="52">
        <v>46098.0</v>
      </c>
      <c r="B123" s="55" t="s">
        <v>300</v>
      </c>
      <c r="C123" s="29" t="s">
        <v>8</v>
      </c>
      <c r="D123" s="29" t="s">
        <v>53</v>
      </c>
      <c r="E123" s="14">
        <v>50.91</v>
      </c>
      <c r="F123" s="4"/>
    </row>
    <row r="124" hidden="1">
      <c r="A124" s="52">
        <v>46098.0</v>
      </c>
      <c r="B124" s="55" t="s">
        <v>302</v>
      </c>
      <c r="C124" s="29" t="s">
        <v>8</v>
      </c>
      <c r="D124" s="29" t="s">
        <v>53</v>
      </c>
      <c r="E124" s="14">
        <v>35.91</v>
      </c>
      <c r="F124" s="4"/>
    </row>
    <row r="125" hidden="1">
      <c r="A125" s="52">
        <v>46098.0</v>
      </c>
      <c r="B125" s="55" t="s">
        <v>233</v>
      </c>
      <c r="C125" s="29" t="s">
        <v>8</v>
      </c>
      <c r="D125" s="29" t="s">
        <v>53</v>
      </c>
      <c r="E125" s="14">
        <v>40.91</v>
      </c>
      <c r="F125" s="4"/>
    </row>
    <row r="126" hidden="1">
      <c r="A126" s="52">
        <v>46098.0</v>
      </c>
      <c r="B126" s="55" t="s">
        <v>305</v>
      </c>
      <c r="C126" s="29" t="s">
        <v>8</v>
      </c>
      <c r="D126" s="29" t="s">
        <v>53</v>
      </c>
      <c r="E126" s="14">
        <v>160.91</v>
      </c>
      <c r="F126" s="4"/>
    </row>
    <row r="127" hidden="1">
      <c r="A127" s="52">
        <v>46098.0</v>
      </c>
      <c r="B127" s="55" t="s">
        <v>236</v>
      </c>
      <c r="C127" s="29" t="s">
        <v>8</v>
      </c>
      <c r="D127" s="29" t="s">
        <v>53</v>
      </c>
      <c r="E127" s="14">
        <v>97.91</v>
      </c>
      <c r="F127" s="4"/>
    </row>
    <row r="128" hidden="1">
      <c r="A128" s="52">
        <v>46098.0</v>
      </c>
      <c r="B128" s="55" t="s">
        <v>311</v>
      </c>
      <c r="C128" s="29" t="s">
        <v>8</v>
      </c>
      <c r="D128" s="29" t="s">
        <v>53</v>
      </c>
      <c r="E128" s="14">
        <v>750.91</v>
      </c>
      <c r="F128" s="4"/>
    </row>
    <row r="129" hidden="1">
      <c r="A129" s="52">
        <v>46098.0</v>
      </c>
      <c r="B129" s="55" t="s">
        <v>313</v>
      </c>
      <c r="C129" s="29" t="s">
        <v>8</v>
      </c>
      <c r="D129" s="29" t="s">
        <v>53</v>
      </c>
      <c r="E129" s="14">
        <v>90.91</v>
      </c>
      <c r="F129" s="4"/>
    </row>
    <row r="130" hidden="1">
      <c r="A130" s="21"/>
      <c r="B130" s="21"/>
      <c r="C130" s="23"/>
      <c r="D130" s="23"/>
      <c r="E130" s="24"/>
      <c r="F130" s="24"/>
    </row>
    <row r="131" hidden="1">
      <c r="A131" s="25">
        <v>46099.0</v>
      </c>
      <c r="B131" s="27" t="s">
        <v>70</v>
      </c>
      <c r="C131" s="29" t="s">
        <v>8</v>
      </c>
      <c r="D131" s="29" t="s">
        <v>53</v>
      </c>
      <c r="E131" s="14">
        <v>110.91</v>
      </c>
      <c r="F131" s="4"/>
    </row>
    <row r="132" hidden="1">
      <c r="A132" s="52">
        <v>46099.0</v>
      </c>
      <c r="B132" s="56">
        <v>5.304533595E9</v>
      </c>
      <c r="C132" s="29" t="s">
        <v>8</v>
      </c>
      <c r="D132" s="29" t="s">
        <v>53</v>
      </c>
      <c r="E132" s="12">
        <v>37.91</v>
      </c>
      <c r="F132" s="4"/>
    </row>
    <row r="133" hidden="1">
      <c r="A133" s="52">
        <v>46099.0</v>
      </c>
      <c r="B133" s="56">
        <v>5.304533596E9</v>
      </c>
      <c r="C133" s="29" t="s">
        <v>8</v>
      </c>
      <c r="D133" s="29" t="s">
        <v>53</v>
      </c>
      <c r="E133" s="12">
        <v>32.91</v>
      </c>
      <c r="F133" s="4"/>
    </row>
    <row r="134" hidden="1">
      <c r="A134" s="52">
        <v>46099.0</v>
      </c>
      <c r="B134" s="55" t="s">
        <v>323</v>
      </c>
      <c r="C134" s="29" t="s">
        <v>8</v>
      </c>
      <c r="D134" s="29" t="s">
        <v>53</v>
      </c>
      <c r="E134" s="12">
        <v>40.91</v>
      </c>
      <c r="F134" s="4"/>
    </row>
    <row r="135" hidden="1">
      <c r="A135" s="52">
        <v>46099.0</v>
      </c>
      <c r="B135" s="57" t="s">
        <v>326</v>
      </c>
      <c r="C135" s="29" t="s">
        <v>8</v>
      </c>
      <c r="D135" s="29" t="s">
        <v>53</v>
      </c>
      <c r="E135" s="12">
        <v>150.91</v>
      </c>
      <c r="F135" s="4"/>
    </row>
    <row r="136" hidden="1">
      <c r="A136" s="52">
        <v>46099.0</v>
      </c>
      <c r="B136" s="57" t="s">
        <v>329</v>
      </c>
      <c r="C136" s="29" t="s">
        <v>8</v>
      </c>
      <c r="D136" s="29" t="s">
        <v>53</v>
      </c>
      <c r="E136" s="12">
        <v>68.91</v>
      </c>
      <c r="F136" s="4"/>
    </row>
    <row r="137" hidden="1">
      <c r="A137" s="52">
        <v>46099.0</v>
      </c>
      <c r="B137" s="57" t="s">
        <v>331</v>
      </c>
      <c r="C137" s="29" t="s">
        <v>8</v>
      </c>
      <c r="D137" s="29" t="s">
        <v>53</v>
      </c>
      <c r="E137" s="12">
        <v>27.91</v>
      </c>
      <c r="F137" s="4"/>
    </row>
    <row r="138" hidden="1">
      <c r="A138" s="52">
        <v>46099.0</v>
      </c>
      <c r="B138" s="56" t="s">
        <v>334</v>
      </c>
      <c r="C138" s="29" t="s">
        <v>8</v>
      </c>
      <c r="D138" s="29" t="s">
        <v>53</v>
      </c>
      <c r="E138" s="12">
        <v>35.91</v>
      </c>
      <c r="F138" s="4"/>
    </row>
    <row r="139" hidden="1">
      <c r="A139" s="52">
        <v>46099.0</v>
      </c>
      <c r="B139" s="57" t="s">
        <v>337</v>
      </c>
      <c r="C139" s="29" t="s">
        <v>8</v>
      </c>
      <c r="D139" s="29" t="s">
        <v>53</v>
      </c>
      <c r="E139" s="12">
        <v>58.91</v>
      </c>
      <c r="F139" s="4"/>
    </row>
    <row r="140" hidden="1">
      <c r="A140" s="52">
        <v>46099.0</v>
      </c>
      <c r="B140" s="57" t="s">
        <v>340</v>
      </c>
      <c r="C140" s="29" t="s">
        <v>8</v>
      </c>
      <c r="D140" s="29" t="s">
        <v>53</v>
      </c>
      <c r="E140" s="12">
        <v>93.91</v>
      </c>
      <c r="F140" s="4"/>
    </row>
    <row r="141" hidden="1">
      <c r="A141" s="52">
        <v>46099.0</v>
      </c>
      <c r="B141" s="57" t="s">
        <v>343</v>
      </c>
      <c r="C141" s="29" t="s">
        <v>8</v>
      </c>
      <c r="D141" s="29" t="s">
        <v>53</v>
      </c>
      <c r="E141" s="12">
        <v>120.91</v>
      </c>
      <c r="F141" s="4"/>
    </row>
    <row r="142" hidden="1">
      <c r="A142" s="52">
        <v>46099.0</v>
      </c>
      <c r="B142" s="55">
        <v>1.39021302E8</v>
      </c>
      <c r="C142" s="29" t="s">
        <v>8</v>
      </c>
      <c r="D142" s="29" t="s">
        <v>11</v>
      </c>
      <c r="E142" s="14">
        <v>95.93</v>
      </c>
      <c r="F142" s="4"/>
    </row>
    <row r="143" hidden="1">
      <c r="A143" s="52">
        <v>46099.0</v>
      </c>
      <c r="B143" s="55">
        <v>5.304527031E9</v>
      </c>
      <c r="C143" s="29" t="s">
        <v>8</v>
      </c>
      <c r="D143" s="29" t="s">
        <v>11</v>
      </c>
      <c r="E143" s="14">
        <v>70.93</v>
      </c>
      <c r="F143" s="4"/>
    </row>
    <row r="144" hidden="1">
      <c r="A144" s="52">
        <v>46099.0</v>
      </c>
      <c r="B144" s="55">
        <v>5.30453092E9</v>
      </c>
      <c r="C144" s="29" t="s">
        <v>8</v>
      </c>
      <c r="D144" s="29" t="s">
        <v>11</v>
      </c>
      <c r="E144" s="14">
        <v>55.93</v>
      </c>
      <c r="F144" s="4"/>
    </row>
    <row r="145" hidden="1">
      <c r="A145" s="52">
        <v>46099.0</v>
      </c>
      <c r="B145" s="55">
        <v>5.304524866E9</v>
      </c>
      <c r="C145" s="29" t="s">
        <v>8</v>
      </c>
      <c r="D145" s="29" t="s">
        <v>11</v>
      </c>
      <c r="E145" s="14">
        <v>70.93</v>
      </c>
      <c r="F145" s="4"/>
    </row>
    <row r="146" hidden="1">
      <c r="A146" s="52">
        <v>46099.0</v>
      </c>
      <c r="B146" s="55">
        <v>8.09069212E8</v>
      </c>
      <c r="C146" s="29" t="s">
        <v>8</v>
      </c>
      <c r="D146" s="29" t="s">
        <v>11</v>
      </c>
      <c r="E146" s="14">
        <v>80.93</v>
      </c>
      <c r="F146" s="4"/>
    </row>
    <row r="147" hidden="1">
      <c r="A147" s="52">
        <v>46099.0</v>
      </c>
      <c r="B147" s="55">
        <v>5.304535923E9</v>
      </c>
      <c r="C147" s="29" t="s">
        <v>8</v>
      </c>
      <c r="D147" s="29" t="s">
        <v>11</v>
      </c>
      <c r="E147" s="14">
        <v>130.93</v>
      </c>
      <c r="F147" s="4"/>
    </row>
    <row r="148" hidden="1">
      <c r="A148" s="52">
        <v>46099.0</v>
      </c>
      <c r="B148" s="55">
        <v>5.304530715E9</v>
      </c>
      <c r="C148" s="29" t="s">
        <v>8</v>
      </c>
      <c r="D148" s="29" t="s">
        <v>11</v>
      </c>
      <c r="E148" s="14">
        <v>30.93</v>
      </c>
      <c r="F148" s="4"/>
    </row>
    <row r="149" hidden="1">
      <c r="A149" s="52">
        <v>46099.0</v>
      </c>
      <c r="B149" s="55">
        <v>5.304528164E9</v>
      </c>
      <c r="C149" s="29" t="s">
        <v>8</v>
      </c>
      <c r="D149" s="29" t="s">
        <v>11</v>
      </c>
      <c r="E149" s="14">
        <v>25.93</v>
      </c>
      <c r="F149" s="4"/>
    </row>
    <row r="150" hidden="1">
      <c r="A150" s="52">
        <v>46099.0</v>
      </c>
      <c r="B150" s="55">
        <v>5.304530651E9</v>
      </c>
      <c r="C150" s="29" t="s">
        <v>8</v>
      </c>
      <c r="D150" s="29" t="s">
        <v>11</v>
      </c>
      <c r="E150" s="14">
        <v>22.93</v>
      </c>
      <c r="F150" s="4"/>
    </row>
    <row r="151" hidden="1">
      <c r="A151" s="52">
        <v>46099.0</v>
      </c>
      <c r="B151" s="55">
        <v>5.304531112E9</v>
      </c>
      <c r="C151" s="29" t="s">
        <v>8</v>
      </c>
      <c r="D151" s="29" t="s">
        <v>11</v>
      </c>
      <c r="E151" s="14">
        <v>80.93</v>
      </c>
      <c r="F151" s="4"/>
    </row>
    <row r="152" hidden="1">
      <c r="A152" s="52">
        <v>46099.0</v>
      </c>
      <c r="B152" s="55">
        <v>5.304532451E9</v>
      </c>
      <c r="C152" s="29" t="s">
        <v>8</v>
      </c>
      <c r="D152" s="29" t="s">
        <v>11</v>
      </c>
      <c r="E152" s="14">
        <v>75.93</v>
      </c>
      <c r="F152" s="4"/>
    </row>
    <row r="153" hidden="1">
      <c r="A153" s="52">
        <v>46099.0</v>
      </c>
      <c r="B153" s="55">
        <v>5.304530688E9</v>
      </c>
      <c r="C153" s="29" t="s">
        <v>8</v>
      </c>
      <c r="D153" s="29" t="s">
        <v>11</v>
      </c>
      <c r="E153" s="14">
        <v>60.93</v>
      </c>
      <c r="F153" s="4"/>
    </row>
    <row r="154" hidden="1">
      <c r="A154" s="52">
        <v>46099.0</v>
      </c>
      <c r="B154" s="55">
        <v>5.304536546E9</v>
      </c>
      <c r="C154" s="29" t="s">
        <v>8</v>
      </c>
      <c r="D154" s="29" t="s">
        <v>11</v>
      </c>
      <c r="E154" s="14">
        <v>50.93</v>
      </c>
      <c r="F154" s="4"/>
    </row>
    <row r="155" hidden="1">
      <c r="A155" s="52">
        <v>46099.0</v>
      </c>
      <c r="B155" s="55">
        <v>5.304517207E9</v>
      </c>
      <c r="C155" s="29" t="s">
        <v>8</v>
      </c>
      <c r="D155" s="29" t="s">
        <v>11</v>
      </c>
      <c r="E155" s="14">
        <v>40.93</v>
      </c>
      <c r="F155" s="4"/>
    </row>
    <row r="156" hidden="1">
      <c r="A156" s="52">
        <v>46099.0</v>
      </c>
      <c r="B156" s="55">
        <v>5.304531745E9</v>
      </c>
      <c r="C156" s="29" t="s">
        <v>8</v>
      </c>
      <c r="D156" s="29" t="s">
        <v>11</v>
      </c>
      <c r="E156" s="14">
        <v>40.93</v>
      </c>
      <c r="F156" s="4"/>
    </row>
    <row r="157" hidden="1">
      <c r="A157" s="52">
        <v>46099.0</v>
      </c>
      <c r="B157" s="55">
        <v>5.304525994E9</v>
      </c>
      <c r="C157" s="29" t="s">
        <v>8</v>
      </c>
      <c r="D157" s="29" t="s">
        <v>11</v>
      </c>
      <c r="E157" s="14">
        <v>30.93</v>
      </c>
      <c r="F157" s="4"/>
    </row>
    <row r="158" hidden="1">
      <c r="A158" s="52">
        <v>46099.0</v>
      </c>
      <c r="B158" s="55">
        <v>5.304511363E9</v>
      </c>
      <c r="C158" s="29" t="s">
        <v>8</v>
      </c>
      <c r="D158" s="29" t="s">
        <v>11</v>
      </c>
      <c r="E158" s="14">
        <v>49.93</v>
      </c>
      <c r="F158" s="4"/>
    </row>
    <row r="159" hidden="1">
      <c r="A159" s="52">
        <v>46099.0</v>
      </c>
      <c r="B159" s="55">
        <v>5.304534537E9</v>
      </c>
      <c r="C159" s="29" t="s">
        <v>8</v>
      </c>
      <c r="D159" s="29" t="s">
        <v>11</v>
      </c>
      <c r="E159" s="14">
        <v>80.93</v>
      </c>
      <c r="F159" s="4"/>
    </row>
    <row r="160" hidden="1">
      <c r="A160" s="52">
        <v>46099.0</v>
      </c>
      <c r="B160" s="55">
        <v>5.30453219E9</v>
      </c>
      <c r="C160" s="29" t="s">
        <v>8</v>
      </c>
      <c r="D160" s="29" t="s">
        <v>11</v>
      </c>
      <c r="E160" s="14">
        <v>75.93</v>
      </c>
      <c r="F160" s="4"/>
    </row>
    <row r="161" hidden="1">
      <c r="A161" s="52">
        <v>46099.0</v>
      </c>
      <c r="B161" s="55">
        <v>5.304526146E9</v>
      </c>
      <c r="C161" s="29" t="s">
        <v>8</v>
      </c>
      <c r="D161" s="29" t="s">
        <v>11</v>
      </c>
      <c r="E161" s="14">
        <v>90.93</v>
      </c>
      <c r="F161" s="4"/>
    </row>
    <row r="162" hidden="1">
      <c r="A162" s="21"/>
      <c r="B162" s="21"/>
      <c r="C162" s="23"/>
      <c r="D162" s="23"/>
      <c r="E162" s="24"/>
      <c r="F162" s="24"/>
    </row>
    <row r="163" hidden="1">
      <c r="A163" s="52">
        <v>46100.0</v>
      </c>
      <c r="B163" s="55" t="s">
        <v>354</v>
      </c>
      <c r="C163" s="29" t="s">
        <v>8</v>
      </c>
      <c r="D163" s="29" t="s">
        <v>53</v>
      </c>
      <c r="E163" s="12">
        <v>200.91</v>
      </c>
      <c r="F163" s="4"/>
    </row>
    <row r="164" hidden="1">
      <c r="A164" s="52">
        <v>46100.0</v>
      </c>
      <c r="B164" s="57" t="s">
        <v>69</v>
      </c>
      <c r="C164" s="29" t="s">
        <v>8</v>
      </c>
      <c r="D164" s="29" t="s">
        <v>53</v>
      </c>
      <c r="E164" s="12">
        <v>115.91</v>
      </c>
      <c r="F164" s="4"/>
    </row>
    <row r="165" hidden="1">
      <c r="A165" s="52">
        <v>46100.0</v>
      </c>
      <c r="B165" s="57" t="s">
        <v>358</v>
      </c>
      <c r="C165" s="29" t="s">
        <v>8</v>
      </c>
      <c r="D165" s="29" t="s">
        <v>53</v>
      </c>
      <c r="E165" s="12">
        <v>95.91</v>
      </c>
      <c r="F165" s="4"/>
    </row>
    <row r="166" hidden="1">
      <c r="A166" s="52">
        <v>46100.0</v>
      </c>
      <c r="B166" s="56" t="s">
        <v>361</v>
      </c>
      <c r="C166" s="29" t="s">
        <v>8</v>
      </c>
      <c r="D166" s="29" t="s">
        <v>53</v>
      </c>
      <c r="E166" s="12">
        <v>35.91</v>
      </c>
      <c r="F166" s="4"/>
    </row>
    <row r="167" hidden="1">
      <c r="A167" s="52">
        <v>46100.0</v>
      </c>
      <c r="B167" s="55" t="s">
        <v>363</v>
      </c>
      <c r="C167" s="29" t="s">
        <v>8</v>
      </c>
      <c r="D167" s="29" t="s">
        <v>53</v>
      </c>
      <c r="E167" s="12">
        <v>38.91</v>
      </c>
      <c r="F167" s="4"/>
    </row>
    <row r="168" hidden="1">
      <c r="A168" s="52">
        <v>46100.0</v>
      </c>
      <c r="B168" s="56" t="s">
        <v>365</v>
      </c>
      <c r="C168" s="29" t="s">
        <v>8</v>
      </c>
      <c r="D168" s="29" t="s">
        <v>53</v>
      </c>
      <c r="E168" s="12">
        <v>53.91</v>
      </c>
      <c r="F168" s="4"/>
    </row>
    <row r="169" hidden="1">
      <c r="A169" s="52">
        <v>46100.0</v>
      </c>
      <c r="B169" s="57" t="s">
        <v>367</v>
      </c>
      <c r="C169" s="29" t="s">
        <v>8</v>
      </c>
      <c r="D169" s="29" t="s">
        <v>53</v>
      </c>
      <c r="E169" s="12">
        <v>35.91</v>
      </c>
      <c r="F169" s="4"/>
    </row>
    <row r="170" hidden="1">
      <c r="A170" s="52">
        <v>46100.0</v>
      </c>
      <c r="B170" s="56" t="s">
        <v>370</v>
      </c>
      <c r="C170" s="29" t="s">
        <v>8</v>
      </c>
      <c r="D170" s="29" t="s">
        <v>53</v>
      </c>
      <c r="E170" s="12">
        <v>175.91</v>
      </c>
      <c r="F170" s="4"/>
    </row>
    <row r="171" hidden="1">
      <c r="A171" s="52">
        <v>46100.0</v>
      </c>
      <c r="B171" s="56" t="s">
        <v>372</v>
      </c>
      <c r="C171" s="29" t="s">
        <v>8</v>
      </c>
      <c r="D171" s="29" t="s">
        <v>53</v>
      </c>
      <c r="E171" s="12">
        <v>95.91</v>
      </c>
      <c r="F171" s="4"/>
    </row>
    <row r="172" hidden="1">
      <c r="A172" s="52">
        <v>46100.0</v>
      </c>
      <c r="B172" s="57" t="s">
        <v>375</v>
      </c>
      <c r="C172" s="29" t="s">
        <v>8</v>
      </c>
      <c r="D172" s="29" t="s">
        <v>53</v>
      </c>
      <c r="E172" s="12">
        <v>31.91</v>
      </c>
      <c r="F172" s="4"/>
    </row>
    <row r="173" hidden="1">
      <c r="A173" s="52">
        <v>46100.0</v>
      </c>
      <c r="B173" s="57" t="s">
        <v>378</v>
      </c>
      <c r="C173" s="29" t="s">
        <v>8</v>
      </c>
      <c r="D173" s="29" t="s">
        <v>53</v>
      </c>
      <c r="E173" s="12">
        <v>50.91</v>
      </c>
      <c r="F173" s="4"/>
    </row>
    <row r="174" hidden="1">
      <c r="A174" s="52">
        <v>46100.0</v>
      </c>
      <c r="B174" s="56" t="s">
        <v>381</v>
      </c>
      <c r="C174" s="29" t="s">
        <v>8</v>
      </c>
      <c r="D174" s="29" t="s">
        <v>53</v>
      </c>
      <c r="E174" s="12">
        <v>43.91</v>
      </c>
      <c r="F174" s="4"/>
    </row>
    <row r="175" hidden="1">
      <c r="A175" s="52">
        <v>46100.0</v>
      </c>
      <c r="B175" s="57" t="s">
        <v>67</v>
      </c>
      <c r="C175" s="29" t="s">
        <v>8</v>
      </c>
      <c r="D175" s="29" t="s">
        <v>53</v>
      </c>
      <c r="E175" s="12">
        <v>75.91</v>
      </c>
      <c r="F175" s="4"/>
    </row>
    <row r="176" hidden="1">
      <c r="A176" s="52">
        <v>46100.0</v>
      </c>
      <c r="B176" s="57" t="s">
        <v>385</v>
      </c>
      <c r="C176" s="29" t="s">
        <v>8</v>
      </c>
      <c r="D176" s="29" t="s">
        <v>53</v>
      </c>
      <c r="E176" s="12">
        <v>175.91</v>
      </c>
      <c r="F176" s="4"/>
    </row>
    <row r="177" hidden="1">
      <c r="A177" s="52">
        <v>46100.0</v>
      </c>
      <c r="B177" s="55">
        <v>5.303918899E9</v>
      </c>
      <c r="C177" s="29" t="s">
        <v>8</v>
      </c>
      <c r="D177" s="29" t="s">
        <v>11</v>
      </c>
      <c r="E177" s="14">
        <v>30.93</v>
      </c>
      <c r="F177" s="4"/>
    </row>
    <row r="178" hidden="1">
      <c r="A178" s="52">
        <v>46100.0</v>
      </c>
      <c r="B178" s="55">
        <v>5.304535108E9</v>
      </c>
      <c r="C178" s="29" t="s">
        <v>8</v>
      </c>
      <c r="D178" s="29" t="s">
        <v>11</v>
      </c>
      <c r="E178" s="14">
        <v>43.93</v>
      </c>
      <c r="F178" s="4"/>
    </row>
    <row r="179" hidden="1">
      <c r="A179" s="52">
        <v>46100.0</v>
      </c>
      <c r="B179" s="55">
        <v>2.41675705E8</v>
      </c>
      <c r="C179" s="29" t="s">
        <v>8</v>
      </c>
      <c r="D179" s="29" t="s">
        <v>11</v>
      </c>
      <c r="E179" s="14">
        <v>30.93</v>
      </c>
      <c r="F179" s="4"/>
    </row>
    <row r="180" hidden="1">
      <c r="A180" s="52">
        <v>46100.0</v>
      </c>
      <c r="B180" s="55">
        <v>5.304509676E9</v>
      </c>
      <c r="C180" s="29" t="s">
        <v>8</v>
      </c>
      <c r="D180" s="29" t="s">
        <v>11</v>
      </c>
      <c r="E180" s="14">
        <v>22.93</v>
      </c>
      <c r="F180" s="4"/>
    </row>
    <row r="181" hidden="1">
      <c r="A181" s="52">
        <v>46100.0</v>
      </c>
      <c r="B181" s="55">
        <v>5.304519758E9</v>
      </c>
      <c r="C181" s="29" t="s">
        <v>8</v>
      </c>
      <c r="D181" s="29" t="s">
        <v>11</v>
      </c>
      <c r="E181" s="14">
        <v>80.93</v>
      </c>
      <c r="F181" s="4"/>
    </row>
    <row r="182" hidden="1">
      <c r="A182" s="52">
        <v>46100.0</v>
      </c>
      <c r="B182" s="55">
        <v>5.303918894E9</v>
      </c>
      <c r="C182" s="29" t="s">
        <v>8</v>
      </c>
      <c r="D182" s="29" t="s">
        <v>11</v>
      </c>
      <c r="E182" s="14">
        <v>119.93</v>
      </c>
      <c r="F182" s="4"/>
    </row>
    <row r="183" hidden="1">
      <c r="A183" s="52">
        <v>46100.0</v>
      </c>
      <c r="B183" s="55" t="s">
        <v>392</v>
      </c>
      <c r="C183" s="29" t="s">
        <v>8</v>
      </c>
      <c r="D183" s="29" t="s">
        <v>11</v>
      </c>
      <c r="E183" s="14">
        <v>30.93</v>
      </c>
      <c r="F183" s="4"/>
    </row>
    <row r="184" hidden="1">
      <c r="A184" s="52">
        <v>46100.0</v>
      </c>
      <c r="B184" s="55">
        <v>1.54825001E8</v>
      </c>
      <c r="C184" s="29" t="s">
        <v>8</v>
      </c>
      <c r="D184" s="29" t="s">
        <v>11</v>
      </c>
      <c r="E184" s="14">
        <v>20.93</v>
      </c>
      <c r="F184" s="4"/>
    </row>
    <row r="185" hidden="1">
      <c r="A185" s="52">
        <v>46100.0</v>
      </c>
      <c r="B185" s="55">
        <v>8.09069206E8</v>
      </c>
      <c r="C185" s="29" t="s">
        <v>8</v>
      </c>
      <c r="D185" s="29" t="s">
        <v>11</v>
      </c>
      <c r="E185" s="14">
        <v>25.93</v>
      </c>
      <c r="F185" s="4"/>
    </row>
    <row r="186" hidden="1">
      <c r="A186" s="52">
        <v>46100.0</v>
      </c>
      <c r="B186" s="55">
        <v>2.42253002E8</v>
      </c>
      <c r="C186" s="29" t="s">
        <v>8</v>
      </c>
      <c r="D186" s="29" t="s">
        <v>11</v>
      </c>
      <c r="E186" s="14">
        <v>35.93</v>
      </c>
      <c r="F186" s="4"/>
    </row>
    <row r="187" hidden="1">
      <c r="A187" s="52">
        <v>46100.0</v>
      </c>
      <c r="B187" s="55">
        <v>3.16489403E8</v>
      </c>
      <c r="C187" s="29" t="s">
        <v>8</v>
      </c>
      <c r="D187" s="29" t="s">
        <v>11</v>
      </c>
      <c r="E187" s="14">
        <v>20.93</v>
      </c>
      <c r="F187" s="4"/>
    </row>
    <row r="188" hidden="1">
      <c r="A188" s="52">
        <v>46100.0</v>
      </c>
      <c r="B188" s="55">
        <v>5.304519252E9</v>
      </c>
      <c r="C188" s="29" t="s">
        <v>8</v>
      </c>
      <c r="D188" s="29" t="s">
        <v>11</v>
      </c>
      <c r="E188" s="14">
        <v>70.93</v>
      </c>
      <c r="F188" s="4"/>
    </row>
    <row r="189" hidden="1">
      <c r="A189" s="52">
        <v>46100.0</v>
      </c>
      <c r="B189" s="55">
        <v>5.304513303E9</v>
      </c>
      <c r="C189" s="29" t="s">
        <v>8</v>
      </c>
      <c r="D189" s="29" t="s">
        <v>11</v>
      </c>
      <c r="E189" s="14">
        <v>130.93</v>
      </c>
      <c r="F189" s="4"/>
    </row>
    <row r="190" hidden="1">
      <c r="A190" s="21"/>
      <c r="B190" s="21"/>
      <c r="C190" s="23"/>
      <c r="D190" s="23"/>
      <c r="E190" s="24"/>
      <c r="F190" s="24"/>
    </row>
    <row r="191" hidden="1">
      <c r="A191" s="52">
        <v>46101.0</v>
      </c>
      <c r="B191" s="57" t="s">
        <v>400</v>
      </c>
      <c r="C191" s="29" t="s">
        <v>8</v>
      </c>
      <c r="D191" s="29" t="s">
        <v>53</v>
      </c>
      <c r="E191" s="12">
        <v>200.91</v>
      </c>
      <c r="F191" s="4"/>
    </row>
    <row r="192" hidden="1">
      <c r="A192" s="52">
        <v>46101.0</v>
      </c>
      <c r="B192" s="78" t="s">
        <v>403</v>
      </c>
      <c r="C192" s="29" t="s">
        <v>8</v>
      </c>
      <c r="D192" s="29" t="s">
        <v>53</v>
      </c>
      <c r="E192" s="12">
        <v>155.91</v>
      </c>
      <c r="F192" s="4"/>
    </row>
    <row r="193" hidden="1">
      <c r="A193" s="52">
        <v>46101.0</v>
      </c>
      <c r="B193" s="57" t="s">
        <v>405</v>
      </c>
      <c r="C193" s="29" t="s">
        <v>8</v>
      </c>
      <c r="D193" s="29" t="s">
        <v>53</v>
      </c>
      <c r="E193" s="12">
        <v>57.91</v>
      </c>
      <c r="F193" s="4"/>
    </row>
    <row r="194" hidden="1">
      <c r="A194" s="52">
        <v>46101.0</v>
      </c>
      <c r="B194" s="56" t="s">
        <v>408</v>
      </c>
      <c r="C194" s="29" t="s">
        <v>8</v>
      </c>
      <c r="D194" s="29" t="s">
        <v>53</v>
      </c>
      <c r="E194" s="12">
        <v>190.91</v>
      </c>
      <c r="F194" s="4"/>
    </row>
    <row r="195" hidden="1">
      <c r="A195" s="52">
        <v>46101.0</v>
      </c>
      <c r="B195" s="55" t="s">
        <v>411</v>
      </c>
      <c r="C195" s="29" t="s">
        <v>8</v>
      </c>
      <c r="D195" s="29" t="s">
        <v>53</v>
      </c>
      <c r="E195" s="12">
        <v>120.91</v>
      </c>
      <c r="F195" s="4"/>
    </row>
    <row r="196" hidden="1">
      <c r="A196" s="52">
        <v>46101.0</v>
      </c>
      <c r="B196" s="56" t="s">
        <v>414</v>
      </c>
      <c r="C196" s="29" t="s">
        <v>8</v>
      </c>
      <c r="D196" s="29" t="s">
        <v>53</v>
      </c>
      <c r="E196" s="12">
        <v>95.91</v>
      </c>
      <c r="F196" s="4"/>
    </row>
    <row r="197" hidden="1">
      <c r="A197" s="52">
        <v>46101.0</v>
      </c>
      <c r="B197" s="55" t="s">
        <v>417</v>
      </c>
      <c r="C197" s="29" t="s">
        <v>8</v>
      </c>
      <c r="D197" s="29" t="s">
        <v>53</v>
      </c>
      <c r="E197" s="12">
        <v>115.91</v>
      </c>
      <c r="F197" s="4"/>
    </row>
    <row r="198" hidden="1">
      <c r="A198" s="52">
        <v>46101.0</v>
      </c>
      <c r="B198" s="55" t="s">
        <v>420</v>
      </c>
      <c r="C198" s="29" t="s">
        <v>8</v>
      </c>
      <c r="D198" s="29" t="s">
        <v>53</v>
      </c>
      <c r="E198" s="12">
        <v>95.91</v>
      </c>
      <c r="F198" s="4"/>
    </row>
    <row r="199" hidden="1">
      <c r="A199" s="52">
        <v>46101.0</v>
      </c>
      <c r="B199" s="55" t="s">
        <v>422</v>
      </c>
      <c r="C199" s="29" t="s">
        <v>8</v>
      </c>
      <c r="D199" s="29" t="s">
        <v>53</v>
      </c>
      <c r="E199" s="12">
        <v>53.91</v>
      </c>
      <c r="F199" s="4"/>
    </row>
    <row r="200" hidden="1">
      <c r="A200" s="52">
        <v>46101.0</v>
      </c>
      <c r="B200" s="78" t="s">
        <v>424</v>
      </c>
      <c r="C200" s="29" t="s">
        <v>8</v>
      </c>
      <c r="D200" s="29" t="s">
        <v>53</v>
      </c>
      <c r="E200" s="12">
        <v>55.91</v>
      </c>
      <c r="F200" s="4"/>
    </row>
    <row r="201" hidden="1">
      <c r="A201" s="52">
        <v>46101.0</v>
      </c>
      <c r="B201" s="78" t="s">
        <v>427</v>
      </c>
      <c r="C201" s="29" t="s">
        <v>8</v>
      </c>
      <c r="D201" s="29" t="s">
        <v>53</v>
      </c>
      <c r="E201" s="12">
        <v>87.91</v>
      </c>
      <c r="F201" s="4"/>
    </row>
    <row r="202" hidden="1">
      <c r="A202" s="52">
        <v>46101.0</v>
      </c>
      <c r="B202" s="55" t="s">
        <v>429</v>
      </c>
      <c r="C202" s="29" t="s">
        <v>8</v>
      </c>
      <c r="D202" s="29" t="s">
        <v>53</v>
      </c>
      <c r="E202" s="12">
        <v>58.91</v>
      </c>
      <c r="F202" s="4"/>
    </row>
    <row r="203" hidden="1">
      <c r="A203" s="52">
        <v>46101.0</v>
      </c>
      <c r="B203" s="78" t="s">
        <v>432</v>
      </c>
      <c r="C203" s="29" t="s">
        <v>8</v>
      </c>
      <c r="D203" s="29" t="s">
        <v>53</v>
      </c>
      <c r="E203" s="12">
        <v>73.91</v>
      </c>
      <c r="F203" s="12" t="s">
        <v>435</v>
      </c>
    </row>
    <row r="204" hidden="1">
      <c r="A204" s="52">
        <v>46101.0</v>
      </c>
      <c r="B204" s="56" t="s">
        <v>436</v>
      </c>
      <c r="C204" s="29" t="s">
        <v>8</v>
      </c>
      <c r="D204" s="29" t="s">
        <v>53</v>
      </c>
      <c r="E204" s="12">
        <v>73.91</v>
      </c>
      <c r="F204" s="4"/>
    </row>
    <row r="205" hidden="1">
      <c r="A205" s="52">
        <v>46101.0</v>
      </c>
      <c r="B205" s="57" t="s">
        <v>438</v>
      </c>
      <c r="C205" s="29" t="s">
        <v>8</v>
      </c>
      <c r="D205" s="29" t="s">
        <v>53</v>
      </c>
      <c r="E205" s="12">
        <v>42.91</v>
      </c>
      <c r="F205" s="4"/>
    </row>
    <row r="206" hidden="1">
      <c r="A206" s="52">
        <v>46101.0</v>
      </c>
      <c r="B206" s="57" t="s">
        <v>440</v>
      </c>
      <c r="C206" s="29" t="s">
        <v>8</v>
      </c>
      <c r="D206" s="29" t="s">
        <v>53</v>
      </c>
      <c r="E206" s="12">
        <v>22.91</v>
      </c>
      <c r="F206" s="4"/>
    </row>
    <row r="207" hidden="1">
      <c r="A207" s="52">
        <v>46101.0</v>
      </c>
      <c r="B207" s="55" t="s">
        <v>443</v>
      </c>
      <c r="C207" s="29" t="s">
        <v>8</v>
      </c>
      <c r="D207" s="29" t="s">
        <v>53</v>
      </c>
      <c r="E207" s="14">
        <v>50.93</v>
      </c>
      <c r="F207" s="4"/>
    </row>
    <row r="208" hidden="1">
      <c r="A208" s="52">
        <v>46101.0</v>
      </c>
      <c r="B208" s="55" t="s">
        <v>445</v>
      </c>
      <c r="C208" s="29" t="s">
        <v>8</v>
      </c>
      <c r="D208" s="29" t="s">
        <v>53</v>
      </c>
      <c r="E208" s="14">
        <v>40.93</v>
      </c>
      <c r="F208" s="4"/>
    </row>
    <row r="209" hidden="1">
      <c r="A209" s="52">
        <v>46101.0</v>
      </c>
      <c r="B209" s="55" t="s">
        <v>448</v>
      </c>
      <c r="C209" s="29" t="s">
        <v>8</v>
      </c>
      <c r="D209" s="29" t="s">
        <v>53</v>
      </c>
      <c r="E209" s="14">
        <v>42.93</v>
      </c>
      <c r="F209" s="4"/>
    </row>
    <row r="210" hidden="1">
      <c r="A210" s="52">
        <v>46101.0</v>
      </c>
      <c r="B210" s="55" t="s">
        <v>450</v>
      </c>
      <c r="C210" s="29" t="s">
        <v>8</v>
      </c>
      <c r="D210" s="29" t="s">
        <v>53</v>
      </c>
      <c r="E210" s="14">
        <v>79.93</v>
      </c>
      <c r="F210" s="4"/>
    </row>
    <row r="211" hidden="1">
      <c r="A211" s="52">
        <v>46101.0</v>
      </c>
      <c r="B211" s="55" t="s">
        <v>451</v>
      </c>
      <c r="C211" s="29" t="s">
        <v>8</v>
      </c>
      <c r="D211" s="29" t="s">
        <v>53</v>
      </c>
      <c r="E211" s="14">
        <v>69.93</v>
      </c>
      <c r="F211" s="4"/>
    </row>
    <row r="212" hidden="1">
      <c r="A212" s="52">
        <v>46101.0</v>
      </c>
      <c r="B212" s="55" t="s">
        <v>453</v>
      </c>
      <c r="C212" s="29" t="s">
        <v>8</v>
      </c>
      <c r="D212" s="29" t="s">
        <v>53</v>
      </c>
      <c r="E212" s="14">
        <v>45.93</v>
      </c>
      <c r="F212" s="4"/>
    </row>
    <row r="213" hidden="1">
      <c r="A213" s="52">
        <v>46101.0</v>
      </c>
      <c r="B213" s="55" t="s">
        <v>456</v>
      </c>
      <c r="C213" s="29" t="s">
        <v>8</v>
      </c>
      <c r="D213" s="29" t="s">
        <v>53</v>
      </c>
      <c r="E213" s="14">
        <v>45.93</v>
      </c>
      <c r="F213" s="4"/>
    </row>
    <row r="214" hidden="1">
      <c r="A214" s="52">
        <v>46101.0</v>
      </c>
      <c r="B214" s="55" t="s">
        <v>459</v>
      </c>
      <c r="C214" s="29" t="s">
        <v>8</v>
      </c>
      <c r="D214" s="29" t="s">
        <v>53</v>
      </c>
      <c r="E214" s="14">
        <v>145.93</v>
      </c>
      <c r="F214" s="4"/>
    </row>
    <row r="215" hidden="1">
      <c r="A215" s="52">
        <v>46101.0</v>
      </c>
      <c r="B215" s="55" t="s">
        <v>462</v>
      </c>
      <c r="C215" s="29" t="s">
        <v>8</v>
      </c>
      <c r="D215" s="29" t="s">
        <v>53</v>
      </c>
      <c r="E215" s="14">
        <v>64.93</v>
      </c>
      <c r="F215" s="4"/>
    </row>
    <row r="216" hidden="1">
      <c r="A216" s="21"/>
      <c r="B216" s="21"/>
      <c r="C216" s="23"/>
      <c r="D216" s="23"/>
      <c r="E216" s="24"/>
      <c r="F216" s="24"/>
    </row>
    <row r="217" hidden="1">
      <c r="A217" s="52">
        <v>46104.0</v>
      </c>
      <c r="B217" s="57" t="s">
        <v>466</v>
      </c>
      <c r="C217" s="29" t="s">
        <v>8</v>
      </c>
      <c r="D217" s="29" t="s">
        <v>53</v>
      </c>
      <c r="E217" s="12">
        <v>45.91</v>
      </c>
      <c r="F217" s="4"/>
    </row>
    <row r="218" hidden="1">
      <c r="A218" s="52">
        <v>46104.0</v>
      </c>
      <c r="B218" s="55" t="s">
        <v>469</v>
      </c>
      <c r="C218" s="29" t="s">
        <v>8</v>
      </c>
      <c r="D218" s="29" t="s">
        <v>12</v>
      </c>
      <c r="E218" s="14">
        <v>52.97</v>
      </c>
      <c r="F218" s="4"/>
    </row>
    <row r="219" hidden="1">
      <c r="A219" s="52">
        <v>46104.0</v>
      </c>
      <c r="B219" s="55" t="s">
        <v>474</v>
      </c>
      <c r="C219" s="29" t="s">
        <v>8</v>
      </c>
      <c r="D219" s="29" t="s">
        <v>12</v>
      </c>
      <c r="E219" s="14">
        <v>43.97</v>
      </c>
      <c r="F219" s="4"/>
    </row>
    <row r="220" hidden="1">
      <c r="A220" s="52">
        <v>46104.0</v>
      </c>
      <c r="B220" s="57" t="s">
        <v>477</v>
      </c>
      <c r="C220" s="29" t="s">
        <v>8</v>
      </c>
      <c r="D220" s="29" t="s">
        <v>53</v>
      </c>
      <c r="E220" s="12">
        <v>95.91</v>
      </c>
      <c r="F220" s="4"/>
    </row>
    <row r="221" hidden="1">
      <c r="A221" s="52">
        <v>46104.0</v>
      </c>
      <c r="B221" s="57" t="s">
        <v>480</v>
      </c>
      <c r="C221" s="29" t="s">
        <v>8</v>
      </c>
      <c r="D221" s="29" t="s">
        <v>53</v>
      </c>
      <c r="E221" s="12">
        <v>75.91</v>
      </c>
      <c r="F221" s="4"/>
    </row>
    <row r="222" hidden="1">
      <c r="A222" s="52">
        <v>46104.0</v>
      </c>
      <c r="B222" s="85" t="s">
        <v>483</v>
      </c>
      <c r="C222" s="29" t="s">
        <v>9</v>
      </c>
      <c r="D222" s="29" t="s">
        <v>12</v>
      </c>
      <c r="E222" s="12">
        <v>199.97</v>
      </c>
      <c r="F222" s="4"/>
    </row>
    <row r="223" hidden="1">
      <c r="A223" s="52">
        <v>46104.0</v>
      </c>
      <c r="B223" s="56" t="s">
        <v>486</v>
      </c>
      <c r="C223" s="29" t="s">
        <v>8</v>
      </c>
      <c r="D223" s="29" t="s">
        <v>53</v>
      </c>
      <c r="E223" s="12">
        <v>125.91</v>
      </c>
      <c r="F223" s="4"/>
    </row>
    <row r="224" hidden="1">
      <c r="A224" s="52">
        <v>46104.0</v>
      </c>
      <c r="B224" s="56" t="s">
        <v>488</v>
      </c>
      <c r="C224" s="29" t="s">
        <v>8</v>
      </c>
      <c r="D224" s="29" t="s">
        <v>53</v>
      </c>
      <c r="E224" s="12">
        <v>105.91</v>
      </c>
      <c r="F224" s="4"/>
    </row>
    <row r="225" hidden="1">
      <c r="A225" s="52">
        <v>46104.0</v>
      </c>
      <c r="B225" s="56" t="s">
        <v>491</v>
      </c>
      <c r="C225" s="29" t="s">
        <v>8</v>
      </c>
      <c r="D225" s="29" t="s">
        <v>53</v>
      </c>
      <c r="E225" s="87">
        <v>170.91</v>
      </c>
      <c r="F225" s="4"/>
    </row>
    <row r="226" hidden="1">
      <c r="A226" s="52">
        <v>46104.0</v>
      </c>
      <c r="B226" s="56" t="s">
        <v>494</v>
      </c>
      <c r="C226" s="29" t="s">
        <v>8</v>
      </c>
      <c r="D226" s="29" t="s">
        <v>53</v>
      </c>
      <c r="E226" s="12">
        <v>85.91</v>
      </c>
      <c r="F226" s="4"/>
    </row>
    <row r="227" hidden="1">
      <c r="A227" s="52">
        <v>46104.0</v>
      </c>
      <c r="B227" s="56" t="s">
        <v>496</v>
      </c>
      <c r="C227" s="29" t="s">
        <v>8</v>
      </c>
      <c r="D227" s="29" t="s">
        <v>53</v>
      </c>
      <c r="E227" s="12">
        <v>175.91</v>
      </c>
      <c r="F227" s="4"/>
    </row>
    <row r="228" hidden="1">
      <c r="A228" s="52">
        <v>46104.0</v>
      </c>
      <c r="B228" s="56" t="s">
        <v>498</v>
      </c>
      <c r="C228" s="29" t="s">
        <v>9</v>
      </c>
      <c r="D228" s="29" t="s">
        <v>11</v>
      </c>
      <c r="E228" s="14">
        <v>20.93</v>
      </c>
      <c r="F228" s="12">
        <v>2.0</v>
      </c>
    </row>
    <row r="229" hidden="1">
      <c r="A229" s="52">
        <v>46104.0</v>
      </c>
      <c r="B229" s="56" t="s">
        <v>500</v>
      </c>
      <c r="C229" s="29" t="s">
        <v>9</v>
      </c>
      <c r="D229" s="29" t="s">
        <v>11</v>
      </c>
      <c r="E229" s="14">
        <v>49.93</v>
      </c>
      <c r="F229" s="4"/>
    </row>
    <row r="230" hidden="1">
      <c r="A230" s="52">
        <v>46104.0</v>
      </c>
      <c r="B230" s="56" t="s">
        <v>498</v>
      </c>
      <c r="C230" s="29" t="s">
        <v>9</v>
      </c>
      <c r="D230" s="29" t="s">
        <v>11</v>
      </c>
      <c r="E230" s="14">
        <v>20.93</v>
      </c>
      <c r="F230" s="4"/>
    </row>
    <row r="231" hidden="1">
      <c r="A231" s="52">
        <v>46104.0</v>
      </c>
      <c r="B231" s="56" t="s">
        <v>503</v>
      </c>
      <c r="C231" s="29" t="s">
        <v>9</v>
      </c>
      <c r="D231" s="29" t="s">
        <v>11</v>
      </c>
      <c r="E231" s="14">
        <v>20.93</v>
      </c>
      <c r="F231" s="4"/>
    </row>
    <row r="232" hidden="1">
      <c r="A232" s="52">
        <v>46104.0</v>
      </c>
      <c r="B232" s="56" t="s">
        <v>505</v>
      </c>
      <c r="C232" s="29" t="s">
        <v>9</v>
      </c>
      <c r="D232" s="29" t="s">
        <v>11</v>
      </c>
      <c r="E232" s="14">
        <v>35.93</v>
      </c>
      <c r="F232" s="4"/>
    </row>
    <row r="233" hidden="1">
      <c r="A233" s="52">
        <v>46104.0</v>
      </c>
      <c r="B233" s="56" t="s">
        <v>506</v>
      </c>
      <c r="C233" s="29" t="s">
        <v>9</v>
      </c>
      <c r="D233" s="29" t="s">
        <v>11</v>
      </c>
      <c r="E233" s="14">
        <v>89.93</v>
      </c>
      <c r="F233" s="4"/>
    </row>
    <row r="234" hidden="1">
      <c r="A234" s="52">
        <v>46104.0</v>
      </c>
      <c r="B234" s="56" t="s">
        <v>509</v>
      </c>
      <c r="C234" s="29" t="s">
        <v>9</v>
      </c>
      <c r="D234" s="29" t="s">
        <v>11</v>
      </c>
      <c r="E234" s="14">
        <v>90.93</v>
      </c>
      <c r="F234" s="4"/>
    </row>
    <row r="235" hidden="1">
      <c r="A235" s="52">
        <v>46104.0</v>
      </c>
      <c r="B235" s="56" t="s">
        <v>512</v>
      </c>
      <c r="C235" s="29" t="s">
        <v>9</v>
      </c>
      <c r="D235" s="29" t="s">
        <v>11</v>
      </c>
      <c r="E235" s="14">
        <v>20.93</v>
      </c>
      <c r="F235" s="4"/>
    </row>
    <row r="236" hidden="1">
      <c r="A236" s="52">
        <v>46104.0</v>
      </c>
      <c r="B236" s="56" t="s">
        <v>514</v>
      </c>
      <c r="C236" s="29" t="s">
        <v>9</v>
      </c>
      <c r="D236" s="29" t="s">
        <v>11</v>
      </c>
      <c r="E236" s="14">
        <v>20.93</v>
      </c>
      <c r="F236" s="4"/>
    </row>
    <row r="237" hidden="1">
      <c r="A237" s="52">
        <v>46104.0</v>
      </c>
      <c r="B237" s="56" t="s">
        <v>516</v>
      </c>
      <c r="C237" s="29" t="s">
        <v>9</v>
      </c>
      <c r="D237" s="29" t="s">
        <v>11</v>
      </c>
      <c r="E237" s="14">
        <v>20.93</v>
      </c>
      <c r="F237" s="4"/>
    </row>
    <row r="238" hidden="1">
      <c r="A238" s="52">
        <v>46104.0</v>
      </c>
      <c r="B238" s="56" t="s">
        <v>518</v>
      </c>
      <c r="C238" s="29" t="s">
        <v>9</v>
      </c>
      <c r="D238" s="29" t="s">
        <v>11</v>
      </c>
      <c r="E238" s="14">
        <v>20.93</v>
      </c>
      <c r="F238" s="4"/>
    </row>
    <row r="239" hidden="1">
      <c r="A239" s="52">
        <v>46104.0</v>
      </c>
      <c r="B239" s="56" t="s">
        <v>503</v>
      </c>
      <c r="C239" s="29" t="s">
        <v>9</v>
      </c>
      <c r="D239" s="29" t="s">
        <v>11</v>
      </c>
      <c r="E239" s="14">
        <v>20.93</v>
      </c>
      <c r="F239" s="12">
        <v>3.0</v>
      </c>
    </row>
    <row r="240" hidden="1">
      <c r="A240" s="52">
        <v>46104.0</v>
      </c>
      <c r="B240" s="56" t="s">
        <v>503</v>
      </c>
      <c r="C240" s="29" t="s">
        <v>9</v>
      </c>
      <c r="D240" s="29" t="s">
        <v>11</v>
      </c>
      <c r="E240" s="14">
        <v>20.93</v>
      </c>
      <c r="F240" s="12">
        <v>3.0</v>
      </c>
    </row>
    <row r="241" hidden="1">
      <c r="A241" s="52">
        <v>46104.0</v>
      </c>
      <c r="B241" s="56" t="s">
        <v>512</v>
      </c>
      <c r="C241" s="29" t="s">
        <v>9</v>
      </c>
      <c r="D241" s="29" t="s">
        <v>11</v>
      </c>
      <c r="E241" s="14">
        <v>20.93</v>
      </c>
      <c r="F241" s="4"/>
    </row>
    <row r="242" hidden="1">
      <c r="A242" s="52">
        <v>46104.0</v>
      </c>
      <c r="B242" s="56" t="s">
        <v>524</v>
      </c>
      <c r="C242" s="29" t="s">
        <v>9</v>
      </c>
      <c r="D242" s="29" t="s">
        <v>11</v>
      </c>
      <c r="E242" s="14">
        <v>20.93</v>
      </c>
      <c r="F242" s="4"/>
    </row>
    <row r="243" hidden="1">
      <c r="A243" s="52">
        <v>46104.0</v>
      </c>
      <c r="B243" s="56" t="s">
        <v>526</v>
      </c>
      <c r="C243" s="29" t="s">
        <v>9</v>
      </c>
      <c r="D243" s="29" t="s">
        <v>11</v>
      </c>
      <c r="E243" s="14">
        <v>24.93</v>
      </c>
      <c r="F243" s="4"/>
    </row>
    <row r="244" hidden="1">
      <c r="A244" s="21"/>
      <c r="B244" s="21"/>
      <c r="C244" s="23"/>
      <c r="D244" s="23"/>
      <c r="E244" s="24"/>
      <c r="F244" s="24"/>
    </row>
    <row r="245" hidden="1">
      <c r="A245" s="52">
        <v>46105.0</v>
      </c>
      <c r="B245" s="56" t="s">
        <v>530</v>
      </c>
      <c r="C245" s="29" t="s">
        <v>8</v>
      </c>
      <c r="D245" s="29" t="s">
        <v>53</v>
      </c>
      <c r="E245" s="12">
        <v>65.91</v>
      </c>
      <c r="F245" s="4"/>
    </row>
    <row r="246" hidden="1">
      <c r="A246" s="52">
        <v>46105.0</v>
      </c>
      <c r="B246" s="56" t="s">
        <v>533</v>
      </c>
      <c r="C246" s="29" t="s">
        <v>8</v>
      </c>
      <c r="D246" s="29" t="s">
        <v>53</v>
      </c>
      <c r="E246" s="12">
        <v>170.91</v>
      </c>
      <c r="F246" s="4"/>
    </row>
    <row r="247" hidden="1">
      <c r="A247" s="52">
        <v>46105.0</v>
      </c>
      <c r="B247" s="56" t="s">
        <v>536</v>
      </c>
      <c r="C247" s="29" t="s">
        <v>8</v>
      </c>
      <c r="D247" s="29" t="s">
        <v>53</v>
      </c>
      <c r="E247" s="12">
        <v>50.91</v>
      </c>
      <c r="F247" s="4"/>
    </row>
    <row r="248" hidden="1">
      <c r="A248" s="52">
        <v>46105.0</v>
      </c>
      <c r="B248" s="56" t="s">
        <v>538</v>
      </c>
      <c r="C248" s="29" t="s">
        <v>8</v>
      </c>
      <c r="D248" s="29" t="s">
        <v>53</v>
      </c>
      <c r="E248" s="12">
        <v>22.91</v>
      </c>
      <c r="F248" s="12">
        <v>3.0</v>
      </c>
    </row>
    <row r="249" hidden="1">
      <c r="A249" s="52">
        <v>46105.0</v>
      </c>
      <c r="B249" s="56" t="s">
        <v>541</v>
      </c>
      <c r="C249" s="29" t="s">
        <v>8</v>
      </c>
      <c r="D249" s="29" t="s">
        <v>53</v>
      </c>
      <c r="E249" s="12">
        <v>20.91</v>
      </c>
      <c r="F249" s="12">
        <v>5.0</v>
      </c>
    </row>
    <row r="250" hidden="1">
      <c r="A250" s="52">
        <v>46105.0</v>
      </c>
      <c r="B250" s="56" t="s">
        <v>543</v>
      </c>
      <c r="C250" s="29" t="s">
        <v>8</v>
      </c>
      <c r="D250" s="29" t="s">
        <v>53</v>
      </c>
      <c r="E250" s="12">
        <v>20.91</v>
      </c>
      <c r="F250" s="12">
        <v>2.0</v>
      </c>
    </row>
    <row r="251" hidden="1">
      <c r="A251" s="52">
        <v>46105.0</v>
      </c>
      <c r="B251" s="56" t="s">
        <v>546</v>
      </c>
      <c r="C251" s="29" t="s">
        <v>8</v>
      </c>
      <c r="D251" s="29" t="s">
        <v>53</v>
      </c>
      <c r="E251" s="12">
        <v>27.91</v>
      </c>
      <c r="F251" s="12">
        <v>2.0</v>
      </c>
    </row>
    <row r="252" hidden="1">
      <c r="A252" s="52">
        <v>46105.0</v>
      </c>
      <c r="B252" s="56" t="s">
        <v>547</v>
      </c>
      <c r="C252" s="29" t="s">
        <v>8</v>
      </c>
      <c r="D252" s="29" t="s">
        <v>53</v>
      </c>
      <c r="E252" s="12">
        <v>70.91</v>
      </c>
      <c r="F252" s="12">
        <v>2.0</v>
      </c>
    </row>
    <row r="253" hidden="1">
      <c r="A253" s="52">
        <v>46105.0</v>
      </c>
      <c r="B253" s="56" t="s">
        <v>550</v>
      </c>
      <c r="C253" s="29" t="s">
        <v>8</v>
      </c>
      <c r="D253" s="29" t="s">
        <v>53</v>
      </c>
      <c r="E253" s="12">
        <v>85.91</v>
      </c>
      <c r="F253" s="12">
        <v>5.0</v>
      </c>
    </row>
    <row r="254" hidden="1">
      <c r="A254" s="52">
        <v>46105.0</v>
      </c>
      <c r="B254" s="56" t="s">
        <v>553</v>
      </c>
      <c r="C254" s="29" t="s">
        <v>8</v>
      </c>
      <c r="D254" s="29" t="s">
        <v>53</v>
      </c>
      <c r="E254" s="12">
        <v>101.91</v>
      </c>
      <c r="F254" s="4"/>
    </row>
    <row r="255" hidden="1">
      <c r="A255" s="52">
        <v>46105.0</v>
      </c>
      <c r="B255" s="56" t="s">
        <v>555</v>
      </c>
      <c r="C255" s="29" t="s">
        <v>8</v>
      </c>
      <c r="D255" s="29" t="s">
        <v>53</v>
      </c>
      <c r="E255" s="12">
        <v>21.21</v>
      </c>
      <c r="F255" s="12">
        <v>4.0</v>
      </c>
    </row>
    <row r="256" hidden="1">
      <c r="A256" s="52">
        <v>46105.0</v>
      </c>
      <c r="B256" s="56" t="s">
        <v>557</v>
      </c>
      <c r="C256" s="29" t="s">
        <v>8</v>
      </c>
      <c r="D256" s="29" t="s">
        <v>53</v>
      </c>
      <c r="E256" s="12">
        <v>29.91</v>
      </c>
      <c r="F256" s="4"/>
    </row>
    <row r="257" hidden="1">
      <c r="A257" s="52">
        <v>46105.0</v>
      </c>
      <c r="B257" s="56" t="s">
        <v>559</v>
      </c>
      <c r="C257" s="29" t="s">
        <v>8</v>
      </c>
      <c r="D257" s="29" t="s">
        <v>53</v>
      </c>
      <c r="E257" s="12">
        <v>70.91</v>
      </c>
      <c r="F257" s="4"/>
    </row>
    <row r="258" hidden="1">
      <c r="A258" s="52">
        <v>46105.0</v>
      </c>
      <c r="B258" s="56" t="s">
        <v>561</v>
      </c>
      <c r="C258" s="29" t="s">
        <v>8</v>
      </c>
      <c r="D258" s="29" t="s">
        <v>53</v>
      </c>
      <c r="E258" s="12">
        <v>98.91</v>
      </c>
      <c r="F258" s="4"/>
    </row>
    <row r="259" hidden="1">
      <c r="A259" s="52">
        <v>46105.0</v>
      </c>
      <c r="B259" s="56" t="s">
        <v>563</v>
      </c>
      <c r="C259" s="29" t="s">
        <v>8</v>
      </c>
      <c r="D259" s="29" t="s">
        <v>53</v>
      </c>
      <c r="E259" s="12">
        <v>30.91</v>
      </c>
      <c r="F259" s="4"/>
    </row>
    <row r="260" hidden="1">
      <c r="A260" s="52">
        <v>46105.0</v>
      </c>
      <c r="B260" s="56" t="s">
        <v>565</v>
      </c>
      <c r="C260" s="29" t="s">
        <v>8</v>
      </c>
      <c r="D260" s="29" t="s">
        <v>53</v>
      </c>
      <c r="E260" s="12">
        <v>190.91</v>
      </c>
      <c r="F260" s="4"/>
    </row>
    <row r="261" hidden="1">
      <c r="A261" s="52">
        <v>46105.0</v>
      </c>
      <c r="B261" s="8" t="s">
        <v>568</v>
      </c>
      <c r="C261" s="29" t="s">
        <v>9</v>
      </c>
      <c r="D261" s="29" t="s">
        <v>12</v>
      </c>
      <c r="E261" s="12">
        <v>38.97</v>
      </c>
      <c r="F261" s="4"/>
    </row>
    <row r="262" hidden="1">
      <c r="A262" s="52">
        <v>46105.0</v>
      </c>
      <c r="B262" s="57" t="s">
        <v>570</v>
      </c>
      <c r="C262" s="29" t="s">
        <v>8</v>
      </c>
      <c r="D262" s="29" t="s">
        <v>53</v>
      </c>
      <c r="E262" s="12">
        <v>215.91</v>
      </c>
      <c r="F262" s="4"/>
    </row>
    <row r="263" hidden="1">
      <c r="A263" s="52">
        <v>46105.0</v>
      </c>
      <c r="B263" s="56" t="s">
        <v>573</v>
      </c>
      <c r="C263" s="29" t="s">
        <v>8</v>
      </c>
      <c r="D263" s="29" t="s">
        <v>53</v>
      </c>
      <c r="E263" s="12">
        <v>24.91</v>
      </c>
      <c r="F263" s="4"/>
    </row>
    <row r="264" hidden="1">
      <c r="A264" s="52">
        <v>46105.0</v>
      </c>
      <c r="B264" s="55" t="s">
        <v>575</v>
      </c>
      <c r="C264" s="29" t="s">
        <v>9</v>
      </c>
      <c r="D264" s="29" t="s">
        <v>11</v>
      </c>
      <c r="E264" s="14">
        <v>95.91</v>
      </c>
      <c r="F264" s="12">
        <v>2.0</v>
      </c>
    </row>
    <row r="265" hidden="1">
      <c r="A265" s="52">
        <v>46105.0</v>
      </c>
      <c r="B265" s="55" t="s">
        <v>576</v>
      </c>
      <c r="C265" s="29" t="s">
        <v>9</v>
      </c>
      <c r="D265" s="29" t="s">
        <v>11</v>
      </c>
      <c r="E265" s="14">
        <v>23.93</v>
      </c>
      <c r="F265" s="4"/>
    </row>
    <row r="266" hidden="1">
      <c r="A266" s="52">
        <v>46105.0</v>
      </c>
      <c r="B266" s="55" t="s">
        <v>579</v>
      </c>
      <c r="C266" s="29" t="s">
        <v>9</v>
      </c>
      <c r="D266" s="29" t="s">
        <v>12</v>
      </c>
      <c r="E266" s="14">
        <v>90.91</v>
      </c>
      <c r="F266" s="4"/>
    </row>
    <row r="267" hidden="1">
      <c r="A267" s="52">
        <v>46105.0</v>
      </c>
      <c r="B267" s="55" t="s">
        <v>581</v>
      </c>
      <c r="C267" s="29" t="s">
        <v>9</v>
      </c>
      <c r="D267" s="29" t="s">
        <v>12</v>
      </c>
      <c r="E267" s="14">
        <v>28.97</v>
      </c>
      <c r="F267" s="4"/>
    </row>
    <row r="268" hidden="1">
      <c r="A268" s="52">
        <v>46105.0</v>
      </c>
      <c r="B268" s="55" t="s">
        <v>583</v>
      </c>
      <c r="C268" s="29" t="s">
        <v>9</v>
      </c>
      <c r="D268" s="29" t="s">
        <v>12</v>
      </c>
      <c r="E268" s="14">
        <v>45.97</v>
      </c>
      <c r="F268" s="4"/>
    </row>
    <row r="269" hidden="1">
      <c r="A269" s="52">
        <v>46105.0</v>
      </c>
      <c r="B269" s="55" t="s">
        <v>586</v>
      </c>
      <c r="C269" s="29" t="s">
        <v>9</v>
      </c>
      <c r="D269" s="29" t="s">
        <v>12</v>
      </c>
      <c r="E269" s="14">
        <v>35.97</v>
      </c>
      <c r="F269" s="4"/>
    </row>
    <row r="270" hidden="1">
      <c r="A270" s="52">
        <v>46105.0</v>
      </c>
      <c r="B270" s="55" t="s">
        <v>589</v>
      </c>
      <c r="C270" s="29" t="s">
        <v>9</v>
      </c>
      <c r="D270" s="29" t="s">
        <v>12</v>
      </c>
      <c r="E270" s="14">
        <v>28.97</v>
      </c>
      <c r="F270" s="4"/>
    </row>
    <row r="271" hidden="1">
      <c r="A271" s="52">
        <v>46105.0</v>
      </c>
      <c r="B271" s="55" t="s">
        <v>590</v>
      </c>
      <c r="C271" s="29" t="s">
        <v>9</v>
      </c>
      <c r="D271" s="29" t="s">
        <v>12</v>
      </c>
      <c r="E271" s="14">
        <v>65.97</v>
      </c>
      <c r="F271" s="4"/>
    </row>
    <row r="272" hidden="1">
      <c r="A272" s="52">
        <v>46105.0</v>
      </c>
      <c r="B272" s="55" t="s">
        <v>592</v>
      </c>
      <c r="C272" s="29" t="s">
        <v>9</v>
      </c>
      <c r="D272" s="29" t="s">
        <v>12</v>
      </c>
      <c r="E272" s="14">
        <v>20.97</v>
      </c>
      <c r="F272" s="4"/>
    </row>
    <row r="273" hidden="1">
      <c r="A273" s="52">
        <v>46105.0</v>
      </c>
      <c r="B273" s="55" t="s">
        <v>594</v>
      </c>
      <c r="C273" s="29" t="s">
        <v>9</v>
      </c>
      <c r="D273" s="29" t="s">
        <v>12</v>
      </c>
      <c r="E273" s="14">
        <v>21.97</v>
      </c>
      <c r="F273" s="4"/>
    </row>
    <row r="274" hidden="1">
      <c r="A274" s="52">
        <v>46105.0</v>
      </c>
      <c r="B274" s="55" t="s">
        <v>596</v>
      </c>
      <c r="C274" s="29" t="s">
        <v>9</v>
      </c>
      <c r="D274" s="29" t="s">
        <v>12</v>
      </c>
      <c r="E274" s="14">
        <v>23.97</v>
      </c>
      <c r="F274" s="4"/>
    </row>
    <row r="275" hidden="1">
      <c r="A275" s="52">
        <v>46105.0</v>
      </c>
      <c r="B275" s="55" t="s">
        <v>599</v>
      </c>
      <c r="C275" s="29" t="s">
        <v>9</v>
      </c>
      <c r="D275" s="29" t="s">
        <v>12</v>
      </c>
      <c r="E275" s="14">
        <v>95.97</v>
      </c>
      <c r="F275" s="4"/>
    </row>
    <row r="276" hidden="1">
      <c r="A276" s="52">
        <v>46105.0</v>
      </c>
      <c r="B276" s="55" t="s">
        <v>601</v>
      </c>
      <c r="C276" s="29" t="s">
        <v>9</v>
      </c>
      <c r="D276" s="29" t="s">
        <v>12</v>
      </c>
      <c r="E276" s="14">
        <v>250.97</v>
      </c>
      <c r="F276" s="4"/>
    </row>
    <row r="277" hidden="1">
      <c r="A277" s="52">
        <v>46105.0</v>
      </c>
      <c r="B277" s="55" t="s">
        <v>604</v>
      </c>
      <c r="C277" s="29" t="s">
        <v>9</v>
      </c>
      <c r="D277" s="29" t="s">
        <v>12</v>
      </c>
      <c r="E277" s="14">
        <v>270.97</v>
      </c>
      <c r="F277" s="4"/>
    </row>
    <row r="278" hidden="1">
      <c r="A278" s="52">
        <v>46105.0</v>
      </c>
      <c r="B278" s="55" t="s">
        <v>607</v>
      </c>
      <c r="C278" s="29" t="s">
        <v>9</v>
      </c>
      <c r="D278" s="29" t="s">
        <v>12</v>
      </c>
      <c r="E278" s="14">
        <v>200.97</v>
      </c>
      <c r="F278" s="4"/>
    </row>
    <row r="279" hidden="1">
      <c r="A279" s="52">
        <v>46105.0</v>
      </c>
      <c r="B279" s="55" t="s">
        <v>609</v>
      </c>
      <c r="C279" s="29" t="s">
        <v>9</v>
      </c>
      <c r="D279" s="29" t="s">
        <v>12</v>
      </c>
      <c r="E279" s="14">
        <v>54.97</v>
      </c>
      <c r="F279" s="4"/>
    </row>
    <row r="280" hidden="1">
      <c r="A280" s="52">
        <v>46105.0</v>
      </c>
      <c r="B280" s="55" t="s">
        <v>611</v>
      </c>
      <c r="C280" s="29" t="s">
        <v>9</v>
      </c>
      <c r="D280" s="29" t="s">
        <v>12</v>
      </c>
      <c r="E280" s="14">
        <v>125.97</v>
      </c>
      <c r="F280" s="4"/>
    </row>
    <row r="281" hidden="1">
      <c r="A281" s="52">
        <v>46105.0</v>
      </c>
      <c r="B281" s="55" t="s">
        <v>613</v>
      </c>
      <c r="C281" s="29" t="s">
        <v>9</v>
      </c>
      <c r="D281" s="29" t="s">
        <v>12</v>
      </c>
      <c r="E281" s="14">
        <v>559.97</v>
      </c>
      <c r="F281" s="4"/>
    </row>
    <row r="282" hidden="1">
      <c r="A282" s="21"/>
      <c r="B282" s="21"/>
      <c r="C282" s="23"/>
      <c r="D282" s="23"/>
      <c r="E282" s="24"/>
      <c r="F282" s="24"/>
    </row>
    <row r="283" hidden="1">
      <c r="A283" s="52">
        <v>46106.0</v>
      </c>
      <c r="B283" s="57" t="s">
        <v>616</v>
      </c>
      <c r="C283" s="29" t="s">
        <v>8</v>
      </c>
      <c r="D283" s="29" t="s">
        <v>53</v>
      </c>
      <c r="E283" s="12">
        <v>16.91</v>
      </c>
      <c r="F283" s="12">
        <v>20.0</v>
      </c>
    </row>
    <row r="284" hidden="1">
      <c r="A284" s="52">
        <v>46106.0</v>
      </c>
      <c r="B284" s="57" t="s">
        <v>617</v>
      </c>
      <c r="C284" s="29" t="s">
        <v>8</v>
      </c>
      <c r="D284" s="29" t="s">
        <v>53</v>
      </c>
      <c r="E284" s="12">
        <v>30.91</v>
      </c>
      <c r="F284" s="4"/>
    </row>
    <row r="285" hidden="1">
      <c r="A285" s="52">
        <v>46106.0</v>
      </c>
      <c r="B285" s="57" t="s">
        <v>620</v>
      </c>
      <c r="C285" s="29" t="s">
        <v>8</v>
      </c>
      <c r="D285" s="29" t="s">
        <v>53</v>
      </c>
      <c r="E285" s="12">
        <v>35.91</v>
      </c>
      <c r="F285" s="4"/>
    </row>
    <row r="286" hidden="1">
      <c r="A286" s="52">
        <v>46106.0</v>
      </c>
      <c r="B286" s="57" t="s">
        <v>622</v>
      </c>
      <c r="C286" s="29" t="s">
        <v>8</v>
      </c>
      <c r="D286" s="29" t="s">
        <v>53</v>
      </c>
      <c r="E286" s="12">
        <v>65.91</v>
      </c>
      <c r="F286" s="4"/>
    </row>
    <row r="287" hidden="1">
      <c r="A287" s="52">
        <v>46106.0</v>
      </c>
      <c r="B287" s="57" t="s">
        <v>624</v>
      </c>
      <c r="C287" s="29" t="s">
        <v>8</v>
      </c>
      <c r="D287" s="29" t="s">
        <v>53</v>
      </c>
      <c r="E287" s="12">
        <v>23.91</v>
      </c>
      <c r="F287" s="12">
        <v>2.0</v>
      </c>
    </row>
    <row r="288" hidden="1">
      <c r="A288" s="52">
        <v>46106.0</v>
      </c>
      <c r="B288" s="57" t="s">
        <v>626</v>
      </c>
      <c r="C288" s="29" t="s">
        <v>8</v>
      </c>
      <c r="D288" s="29" t="s">
        <v>53</v>
      </c>
      <c r="E288" s="12">
        <v>21.91</v>
      </c>
      <c r="F288" s="12">
        <v>2.0</v>
      </c>
    </row>
    <row r="289" hidden="1">
      <c r="A289" s="52">
        <v>46106.0</v>
      </c>
      <c r="B289" s="57" t="s">
        <v>629</v>
      </c>
      <c r="C289" s="29" t="s">
        <v>8</v>
      </c>
      <c r="D289" s="29" t="s">
        <v>53</v>
      </c>
      <c r="E289" s="12">
        <v>28.91</v>
      </c>
      <c r="F289" s="12">
        <v>4.0</v>
      </c>
    </row>
    <row r="290" hidden="1">
      <c r="A290" s="52">
        <v>46106.0</v>
      </c>
      <c r="B290" s="57" t="s">
        <v>630</v>
      </c>
      <c r="C290" s="29" t="s">
        <v>8</v>
      </c>
      <c r="D290" s="29" t="s">
        <v>53</v>
      </c>
      <c r="E290" s="12">
        <v>21.91</v>
      </c>
      <c r="F290" s="12">
        <v>2.0</v>
      </c>
    </row>
    <row r="291" hidden="1">
      <c r="A291" s="52">
        <v>46106.0</v>
      </c>
      <c r="B291" s="55" t="s">
        <v>633</v>
      </c>
      <c r="C291" s="29" t="s">
        <v>8</v>
      </c>
      <c r="D291" s="29" t="s">
        <v>53</v>
      </c>
      <c r="E291" s="12">
        <v>22.91</v>
      </c>
      <c r="F291" s="4"/>
    </row>
    <row r="292" hidden="1">
      <c r="A292" s="52">
        <v>46106.0</v>
      </c>
      <c r="B292" s="57" t="s">
        <v>634</v>
      </c>
      <c r="C292" s="29" t="s">
        <v>8</v>
      </c>
      <c r="D292" s="29" t="s">
        <v>53</v>
      </c>
      <c r="E292" s="12">
        <v>34.91</v>
      </c>
      <c r="F292" s="12">
        <v>2.0</v>
      </c>
    </row>
    <row r="293" hidden="1">
      <c r="A293" s="52">
        <v>46106.0</v>
      </c>
      <c r="B293" s="57" t="s">
        <v>637</v>
      </c>
      <c r="C293" s="29" t="s">
        <v>8</v>
      </c>
      <c r="D293" s="29" t="s">
        <v>53</v>
      </c>
      <c r="E293" s="12">
        <v>53.91</v>
      </c>
      <c r="F293" s="4"/>
    </row>
    <row r="294" hidden="1">
      <c r="A294" s="52">
        <v>46106.0</v>
      </c>
      <c r="B294" s="57" t="s">
        <v>640</v>
      </c>
      <c r="C294" s="29" t="s">
        <v>8</v>
      </c>
      <c r="D294" s="29" t="s">
        <v>53</v>
      </c>
      <c r="E294" s="12">
        <v>21.91</v>
      </c>
      <c r="F294" s="4"/>
    </row>
    <row r="295" hidden="1">
      <c r="A295" s="52">
        <v>46106.0</v>
      </c>
      <c r="B295" s="57" t="s">
        <v>642</v>
      </c>
      <c r="C295" s="29" t="s">
        <v>8</v>
      </c>
      <c r="D295" s="29" t="s">
        <v>53</v>
      </c>
      <c r="E295" s="12">
        <v>22.91</v>
      </c>
      <c r="F295" s="4"/>
    </row>
    <row r="296" hidden="1">
      <c r="A296" s="52">
        <v>46106.0</v>
      </c>
      <c r="B296" s="56" t="s">
        <v>644</v>
      </c>
      <c r="C296" s="29" t="s">
        <v>8</v>
      </c>
      <c r="D296" s="29" t="s">
        <v>53</v>
      </c>
      <c r="E296" s="12">
        <v>55.91</v>
      </c>
      <c r="F296" s="4"/>
    </row>
    <row r="297" hidden="1">
      <c r="A297" s="52">
        <v>46106.0</v>
      </c>
      <c r="B297" s="57" t="s">
        <v>646</v>
      </c>
      <c r="C297" s="29" t="s">
        <v>8</v>
      </c>
      <c r="D297" s="29" t="s">
        <v>53</v>
      </c>
      <c r="E297" s="12">
        <v>26.91</v>
      </c>
      <c r="F297" s="12">
        <v>5.0</v>
      </c>
    </row>
    <row r="298" hidden="1">
      <c r="A298" s="52">
        <v>46106.0</v>
      </c>
      <c r="B298" s="56" t="s">
        <v>648</v>
      </c>
      <c r="C298" s="29" t="s">
        <v>8</v>
      </c>
      <c r="D298" s="29" t="s">
        <v>53</v>
      </c>
      <c r="E298" s="12">
        <v>95.91</v>
      </c>
      <c r="F298" s="4"/>
    </row>
    <row r="299" hidden="1">
      <c r="A299" s="52">
        <v>46106.0</v>
      </c>
      <c r="B299" s="57" t="s">
        <v>649</v>
      </c>
      <c r="C299" s="29" t="s">
        <v>8</v>
      </c>
      <c r="D299" s="29" t="s">
        <v>53</v>
      </c>
      <c r="E299" s="12">
        <v>85.91</v>
      </c>
      <c r="F299" s="4"/>
    </row>
    <row r="300" hidden="1">
      <c r="A300" s="52">
        <v>46106.0</v>
      </c>
      <c r="B300" s="57" t="s">
        <v>651</v>
      </c>
      <c r="C300" s="29" t="s">
        <v>8</v>
      </c>
      <c r="D300" s="29" t="s">
        <v>53</v>
      </c>
      <c r="E300" s="12">
        <v>47.91</v>
      </c>
      <c r="F300" s="12">
        <v>4.0</v>
      </c>
    </row>
    <row r="301" hidden="1">
      <c r="A301" s="52">
        <v>46106.0</v>
      </c>
      <c r="B301" s="57" t="s">
        <v>654</v>
      </c>
      <c r="C301" s="29" t="s">
        <v>8</v>
      </c>
      <c r="D301" s="29" t="s">
        <v>53</v>
      </c>
      <c r="E301" s="12">
        <v>34.91</v>
      </c>
      <c r="F301" s="4"/>
    </row>
    <row r="302" hidden="1">
      <c r="A302" s="52">
        <v>46106.0</v>
      </c>
      <c r="B302" s="57" t="s">
        <v>657</v>
      </c>
      <c r="C302" s="29" t="s">
        <v>8</v>
      </c>
      <c r="D302" s="29" t="s">
        <v>53</v>
      </c>
      <c r="E302" s="12">
        <v>26.91</v>
      </c>
      <c r="F302" s="4"/>
    </row>
    <row r="303" hidden="1">
      <c r="A303" s="52">
        <v>46106.0</v>
      </c>
      <c r="B303" s="57" t="s">
        <v>659</v>
      </c>
      <c r="C303" s="29" t="s">
        <v>8</v>
      </c>
      <c r="D303" s="29" t="s">
        <v>53</v>
      </c>
      <c r="E303" s="12">
        <v>120.91</v>
      </c>
      <c r="F303" s="4"/>
    </row>
    <row r="304" hidden="1">
      <c r="A304" s="52">
        <v>46106.0</v>
      </c>
      <c r="B304" s="55" t="s">
        <v>661</v>
      </c>
      <c r="C304" s="29" t="s">
        <v>8</v>
      </c>
      <c r="D304" s="29" t="s">
        <v>11</v>
      </c>
      <c r="E304" s="14">
        <v>39.93</v>
      </c>
      <c r="F304" s="12">
        <v>2.0</v>
      </c>
    </row>
    <row r="305" hidden="1">
      <c r="A305" s="52">
        <v>46106.0</v>
      </c>
      <c r="B305" s="55">
        <v>1.1143484E7</v>
      </c>
      <c r="C305" s="29" t="s">
        <v>9</v>
      </c>
      <c r="D305" s="29" t="s">
        <v>12</v>
      </c>
      <c r="E305" s="14">
        <v>260.97</v>
      </c>
      <c r="F305" s="4"/>
    </row>
    <row r="306" hidden="1">
      <c r="A306" s="52">
        <v>46106.0</v>
      </c>
      <c r="B306" s="55">
        <v>1.248749E7</v>
      </c>
      <c r="C306" s="29" t="s">
        <v>9</v>
      </c>
      <c r="D306" s="29" t="s">
        <v>12</v>
      </c>
      <c r="E306" s="14">
        <v>200.97</v>
      </c>
      <c r="F306" s="4"/>
    </row>
    <row r="307" hidden="1">
      <c r="A307" s="52">
        <v>46106.0</v>
      </c>
      <c r="B307" s="55">
        <v>1.1237611E7</v>
      </c>
      <c r="C307" s="29" t="s">
        <v>9</v>
      </c>
      <c r="D307" s="29" t="s">
        <v>12</v>
      </c>
      <c r="E307" s="14">
        <v>300.97</v>
      </c>
      <c r="F307" s="4"/>
    </row>
    <row r="308" hidden="1">
      <c r="A308" s="52">
        <v>46106.0</v>
      </c>
      <c r="B308" s="55">
        <v>6444241.0</v>
      </c>
      <c r="C308" s="29" t="s">
        <v>9</v>
      </c>
      <c r="D308" s="29" t="s">
        <v>12</v>
      </c>
      <c r="E308" s="14">
        <v>649.97</v>
      </c>
      <c r="F308" s="4"/>
    </row>
    <row r="309" hidden="1">
      <c r="A309" s="52">
        <v>46106.0</v>
      </c>
      <c r="B309" s="55">
        <v>6034790.0</v>
      </c>
      <c r="C309" s="29" t="s">
        <v>9</v>
      </c>
      <c r="D309" s="29" t="s">
        <v>12</v>
      </c>
      <c r="E309" s="14">
        <v>39.97</v>
      </c>
      <c r="F309" s="4"/>
    </row>
    <row r="310" hidden="1">
      <c r="A310" s="52">
        <v>46106.0</v>
      </c>
      <c r="B310" s="55">
        <v>1.0246912E7</v>
      </c>
      <c r="C310" s="29" t="s">
        <v>9</v>
      </c>
      <c r="D310" s="29" t="s">
        <v>12</v>
      </c>
      <c r="E310" s="14">
        <v>730.97</v>
      </c>
      <c r="F310" s="4"/>
    </row>
    <row r="311" hidden="1">
      <c r="A311" s="52">
        <v>46106.0</v>
      </c>
      <c r="B311" s="55">
        <v>1.1957912E7</v>
      </c>
      <c r="C311" s="29" t="s">
        <v>9</v>
      </c>
      <c r="D311" s="29" t="s">
        <v>12</v>
      </c>
      <c r="E311" s="14">
        <v>210.97</v>
      </c>
      <c r="F311" s="4"/>
    </row>
    <row r="312" hidden="1">
      <c r="A312" s="52">
        <v>46106.0</v>
      </c>
      <c r="B312" s="55" t="s">
        <v>673</v>
      </c>
      <c r="C312" s="29" t="s">
        <v>9</v>
      </c>
      <c r="D312" s="29" t="s">
        <v>12</v>
      </c>
      <c r="E312" s="14">
        <v>70.97</v>
      </c>
      <c r="F312" s="4"/>
    </row>
    <row r="313" hidden="1">
      <c r="A313" s="52">
        <v>46106.0</v>
      </c>
      <c r="B313" s="55" t="s">
        <v>676</v>
      </c>
      <c r="C313" s="29" t="s">
        <v>9</v>
      </c>
      <c r="D313" s="29" t="s">
        <v>12</v>
      </c>
      <c r="E313" s="14">
        <v>90.91</v>
      </c>
      <c r="F313" s="4"/>
    </row>
    <row r="314" hidden="1">
      <c r="A314" s="52">
        <v>46106.0</v>
      </c>
      <c r="B314" s="55" t="s">
        <v>678</v>
      </c>
      <c r="C314" s="29" t="s">
        <v>9</v>
      </c>
      <c r="D314" s="29" t="s">
        <v>12</v>
      </c>
      <c r="E314" s="14">
        <v>69.97</v>
      </c>
      <c r="F314" s="4"/>
    </row>
    <row r="315" hidden="1">
      <c r="A315" s="52">
        <v>46106.0</v>
      </c>
      <c r="B315" s="55" t="s">
        <v>679</v>
      </c>
      <c r="C315" s="29" t="s">
        <v>9</v>
      </c>
      <c r="D315" s="29" t="s">
        <v>12</v>
      </c>
      <c r="E315" s="14">
        <v>89.97</v>
      </c>
      <c r="F315" s="4"/>
    </row>
    <row r="316" hidden="1">
      <c r="A316" s="52">
        <v>46106.0</v>
      </c>
      <c r="B316" s="55" t="s">
        <v>681</v>
      </c>
      <c r="C316" s="29" t="s">
        <v>9</v>
      </c>
      <c r="D316" s="29" t="s">
        <v>12</v>
      </c>
      <c r="E316" s="14">
        <v>85.97</v>
      </c>
      <c r="F316" s="4"/>
    </row>
    <row r="317" hidden="1">
      <c r="A317" s="52">
        <v>46106.0</v>
      </c>
      <c r="B317" s="55" t="s">
        <v>683</v>
      </c>
      <c r="C317" s="29" t="s">
        <v>9</v>
      </c>
      <c r="D317" s="29" t="s">
        <v>12</v>
      </c>
      <c r="E317" s="14">
        <v>25.97</v>
      </c>
      <c r="F317" s="4"/>
    </row>
    <row r="318" hidden="1">
      <c r="A318" s="52">
        <v>46106.0</v>
      </c>
      <c r="B318" s="55" t="s">
        <v>686</v>
      </c>
      <c r="C318" s="29" t="s">
        <v>9</v>
      </c>
      <c r="D318" s="29" t="s">
        <v>12</v>
      </c>
      <c r="E318" s="14">
        <v>40.97</v>
      </c>
      <c r="F318" s="4"/>
    </row>
    <row r="319" hidden="1">
      <c r="A319" s="52">
        <v>46106.0</v>
      </c>
      <c r="B319" s="55" t="s">
        <v>689</v>
      </c>
      <c r="C319" s="29" t="s">
        <v>9</v>
      </c>
      <c r="D319" s="29" t="s">
        <v>12</v>
      </c>
      <c r="E319" s="14">
        <v>25.97</v>
      </c>
      <c r="F319" s="4"/>
    </row>
    <row r="320" hidden="1">
      <c r="A320" s="52">
        <v>46106.0</v>
      </c>
      <c r="B320" s="55" t="s">
        <v>690</v>
      </c>
      <c r="C320" s="29" t="s">
        <v>9</v>
      </c>
      <c r="D320" s="29" t="s">
        <v>12</v>
      </c>
      <c r="E320" s="14">
        <v>45.97</v>
      </c>
      <c r="F320" s="4"/>
    </row>
    <row r="321" hidden="1">
      <c r="A321" s="52">
        <v>46106.0</v>
      </c>
      <c r="B321" s="55" t="s">
        <v>693</v>
      </c>
      <c r="C321" s="29" t="s">
        <v>9</v>
      </c>
      <c r="D321" s="29" t="s">
        <v>12</v>
      </c>
      <c r="E321" s="14">
        <v>60.97</v>
      </c>
      <c r="F321" s="4"/>
    </row>
    <row r="322" hidden="1">
      <c r="A322" s="21"/>
      <c r="B322" s="21"/>
      <c r="C322" s="23"/>
      <c r="D322" s="23"/>
      <c r="E322" s="24"/>
      <c r="F322" s="24"/>
    </row>
    <row r="323" hidden="1">
      <c r="A323" s="52">
        <v>46107.0</v>
      </c>
      <c r="B323" s="56" t="s">
        <v>697</v>
      </c>
      <c r="C323" s="29" t="s">
        <v>8</v>
      </c>
      <c r="D323" s="29" t="s">
        <v>53</v>
      </c>
      <c r="E323" s="12">
        <v>175.91</v>
      </c>
      <c r="F323" s="4"/>
    </row>
    <row r="324" hidden="1">
      <c r="A324" s="52">
        <v>46107.0</v>
      </c>
      <c r="B324" s="56" t="s">
        <v>698</v>
      </c>
      <c r="C324" s="29" t="s">
        <v>8</v>
      </c>
      <c r="D324" s="29" t="s">
        <v>53</v>
      </c>
      <c r="E324" s="12">
        <v>145.91</v>
      </c>
      <c r="F324" s="12">
        <v>3.0</v>
      </c>
    </row>
    <row r="325" hidden="1">
      <c r="A325" s="52">
        <v>46107.0</v>
      </c>
      <c r="B325" s="56" t="s">
        <v>700</v>
      </c>
      <c r="C325" s="29" t="s">
        <v>8</v>
      </c>
      <c r="D325" s="29" t="s">
        <v>53</v>
      </c>
      <c r="E325" s="12">
        <v>148.91</v>
      </c>
      <c r="F325" s="4"/>
    </row>
    <row r="326" hidden="1">
      <c r="A326" s="52">
        <v>46107.0</v>
      </c>
      <c r="B326" s="56" t="s">
        <v>701</v>
      </c>
      <c r="C326" s="29" t="s">
        <v>8</v>
      </c>
      <c r="D326" s="29" t="s">
        <v>53</v>
      </c>
      <c r="E326" s="12">
        <v>147.91</v>
      </c>
      <c r="F326" s="4"/>
    </row>
    <row r="327" hidden="1">
      <c r="A327" s="52">
        <v>46107.0</v>
      </c>
      <c r="B327" s="57" t="s">
        <v>704</v>
      </c>
      <c r="C327" s="29" t="s">
        <v>8</v>
      </c>
      <c r="D327" s="29" t="s">
        <v>53</v>
      </c>
      <c r="E327" s="12">
        <v>190.91</v>
      </c>
      <c r="F327" s="4"/>
    </row>
    <row r="328" hidden="1">
      <c r="A328" s="52">
        <v>46107.0</v>
      </c>
      <c r="B328" s="56" t="s">
        <v>706</v>
      </c>
      <c r="C328" s="29" t="s">
        <v>8</v>
      </c>
      <c r="D328" s="29" t="s">
        <v>53</v>
      </c>
      <c r="E328" s="12">
        <v>160.91</v>
      </c>
      <c r="F328" s="4"/>
    </row>
    <row r="329" hidden="1">
      <c r="A329" s="52">
        <v>46107.0</v>
      </c>
      <c r="B329" s="56" t="s">
        <v>708</v>
      </c>
      <c r="C329" s="29" t="s">
        <v>8</v>
      </c>
      <c r="D329" s="29" t="s">
        <v>53</v>
      </c>
      <c r="E329" s="12">
        <v>75.91</v>
      </c>
      <c r="F329" s="12">
        <v>3.0</v>
      </c>
    </row>
    <row r="330" hidden="1">
      <c r="A330" s="52">
        <v>46107.0</v>
      </c>
      <c r="B330" s="56" t="s">
        <v>710</v>
      </c>
      <c r="C330" s="29" t="s">
        <v>8</v>
      </c>
      <c r="D330" s="29" t="s">
        <v>53</v>
      </c>
      <c r="E330" s="12">
        <v>189.91</v>
      </c>
      <c r="F330" s="4"/>
    </row>
    <row r="331" hidden="1">
      <c r="A331" s="52">
        <v>46107.0</v>
      </c>
      <c r="B331" s="57" t="s">
        <v>712</v>
      </c>
      <c r="C331" s="29" t="s">
        <v>8</v>
      </c>
      <c r="D331" s="29" t="s">
        <v>53</v>
      </c>
      <c r="E331" s="12">
        <v>175.91</v>
      </c>
      <c r="F331" s="4"/>
    </row>
    <row r="332" hidden="1">
      <c r="A332" s="52">
        <v>46107.0</v>
      </c>
      <c r="B332" s="57" t="s">
        <v>714</v>
      </c>
      <c r="C332" s="29" t="s">
        <v>8</v>
      </c>
      <c r="D332" s="29" t="s">
        <v>53</v>
      </c>
      <c r="E332" s="12">
        <v>150.91</v>
      </c>
      <c r="F332" s="4"/>
    </row>
    <row r="333" hidden="1">
      <c r="A333" s="52">
        <v>46107.0</v>
      </c>
      <c r="B333" s="57" t="s">
        <v>716</v>
      </c>
      <c r="C333" s="29" t="s">
        <v>8</v>
      </c>
      <c r="D333" s="29" t="s">
        <v>53</v>
      </c>
      <c r="E333" s="12">
        <v>106.91</v>
      </c>
      <c r="F333" s="4"/>
    </row>
    <row r="334" hidden="1">
      <c r="A334" s="52">
        <v>46107.0</v>
      </c>
      <c r="B334" s="57" t="s">
        <v>718</v>
      </c>
      <c r="C334" s="29" t="s">
        <v>8</v>
      </c>
      <c r="D334" s="29" t="s">
        <v>53</v>
      </c>
      <c r="E334" s="12">
        <v>99.91</v>
      </c>
      <c r="F334" s="4"/>
    </row>
    <row r="335" hidden="1">
      <c r="A335" s="52">
        <v>46107.0</v>
      </c>
      <c r="B335" s="55" t="s">
        <v>720</v>
      </c>
      <c r="C335" s="29" t="s">
        <v>9</v>
      </c>
      <c r="D335" s="29" t="s">
        <v>12</v>
      </c>
      <c r="E335" s="14">
        <v>32.97</v>
      </c>
      <c r="F335" s="4"/>
    </row>
    <row r="336" hidden="1">
      <c r="A336" s="52">
        <v>46107.0</v>
      </c>
      <c r="B336" s="55" t="s">
        <v>722</v>
      </c>
      <c r="C336" s="29" t="s">
        <v>9</v>
      </c>
      <c r="D336" s="29" t="s">
        <v>12</v>
      </c>
      <c r="E336" s="14">
        <v>52.97</v>
      </c>
      <c r="F336" s="4"/>
    </row>
    <row r="337" hidden="1">
      <c r="A337" s="52">
        <v>46107.0</v>
      </c>
      <c r="B337" s="55" t="s">
        <v>724</v>
      </c>
      <c r="C337" s="29" t="s">
        <v>9</v>
      </c>
      <c r="D337" s="29" t="s">
        <v>12</v>
      </c>
      <c r="E337" s="14">
        <v>25.97</v>
      </c>
      <c r="F337" s="4"/>
    </row>
    <row r="338" hidden="1">
      <c r="A338" s="52">
        <v>46107.0</v>
      </c>
      <c r="B338" s="55" t="s">
        <v>726</v>
      </c>
      <c r="C338" s="29" t="s">
        <v>9</v>
      </c>
      <c r="D338" s="29" t="s">
        <v>12</v>
      </c>
      <c r="E338" s="14">
        <v>29.97</v>
      </c>
      <c r="F338" s="4"/>
    </row>
    <row r="339" hidden="1">
      <c r="A339" s="52">
        <v>46107.0</v>
      </c>
      <c r="B339" s="55" t="s">
        <v>728</v>
      </c>
      <c r="C339" s="29" t="s">
        <v>9</v>
      </c>
      <c r="D339" s="29" t="s">
        <v>12</v>
      </c>
      <c r="E339" s="14">
        <v>19.97</v>
      </c>
      <c r="F339" s="4"/>
    </row>
    <row r="340" hidden="1">
      <c r="A340" s="52">
        <v>46107.0</v>
      </c>
      <c r="B340" s="55" t="s">
        <v>730</v>
      </c>
      <c r="C340" s="29" t="s">
        <v>9</v>
      </c>
      <c r="D340" s="29" t="s">
        <v>12</v>
      </c>
      <c r="E340" s="14">
        <v>26.97</v>
      </c>
      <c r="F340" s="4"/>
    </row>
    <row r="341" hidden="1">
      <c r="A341" s="52">
        <v>46107.0</v>
      </c>
      <c r="B341" s="55" t="s">
        <v>732</v>
      </c>
      <c r="C341" s="29" t="s">
        <v>9</v>
      </c>
      <c r="D341" s="29" t="s">
        <v>12</v>
      </c>
      <c r="E341" s="14">
        <v>25.97</v>
      </c>
      <c r="F341" s="4"/>
    </row>
    <row r="342" hidden="1">
      <c r="A342" s="52">
        <v>46107.0</v>
      </c>
      <c r="B342" s="55" t="s">
        <v>734</v>
      </c>
      <c r="C342" s="29" t="s">
        <v>9</v>
      </c>
      <c r="D342" s="29" t="s">
        <v>12</v>
      </c>
      <c r="E342" s="14">
        <v>20.97</v>
      </c>
      <c r="F342" s="4"/>
    </row>
    <row r="343" hidden="1">
      <c r="A343" s="52">
        <v>46107.0</v>
      </c>
      <c r="B343" s="55" t="s">
        <v>736</v>
      </c>
      <c r="C343" s="29" t="s">
        <v>9</v>
      </c>
      <c r="D343" s="29" t="s">
        <v>12</v>
      </c>
      <c r="E343" s="14">
        <v>42.97</v>
      </c>
      <c r="F343" s="4"/>
    </row>
    <row r="344" hidden="1">
      <c r="A344" s="52">
        <v>46107.0</v>
      </c>
      <c r="B344" s="55" t="s">
        <v>737</v>
      </c>
      <c r="C344" s="29" t="s">
        <v>9</v>
      </c>
      <c r="D344" s="29" t="s">
        <v>12</v>
      </c>
      <c r="E344" s="14">
        <v>29.97</v>
      </c>
      <c r="F344" s="4"/>
    </row>
    <row r="345" hidden="1">
      <c r="A345" s="52">
        <v>46107.0</v>
      </c>
      <c r="B345" s="55" t="s">
        <v>739</v>
      </c>
      <c r="C345" s="29" t="s">
        <v>9</v>
      </c>
      <c r="D345" s="29" t="s">
        <v>53</v>
      </c>
      <c r="E345" s="14">
        <v>190.91</v>
      </c>
      <c r="F345" s="4"/>
    </row>
    <row r="346" hidden="1">
      <c r="A346" s="52">
        <v>46107.0</v>
      </c>
      <c r="B346" s="55" t="s">
        <v>412</v>
      </c>
      <c r="C346" s="29" t="s">
        <v>9</v>
      </c>
      <c r="D346" s="29" t="s">
        <v>12</v>
      </c>
      <c r="E346" s="14">
        <v>29.97</v>
      </c>
      <c r="F346" s="4"/>
    </row>
    <row r="347" hidden="1">
      <c r="A347" s="52">
        <v>46107.0</v>
      </c>
      <c r="B347" s="55" t="s">
        <v>741</v>
      </c>
      <c r="C347" s="29" t="s">
        <v>9</v>
      </c>
      <c r="D347" s="29" t="s">
        <v>12</v>
      </c>
      <c r="E347" s="14">
        <v>29.97</v>
      </c>
      <c r="F347" s="4"/>
    </row>
    <row r="348" hidden="1">
      <c r="A348" s="52">
        <v>46107.0</v>
      </c>
      <c r="B348" s="55" t="s">
        <v>743</v>
      </c>
      <c r="C348" s="29" t="s">
        <v>9</v>
      </c>
      <c r="D348" s="29" t="s">
        <v>12</v>
      </c>
      <c r="E348" s="14">
        <v>34.97</v>
      </c>
      <c r="F348" s="4"/>
    </row>
    <row r="349" hidden="1">
      <c r="A349" s="52">
        <v>46107.0</v>
      </c>
      <c r="B349" s="55" t="s">
        <v>745</v>
      </c>
      <c r="C349" s="29" t="s">
        <v>9</v>
      </c>
      <c r="D349" s="29" t="s">
        <v>12</v>
      </c>
      <c r="E349" s="14">
        <v>60.97</v>
      </c>
      <c r="F349" s="4"/>
    </row>
    <row r="350" hidden="1">
      <c r="A350" s="52">
        <v>46107.0</v>
      </c>
      <c r="B350" s="55" t="s">
        <v>475</v>
      </c>
      <c r="C350" s="29" t="s">
        <v>9</v>
      </c>
      <c r="D350" s="29" t="s">
        <v>12</v>
      </c>
      <c r="E350" s="14">
        <v>20.97</v>
      </c>
      <c r="F350" s="4"/>
    </row>
    <row r="351" hidden="1">
      <c r="A351" s="52">
        <v>46107.0</v>
      </c>
      <c r="B351" s="55" t="s">
        <v>748</v>
      </c>
      <c r="C351" s="29" t="s">
        <v>9</v>
      </c>
      <c r="D351" s="29" t="s">
        <v>12</v>
      </c>
      <c r="E351" s="14">
        <v>22.97</v>
      </c>
      <c r="F351" s="4"/>
    </row>
    <row r="352" hidden="1">
      <c r="A352" s="52">
        <v>46107.0</v>
      </c>
      <c r="B352" s="55" t="s">
        <v>749</v>
      </c>
      <c r="C352" s="29" t="s">
        <v>9</v>
      </c>
      <c r="D352" s="29" t="s">
        <v>12</v>
      </c>
      <c r="E352" s="14">
        <v>60.97</v>
      </c>
      <c r="F352" s="4"/>
    </row>
    <row r="353" hidden="1">
      <c r="A353" s="52">
        <v>46107.0</v>
      </c>
      <c r="B353" s="55" t="s">
        <v>751</v>
      </c>
      <c r="C353" s="29" t="s">
        <v>9</v>
      </c>
      <c r="D353" s="29" t="s">
        <v>12</v>
      </c>
      <c r="E353" s="14">
        <v>151.97</v>
      </c>
      <c r="F353" s="4"/>
    </row>
    <row r="354" hidden="1">
      <c r="A354" s="52">
        <v>46107.0</v>
      </c>
      <c r="B354" s="55" t="s">
        <v>753</v>
      </c>
      <c r="C354" s="29" t="s">
        <v>9</v>
      </c>
      <c r="D354" s="29" t="s">
        <v>12</v>
      </c>
      <c r="E354" s="14">
        <v>40.97</v>
      </c>
      <c r="F354" s="4"/>
    </row>
    <row r="355" hidden="1">
      <c r="A355" s="52">
        <v>46107.0</v>
      </c>
      <c r="B355" s="55" t="s">
        <v>754</v>
      </c>
      <c r="C355" s="29" t="s">
        <v>9</v>
      </c>
      <c r="D355" s="29" t="s">
        <v>12</v>
      </c>
      <c r="E355" s="14">
        <v>100.97</v>
      </c>
      <c r="F355" s="4"/>
    </row>
    <row r="356" hidden="1">
      <c r="A356" s="21"/>
      <c r="B356" s="21"/>
      <c r="C356" s="23"/>
      <c r="D356" s="23"/>
      <c r="E356" s="24"/>
      <c r="F356" s="24"/>
    </row>
    <row r="357" hidden="1">
      <c r="A357" s="52">
        <v>46108.0</v>
      </c>
      <c r="B357" s="56" t="s">
        <v>538</v>
      </c>
      <c r="C357" s="29" t="s">
        <v>8</v>
      </c>
      <c r="D357" s="29" t="s">
        <v>53</v>
      </c>
      <c r="E357" s="12">
        <v>21.91</v>
      </c>
      <c r="F357" s="12">
        <v>3.0</v>
      </c>
    </row>
    <row r="358" hidden="1">
      <c r="A358" s="52">
        <v>46108.0</v>
      </c>
      <c r="B358" s="56" t="s">
        <v>758</v>
      </c>
      <c r="C358" s="29" t="s">
        <v>8</v>
      </c>
      <c r="D358" s="29" t="s">
        <v>53</v>
      </c>
      <c r="E358" s="12">
        <v>21.91</v>
      </c>
      <c r="F358" s="12">
        <v>3.0</v>
      </c>
    </row>
    <row r="359" hidden="1">
      <c r="A359" s="52">
        <v>46108.0</v>
      </c>
      <c r="B359" s="56" t="s">
        <v>760</v>
      </c>
      <c r="C359" s="29" t="s">
        <v>8</v>
      </c>
      <c r="D359" s="29" t="s">
        <v>53</v>
      </c>
      <c r="E359" s="12">
        <v>100.91</v>
      </c>
      <c r="F359" s="12">
        <v>2.0</v>
      </c>
    </row>
    <row r="360" hidden="1">
      <c r="A360" s="52">
        <v>46108.0</v>
      </c>
      <c r="B360" s="56" t="s">
        <v>762</v>
      </c>
      <c r="C360" s="29" t="s">
        <v>8</v>
      </c>
      <c r="D360" s="29" t="s">
        <v>53</v>
      </c>
      <c r="E360" s="12">
        <v>154.91</v>
      </c>
      <c r="F360" s="4"/>
    </row>
    <row r="361" hidden="1">
      <c r="A361" s="52">
        <v>46108.0</v>
      </c>
      <c r="B361" s="56" t="s">
        <v>763</v>
      </c>
      <c r="C361" s="29" t="s">
        <v>8</v>
      </c>
      <c r="D361" s="29" t="s">
        <v>53</v>
      </c>
      <c r="E361" s="12">
        <v>168.91</v>
      </c>
      <c r="F361" s="4"/>
    </row>
    <row r="362" hidden="1">
      <c r="A362" s="52">
        <v>46108.0</v>
      </c>
      <c r="B362" s="56" t="s">
        <v>765</v>
      </c>
      <c r="C362" s="29" t="s">
        <v>8</v>
      </c>
      <c r="D362" s="29" t="s">
        <v>53</v>
      </c>
      <c r="E362" s="12">
        <v>135.91</v>
      </c>
      <c r="F362" s="4"/>
    </row>
    <row r="363" hidden="1">
      <c r="A363" s="52">
        <v>46108.0</v>
      </c>
      <c r="B363" s="56" t="s">
        <v>767</v>
      </c>
      <c r="C363" s="29" t="s">
        <v>8</v>
      </c>
      <c r="D363" s="29" t="s">
        <v>53</v>
      </c>
      <c r="E363" s="12">
        <v>150.91</v>
      </c>
      <c r="F363" s="4"/>
    </row>
    <row r="364" hidden="1">
      <c r="A364" s="52">
        <v>46108.0</v>
      </c>
      <c r="B364" s="57" t="s">
        <v>769</v>
      </c>
      <c r="C364" s="29" t="s">
        <v>8</v>
      </c>
      <c r="D364" s="29" t="s">
        <v>53</v>
      </c>
      <c r="E364" s="12">
        <v>80.91</v>
      </c>
      <c r="F364" s="4"/>
    </row>
    <row r="365" hidden="1">
      <c r="A365" s="52">
        <v>46108.0</v>
      </c>
      <c r="B365" s="55" t="s">
        <v>773</v>
      </c>
      <c r="C365" s="29" t="s">
        <v>8</v>
      </c>
      <c r="D365" s="29" t="s">
        <v>53</v>
      </c>
      <c r="E365" s="12">
        <v>32.91</v>
      </c>
      <c r="F365" s="4"/>
    </row>
    <row r="366" hidden="1">
      <c r="A366" s="52">
        <v>46108.0</v>
      </c>
      <c r="B366" s="57" t="s">
        <v>775</v>
      </c>
      <c r="C366" s="29" t="s">
        <v>8</v>
      </c>
      <c r="D366" s="29" t="s">
        <v>53</v>
      </c>
      <c r="E366" s="12">
        <v>83.91</v>
      </c>
      <c r="F366" s="4"/>
    </row>
    <row r="367" hidden="1">
      <c r="A367" s="52">
        <v>46108.0</v>
      </c>
      <c r="B367" s="55" t="s">
        <v>777</v>
      </c>
      <c r="C367" s="29" t="s">
        <v>9</v>
      </c>
      <c r="D367" s="29" t="s">
        <v>12</v>
      </c>
      <c r="E367" s="14">
        <v>80.97</v>
      </c>
      <c r="F367" s="4"/>
    </row>
    <row r="368" hidden="1">
      <c r="A368" s="52">
        <v>46108.0</v>
      </c>
      <c r="B368" s="55">
        <v>5.304507978E9</v>
      </c>
      <c r="C368" s="29" t="s">
        <v>9</v>
      </c>
      <c r="D368" s="29" t="s">
        <v>12</v>
      </c>
      <c r="E368" s="14">
        <v>80.97</v>
      </c>
      <c r="F368" s="4"/>
    </row>
    <row r="369" hidden="1">
      <c r="A369" s="52">
        <v>46108.0</v>
      </c>
      <c r="B369" s="55">
        <v>5.304536913E9</v>
      </c>
      <c r="C369" s="29" t="s">
        <v>9</v>
      </c>
      <c r="D369" s="29" t="s">
        <v>12</v>
      </c>
      <c r="E369" s="14">
        <v>50.97</v>
      </c>
      <c r="F369" s="4"/>
    </row>
    <row r="370" hidden="1">
      <c r="A370" s="52">
        <v>46108.0</v>
      </c>
      <c r="B370" s="55">
        <v>5.304536914E9</v>
      </c>
      <c r="C370" s="29" t="s">
        <v>9</v>
      </c>
      <c r="D370" s="29" t="s">
        <v>12</v>
      </c>
      <c r="E370" s="14">
        <v>50.97</v>
      </c>
      <c r="F370" s="4"/>
    </row>
    <row r="371" hidden="1">
      <c r="A371" s="52">
        <v>46108.0</v>
      </c>
      <c r="B371" s="55">
        <v>5.303918284E9</v>
      </c>
      <c r="C371" s="29" t="s">
        <v>9</v>
      </c>
      <c r="D371" s="29" t="s">
        <v>12</v>
      </c>
      <c r="E371" s="14">
        <v>90.91</v>
      </c>
      <c r="F371" s="12">
        <v>2.0</v>
      </c>
    </row>
    <row r="372" hidden="1">
      <c r="A372" s="52">
        <v>46108.0</v>
      </c>
      <c r="B372" s="55">
        <v>5.304525693E9</v>
      </c>
      <c r="C372" s="29" t="s">
        <v>9</v>
      </c>
      <c r="D372" s="29" t="s">
        <v>12</v>
      </c>
      <c r="E372" s="14">
        <v>20.97</v>
      </c>
      <c r="F372" s="4"/>
    </row>
    <row r="373" hidden="1">
      <c r="A373" s="52">
        <v>46108.0</v>
      </c>
      <c r="B373" s="55">
        <v>1.4015300429E11</v>
      </c>
      <c r="C373" s="29" t="s">
        <v>9</v>
      </c>
      <c r="D373" s="29" t="s">
        <v>12</v>
      </c>
      <c r="E373" s="14">
        <v>80.97</v>
      </c>
      <c r="F373" s="4"/>
    </row>
    <row r="374" hidden="1">
      <c r="A374" s="52">
        <v>46108.0</v>
      </c>
      <c r="B374" s="55">
        <v>5.304534551E9</v>
      </c>
      <c r="C374" s="29" t="s">
        <v>9</v>
      </c>
      <c r="D374" s="29" t="s">
        <v>12</v>
      </c>
      <c r="E374" s="14">
        <v>82.97</v>
      </c>
      <c r="F374" s="12">
        <v>2.0</v>
      </c>
    </row>
    <row r="375" hidden="1">
      <c r="A375" s="52">
        <v>46108.0</v>
      </c>
      <c r="B375" s="55">
        <v>5.304523779E9</v>
      </c>
      <c r="C375" s="29" t="s">
        <v>9</v>
      </c>
      <c r="D375" s="29" t="s">
        <v>12</v>
      </c>
      <c r="E375" s="14">
        <v>115.97</v>
      </c>
      <c r="F375" s="4"/>
    </row>
    <row r="376" hidden="1">
      <c r="A376" s="52">
        <v>46108.0</v>
      </c>
      <c r="B376" s="55">
        <v>5.304529531E9</v>
      </c>
      <c r="C376" s="29" t="s">
        <v>9</v>
      </c>
      <c r="D376" s="29" t="s">
        <v>12</v>
      </c>
      <c r="E376" s="14">
        <v>30.97</v>
      </c>
      <c r="F376" s="4"/>
    </row>
    <row r="377" hidden="1">
      <c r="A377" s="52">
        <v>46108.0</v>
      </c>
      <c r="B377" s="55">
        <v>5.304531885E9</v>
      </c>
      <c r="C377" s="29" t="s">
        <v>9</v>
      </c>
      <c r="D377" s="29" t="s">
        <v>12</v>
      </c>
      <c r="E377" s="14">
        <v>125.97</v>
      </c>
      <c r="F377" s="4"/>
    </row>
    <row r="378" hidden="1">
      <c r="A378" s="52">
        <v>46108.0</v>
      </c>
      <c r="B378" s="55">
        <v>3.16091711E8</v>
      </c>
      <c r="C378" s="29" t="s">
        <v>9</v>
      </c>
      <c r="D378" s="29" t="s">
        <v>12</v>
      </c>
      <c r="E378" s="14">
        <v>40.97</v>
      </c>
      <c r="F378" s="4"/>
    </row>
    <row r="379" hidden="1">
      <c r="A379" s="52">
        <v>46108.0</v>
      </c>
      <c r="B379" s="55">
        <v>5.303918899E9</v>
      </c>
      <c r="C379" s="29" t="s">
        <v>8</v>
      </c>
      <c r="D379" s="29" t="s">
        <v>12</v>
      </c>
      <c r="E379" s="14">
        <v>45.97</v>
      </c>
      <c r="F379" s="4"/>
    </row>
    <row r="380" hidden="1">
      <c r="A380" s="52">
        <v>46108.0</v>
      </c>
      <c r="B380" s="55">
        <v>5.304497786E9</v>
      </c>
      <c r="C380" s="29" t="s">
        <v>9</v>
      </c>
      <c r="D380" s="29" t="s">
        <v>12</v>
      </c>
      <c r="E380" s="14">
        <v>145.97</v>
      </c>
      <c r="F380" s="4"/>
    </row>
    <row r="381" hidden="1">
      <c r="A381" s="52">
        <v>46108.0</v>
      </c>
      <c r="B381" s="55">
        <v>5.304532557E9</v>
      </c>
      <c r="C381" s="29" t="s">
        <v>9</v>
      </c>
      <c r="D381" s="29" t="s">
        <v>12</v>
      </c>
      <c r="E381" s="14">
        <v>26.97</v>
      </c>
      <c r="F381" s="4"/>
    </row>
    <row r="382" hidden="1">
      <c r="A382" s="52">
        <v>46108.0</v>
      </c>
      <c r="B382" s="55">
        <v>5.304535039E9</v>
      </c>
      <c r="C382" s="29" t="s">
        <v>9</v>
      </c>
      <c r="D382" s="29" t="s">
        <v>12</v>
      </c>
      <c r="E382" s="14">
        <v>50.97</v>
      </c>
      <c r="F382" s="4"/>
    </row>
    <row r="383" hidden="1">
      <c r="A383" s="52">
        <v>46108.0</v>
      </c>
      <c r="B383" s="55" t="s">
        <v>404</v>
      </c>
      <c r="C383" s="29" t="s">
        <v>9</v>
      </c>
      <c r="D383" s="29" t="s">
        <v>12</v>
      </c>
      <c r="E383" s="14">
        <v>55.97</v>
      </c>
      <c r="F383" s="4"/>
    </row>
    <row r="384" hidden="1">
      <c r="A384" s="52">
        <v>46108.0</v>
      </c>
      <c r="B384" s="55">
        <v>5.304529887E9</v>
      </c>
      <c r="C384" s="29" t="s">
        <v>9</v>
      </c>
      <c r="D384" s="29" t="s">
        <v>12</v>
      </c>
      <c r="E384" s="14">
        <v>45.97</v>
      </c>
      <c r="F384" s="4"/>
    </row>
    <row r="385" hidden="1">
      <c r="A385" s="21"/>
      <c r="B385" s="21"/>
      <c r="C385" s="23"/>
      <c r="D385" s="23"/>
      <c r="E385" s="24"/>
      <c r="F385" s="24"/>
    </row>
    <row r="386" hidden="1">
      <c r="A386" s="52">
        <v>46111.0</v>
      </c>
      <c r="B386" s="55" t="s">
        <v>789</v>
      </c>
      <c r="C386" s="29" t="s">
        <v>8</v>
      </c>
      <c r="D386" s="29" t="s">
        <v>53</v>
      </c>
      <c r="E386" s="12">
        <v>44.91</v>
      </c>
      <c r="F386" s="12">
        <v>4.0</v>
      </c>
    </row>
    <row r="387" hidden="1">
      <c r="A387" s="52">
        <v>46111.0</v>
      </c>
      <c r="B387" s="55" t="s">
        <v>792</v>
      </c>
      <c r="C387" s="29" t="s">
        <v>9</v>
      </c>
      <c r="D387" s="29" t="s">
        <v>12</v>
      </c>
      <c r="E387" s="12">
        <v>25.97</v>
      </c>
      <c r="F387" s="4"/>
    </row>
    <row r="388" hidden="1">
      <c r="A388" s="52">
        <v>46111.0</v>
      </c>
      <c r="B388" s="85" t="s">
        <v>474</v>
      </c>
      <c r="C388" s="29" t="s">
        <v>9</v>
      </c>
      <c r="D388" s="29" t="s">
        <v>12</v>
      </c>
      <c r="E388" s="12">
        <v>40.97</v>
      </c>
      <c r="F388" s="4"/>
    </row>
    <row r="389" hidden="1">
      <c r="A389" s="52">
        <v>46111.0</v>
      </c>
      <c r="B389" s="8" t="s">
        <v>794</v>
      </c>
      <c r="C389" s="29" t="s">
        <v>9</v>
      </c>
      <c r="D389" s="29" t="s">
        <v>12</v>
      </c>
      <c r="E389" s="12">
        <v>145.97</v>
      </c>
      <c r="F389" s="4"/>
    </row>
    <row r="390" hidden="1">
      <c r="A390" s="52">
        <v>46111.0</v>
      </c>
      <c r="B390" s="55" t="s">
        <v>796</v>
      </c>
      <c r="C390" s="29" t="s">
        <v>9</v>
      </c>
      <c r="D390" s="29" t="s">
        <v>53</v>
      </c>
      <c r="E390" s="12">
        <v>42.91</v>
      </c>
      <c r="F390" s="12">
        <v>4.0</v>
      </c>
    </row>
    <row r="391" hidden="1">
      <c r="A391" s="52">
        <v>46111.0</v>
      </c>
      <c r="B391" s="8" t="s">
        <v>798</v>
      </c>
      <c r="C391" s="29" t="s">
        <v>9</v>
      </c>
      <c r="D391" s="29" t="s">
        <v>12</v>
      </c>
      <c r="E391" s="12">
        <v>21.97</v>
      </c>
      <c r="F391" s="4"/>
    </row>
    <row r="392" hidden="1">
      <c r="A392" s="52">
        <v>46111.0</v>
      </c>
      <c r="B392" s="56" t="s">
        <v>801</v>
      </c>
      <c r="C392" s="29" t="s">
        <v>9</v>
      </c>
      <c r="D392" s="29" t="s">
        <v>53</v>
      </c>
      <c r="E392" s="12">
        <v>21.91</v>
      </c>
      <c r="F392" s="4"/>
    </row>
    <row r="393" hidden="1">
      <c r="A393" s="52">
        <v>46111.0</v>
      </c>
      <c r="B393" s="8" t="s">
        <v>803</v>
      </c>
      <c r="C393" s="29" t="s">
        <v>9</v>
      </c>
      <c r="D393" s="29" t="s">
        <v>12</v>
      </c>
      <c r="E393" s="12">
        <v>35.97</v>
      </c>
      <c r="F393" s="4"/>
    </row>
    <row r="394" hidden="1">
      <c r="A394" s="52">
        <v>46111.0</v>
      </c>
      <c r="B394" s="57" t="s">
        <v>806</v>
      </c>
      <c r="C394" s="29" t="s">
        <v>9</v>
      </c>
      <c r="D394" s="29" t="s">
        <v>53</v>
      </c>
      <c r="E394" s="12">
        <v>28.91</v>
      </c>
      <c r="F394" s="12">
        <v>5.0</v>
      </c>
    </row>
    <row r="395" hidden="1">
      <c r="A395" s="52">
        <v>46111.0</v>
      </c>
      <c r="B395" s="8" t="s">
        <v>807</v>
      </c>
      <c r="C395" s="29" t="s">
        <v>9</v>
      </c>
      <c r="D395" s="29" t="s">
        <v>12</v>
      </c>
      <c r="E395" s="12">
        <v>21.97</v>
      </c>
      <c r="F395" s="4"/>
    </row>
    <row r="396" hidden="1">
      <c r="A396" s="52">
        <v>46111.0</v>
      </c>
      <c r="B396" s="56" t="s">
        <v>280</v>
      </c>
      <c r="C396" s="29" t="s">
        <v>9</v>
      </c>
      <c r="D396" s="29" t="s">
        <v>53</v>
      </c>
      <c r="E396" s="12">
        <v>25.91</v>
      </c>
      <c r="F396" s="4"/>
    </row>
    <row r="397" hidden="1">
      <c r="A397" s="52">
        <v>46111.0</v>
      </c>
      <c r="B397" s="8" t="s">
        <v>811</v>
      </c>
      <c r="C397" s="29" t="s">
        <v>9</v>
      </c>
      <c r="D397" s="29" t="s">
        <v>12</v>
      </c>
      <c r="E397" s="12">
        <v>32.97</v>
      </c>
      <c r="F397" s="4"/>
    </row>
    <row r="398" hidden="1">
      <c r="A398" s="52">
        <v>46111.0</v>
      </c>
      <c r="B398" s="56" t="s">
        <v>814</v>
      </c>
      <c r="C398" s="29" t="s">
        <v>9</v>
      </c>
      <c r="D398" s="29" t="s">
        <v>53</v>
      </c>
      <c r="E398" s="12">
        <v>129.91</v>
      </c>
      <c r="F398" s="4"/>
    </row>
    <row r="399" hidden="1">
      <c r="A399" s="52">
        <v>46111.0</v>
      </c>
      <c r="B399" s="8" t="s">
        <v>815</v>
      </c>
      <c r="C399" s="29" t="s">
        <v>9</v>
      </c>
      <c r="D399" s="29" t="s">
        <v>12</v>
      </c>
      <c r="E399" s="12">
        <v>45.97</v>
      </c>
      <c r="F399" s="4"/>
    </row>
    <row r="400" hidden="1">
      <c r="A400" s="52">
        <v>46111.0</v>
      </c>
      <c r="B400" s="8" t="s">
        <v>816</v>
      </c>
      <c r="C400" s="29" t="s">
        <v>9</v>
      </c>
      <c r="D400" s="29" t="s">
        <v>12</v>
      </c>
      <c r="E400" s="12">
        <v>52.97</v>
      </c>
      <c r="F400" s="4"/>
    </row>
    <row r="401" hidden="1">
      <c r="A401" s="52">
        <v>46111.0</v>
      </c>
      <c r="B401" s="8" t="s">
        <v>818</v>
      </c>
      <c r="C401" s="29" t="s">
        <v>9</v>
      </c>
      <c r="D401" s="29" t="s">
        <v>12</v>
      </c>
      <c r="E401" s="12">
        <v>52.97</v>
      </c>
      <c r="F401" s="4"/>
    </row>
    <row r="402" hidden="1">
      <c r="A402" s="52">
        <v>46111.0</v>
      </c>
      <c r="B402" s="57" t="s">
        <v>821</v>
      </c>
      <c r="C402" s="29" t="s">
        <v>9</v>
      </c>
      <c r="D402" s="29" t="s">
        <v>53</v>
      </c>
      <c r="E402" s="12">
        <v>165.91</v>
      </c>
      <c r="F402" s="4"/>
    </row>
    <row r="403" hidden="1">
      <c r="A403" s="52">
        <v>46111.0</v>
      </c>
      <c r="B403" s="8" t="s">
        <v>823</v>
      </c>
      <c r="C403" s="29" t="s">
        <v>9</v>
      </c>
      <c r="D403" s="29" t="s">
        <v>12</v>
      </c>
      <c r="E403" s="12">
        <v>80.97</v>
      </c>
      <c r="F403" s="4"/>
    </row>
    <row r="404" hidden="1">
      <c r="A404" s="52">
        <v>46111.0</v>
      </c>
      <c r="B404" s="8" t="s">
        <v>826</v>
      </c>
      <c r="C404" s="29" t="s">
        <v>9</v>
      </c>
      <c r="D404" s="29" t="s">
        <v>12</v>
      </c>
      <c r="E404" s="12">
        <v>43.97</v>
      </c>
      <c r="F404" s="4"/>
    </row>
    <row r="405" hidden="1">
      <c r="A405" s="52">
        <v>46111.0</v>
      </c>
      <c r="B405" s="8" t="s">
        <v>829</v>
      </c>
      <c r="C405" s="29" t="s">
        <v>9</v>
      </c>
      <c r="D405" s="29" t="s">
        <v>12</v>
      </c>
      <c r="E405" s="12">
        <v>54.97</v>
      </c>
      <c r="F405" s="4"/>
    </row>
    <row r="406" hidden="1">
      <c r="A406" s="52">
        <v>46111.0</v>
      </c>
      <c r="B406" s="8" t="s">
        <v>832</v>
      </c>
      <c r="C406" s="29" t="s">
        <v>9</v>
      </c>
      <c r="D406" s="29" t="s">
        <v>12</v>
      </c>
      <c r="E406" s="12">
        <v>115.97</v>
      </c>
      <c r="F406" s="4"/>
    </row>
    <row r="407" hidden="1">
      <c r="A407" s="52">
        <v>46111.0</v>
      </c>
      <c r="B407" s="8" t="s">
        <v>834</v>
      </c>
      <c r="C407" s="29" t="s">
        <v>9</v>
      </c>
      <c r="D407" s="29" t="s">
        <v>12</v>
      </c>
      <c r="E407" s="12">
        <v>70.97</v>
      </c>
      <c r="F407" s="4"/>
    </row>
    <row r="408" hidden="1">
      <c r="A408" s="52">
        <v>46111.0</v>
      </c>
      <c r="B408" s="56" t="s">
        <v>835</v>
      </c>
      <c r="C408" s="29" t="s">
        <v>9</v>
      </c>
      <c r="D408" s="29" t="s">
        <v>53</v>
      </c>
      <c r="E408" s="12">
        <v>45.91</v>
      </c>
      <c r="F408" s="4"/>
    </row>
    <row r="409" hidden="1">
      <c r="A409" s="52">
        <v>46111.0</v>
      </c>
      <c r="B409" s="56" t="s">
        <v>838</v>
      </c>
      <c r="C409" s="29" t="s">
        <v>9</v>
      </c>
      <c r="D409" s="29" t="s">
        <v>53</v>
      </c>
      <c r="E409" s="12">
        <v>23.91</v>
      </c>
      <c r="F409" s="4"/>
    </row>
    <row r="410" hidden="1">
      <c r="A410" s="52">
        <v>46111.0</v>
      </c>
      <c r="B410" s="8" t="s">
        <v>841</v>
      </c>
      <c r="C410" s="9" t="s">
        <v>8</v>
      </c>
      <c r="D410" s="9" t="s">
        <v>12</v>
      </c>
      <c r="E410" s="34">
        <v>33.97</v>
      </c>
      <c r="F410" s="3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idden="1">
      <c r="A411" s="52">
        <v>46111.0</v>
      </c>
      <c r="B411" s="45" t="s">
        <v>844</v>
      </c>
      <c r="C411" s="9" t="s">
        <v>8</v>
      </c>
      <c r="D411" s="9" t="s">
        <v>12</v>
      </c>
      <c r="E411" s="34">
        <v>40.97</v>
      </c>
      <c r="F411" s="3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idden="1">
      <c r="A412" s="52">
        <v>46111.0</v>
      </c>
      <c r="B412" s="45" t="s">
        <v>848</v>
      </c>
      <c r="C412" s="9" t="s">
        <v>8</v>
      </c>
      <c r="D412" s="9" t="s">
        <v>12</v>
      </c>
      <c r="E412" s="34">
        <v>65.97</v>
      </c>
      <c r="F412" s="3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idden="1">
      <c r="A413" s="52">
        <v>46111.0</v>
      </c>
      <c r="B413" s="45" t="s">
        <v>850</v>
      </c>
      <c r="C413" s="9" t="s">
        <v>8</v>
      </c>
      <c r="D413" s="9" t="s">
        <v>12</v>
      </c>
      <c r="E413" s="34">
        <v>175.97</v>
      </c>
      <c r="F413" s="3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idden="1">
      <c r="A414" s="52">
        <v>46111.0</v>
      </c>
      <c r="B414" s="45" t="s">
        <v>853</v>
      </c>
      <c r="C414" s="9" t="s">
        <v>8</v>
      </c>
      <c r="D414" s="9" t="s">
        <v>12</v>
      </c>
      <c r="E414" s="34">
        <v>57.97</v>
      </c>
      <c r="F414" s="3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idden="1">
      <c r="A415" s="52">
        <v>46111.0</v>
      </c>
      <c r="B415" s="8" t="s">
        <v>856</v>
      </c>
      <c r="C415" s="9" t="s">
        <v>8</v>
      </c>
      <c r="D415" s="9" t="s">
        <v>12</v>
      </c>
      <c r="E415" s="34">
        <v>40.97</v>
      </c>
      <c r="F415" s="3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idden="1">
      <c r="A416" s="52">
        <v>46111.0</v>
      </c>
      <c r="B416" s="8" t="s">
        <v>861</v>
      </c>
      <c r="C416" s="9" t="s">
        <v>8</v>
      </c>
      <c r="D416" s="9" t="s">
        <v>12</v>
      </c>
      <c r="E416" s="34">
        <v>15.97</v>
      </c>
      <c r="F416" s="3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idden="1">
      <c r="A417" s="52">
        <v>46111.0</v>
      </c>
      <c r="B417" s="45" t="s">
        <v>866</v>
      </c>
      <c r="C417" s="9" t="s">
        <v>8</v>
      </c>
      <c r="D417" s="9" t="s">
        <v>12</v>
      </c>
      <c r="E417" s="34">
        <v>199.97</v>
      </c>
      <c r="F417" s="3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idden="1">
      <c r="A418" s="52">
        <v>46111.0</v>
      </c>
      <c r="B418" s="45" t="s">
        <v>869</v>
      </c>
      <c r="C418" s="9" t="s">
        <v>8</v>
      </c>
      <c r="D418" s="9" t="s">
        <v>12</v>
      </c>
      <c r="E418" s="34">
        <v>70.97</v>
      </c>
      <c r="F418" s="3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idden="1">
      <c r="A419" s="52">
        <v>46111.0</v>
      </c>
      <c r="B419" s="45" t="s">
        <v>872</v>
      </c>
      <c r="C419" s="9" t="s">
        <v>8</v>
      </c>
      <c r="D419" s="9" t="s">
        <v>12</v>
      </c>
      <c r="E419" s="34">
        <v>55.97</v>
      </c>
      <c r="F419" s="3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idden="1">
      <c r="A420" s="52">
        <v>46111.0</v>
      </c>
      <c r="B420" s="45" t="s">
        <v>745</v>
      </c>
      <c r="C420" s="9" t="s">
        <v>8</v>
      </c>
      <c r="D420" s="9" t="s">
        <v>12</v>
      </c>
      <c r="E420" s="34">
        <v>60.97</v>
      </c>
      <c r="F420" s="31">
        <v>2.0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idden="1">
      <c r="A421" s="52">
        <v>46111.0</v>
      </c>
      <c r="B421" s="45" t="s">
        <v>878</v>
      </c>
      <c r="C421" s="9" t="s">
        <v>8</v>
      </c>
      <c r="D421" s="9" t="s">
        <v>12</v>
      </c>
      <c r="E421" s="34">
        <v>140.97</v>
      </c>
      <c r="F421" s="3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idden="1">
      <c r="A422" s="52">
        <v>46111.0</v>
      </c>
      <c r="B422" s="45" t="s">
        <v>881</v>
      </c>
      <c r="C422" s="9" t="s">
        <v>8</v>
      </c>
      <c r="D422" s="9" t="s">
        <v>12</v>
      </c>
      <c r="E422" s="34">
        <v>45.97</v>
      </c>
      <c r="F422" s="3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idden="1">
      <c r="A423" s="52">
        <v>46111.0</v>
      </c>
      <c r="B423" s="45" t="s">
        <v>884</v>
      </c>
      <c r="C423" s="9" t="s">
        <v>8</v>
      </c>
      <c r="D423" s="9" t="s">
        <v>12</v>
      </c>
      <c r="E423" s="34">
        <v>30.97</v>
      </c>
      <c r="F423" s="3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idden="1">
      <c r="A424" s="52">
        <v>46111.0</v>
      </c>
      <c r="B424" s="45" t="s">
        <v>887</v>
      </c>
      <c r="C424" s="9" t="s">
        <v>8</v>
      </c>
      <c r="D424" s="9" t="s">
        <v>12</v>
      </c>
      <c r="E424" s="34">
        <v>38.97</v>
      </c>
      <c r="F424" s="3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idden="1">
      <c r="A425" s="52">
        <v>46111.0</v>
      </c>
      <c r="B425" s="45" t="s">
        <v>890</v>
      </c>
      <c r="C425" s="9" t="s">
        <v>8</v>
      </c>
      <c r="D425" s="9" t="s">
        <v>12</v>
      </c>
      <c r="E425" s="34">
        <v>32.97</v>
      </c>
      <c r="F425" s="3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idden="1">
      <c r="A426" s="21"/>
      <c r="B426" s="21"/>
      <c r="C426" s="23"/>
      <c r="D426" s="23"/>
      <c r="E426" s="24"/>
      <c r="F426" s="24"/>
    </row>
    <row r="427" hidden="1">
      <c r="A427" s="52">
        <v>46112.0</v>
      </c>
      <c r="B427" s="8" t="s">
        <v>824</v>
      </c>
      <c r="C427" s="29" t="s">
        <v>9</v>
      </c>
      <c r="D427" s="29" t="s">
        <v>12</v>
      </c>
      <c r="E427" s="12">
        <v>60.97</v>
      </c>
      <c r="F427" s="4"/>
    </row>
    <row r="428" hidden="1">
      <c r="A428" s="52">
        <v>46112.0</v>
      </c>
      <c r="B428" s="8" t="s">
        <v>895</v>
      </c>
      <c r="C428" s="29" t="s">
        <v>9</v>
      </c>
      <c r="D428" s="29" t="s">
        <v>12</v>
      </c>
      <c r="E428" s="12">
        <v>56.97</v>
      </c>
      <c r="F428" s="4"/>
    </row>
    <row r="429" hidden="1">
      <c r="A429" s="52">
        <v>46112.0</v>
      </c>
      <c r="B429" s="8" t="s">
        <v>898</v>
      </c>
      <c r="C429" s="29" t="s">
        <v>9</v>
      </c>
      <c r="D429" s="29" t="s">
        <v>12</v>
      </c>
      <c r="E429" s="12">
        <v>24.97</v>
      </c>
      <c r="F429" s="4"/>
    </row>
    <row r="430" hidden="1">
      <c r="A430" s="52">
        <v>46112.0</v>
      </c>
      <c r="B430" s="8" t="s">
        <v>127</v>
      </c>
      <c r="C430" s="29" t="s">
        <v>9</v>
      </c>
      <c r="D430" s="29" t="s">
        <v>12</v>
      </c>
      <c r="E430" s="12">
        <v>24.97</v>
      </c>
      <c r="F430" s="4"/>
    </row>
    <row r="431" hidden="1">
      <c r="A431" s="52">
        <v>46112.0</v>
      </c>
      <c r="B431" s="8" t="s">
        <v>38</v>
      </c>
      <c r="C431" s="29" t="s">
        <v>9</v>
      </c>
      <c r="D431" s="29" t="s">
        <v>12</v>
      </c>
      <c r="E431" s="12">
        <v>33.97</v>
      </c>
      <c r="F431" s="4"/>
    </row>
    <row r="432" hidden="1">
      <c r="A432" s="52">
        <v>46112.0</v>
      </c>
      <c r="B432" s="85" t="s">
        <v>41</v>
      </c>
      <c r="C432" s="29" t="s">
        <v>9</v>
      </c>
      <c r="D432" s="29" t="s">
        <v>12</v>
      </c>
      <c r="E432" s="12">
        <v>63.97</v>
      </c>
      <c r="F432" s="4"/>
    </row>
    <row r="433" hidden="1">
      <c r="A433" s="52">
        <v>46112.0</v>
      </c>
      <c r="B433" s="8" t="s">
        <v>43</v>
      </c>
      <c r="C433" s="29" t="s">
        <v>9</v>
      </c>
      <c r="D433" s="29" t="s">
        <v>12</v>
      </c>
      <c r="E433" s="12">
        <v>158.97</v>
      </c>
      <c r="F433" s="4"/>
    </row>
    <row r="434" hidden="1">
      <c r="A434" s="52">
        <v>46112.0</v>
      </c>
      <c r="B434" s="8" t="s">
        <v>44</v>
      </c>
      <c r="C434" s="29" t="s">
        <v>9</v>
      </c>
      <c r="D434" s="29" t="s">
        <v>12</v>
      </c>
      <c r="E434" s="12">
        <v>34.97</v>
      </c>
      <c r="F434" s="4"/>
    </row>
    <row r="435" hidden="1">
      <c r="A435" s="52">
        <v>46112.0</v>
      </c>
      <c r="B435" s="8" t="s">
        <v>46</v>
      </c>
      <c r="C435" s="29" t="s">
        <v>9</v>
      </c>
      <c r="D435" s="29" t="s">
        <v>12</v>
      </c>
      <c r="E435" s="12">
        <v>64.97</v>
      </c>
      <c r="F435" s="4"/>
    </row>
    <row r="436" hidden="1">
      <c r="A436" s="52">
        <v>46112.0</v>
      </c>
      <c r="B436" s="8" t="s">
        <v>47</v>
      </c>
      <c r="C436" s="29" t="s">
        <v>9</v>
      </c>
      <c r="D436" s="29" t="s">
        <v>12</v>
      </c>
      <c r="E436" s="12">
        <v>115.97</v>
      </c>
      <c r="F436" s="4"/>
    </row>
    <row r="437" hidden="1">
      <c r="A437" s="52">
        <v>46112.0</v>
      </c>
      <c r="B437" s="8" t="s">
        <v>49</v>
      </c>
      <c r="C437" s="29" t="s">
        <v>9</v>
      </c>
      <c r="D437" s="29" t="s">
        <v>12</v>
      </c>
      <c r="E437" s="12">
        <v>95.97</v>
      </c>
      <c r="F437" s="4"/>
    </row>
    <row r="438" hidden="1">
      <c r="A438" s="52">
        <v>46112.0</v>
      </c>
      <c r="B438" s="8" t="s">
        <v>50</v>
      </c>
      <c r="C438" s="29" t="s">
        <v>9</v>
      </c>
      <c r="D438" s="29" t="s">
        <v>12</v>
      </c>
      <c r="E438" s="12">
        <v>75.97</v>
      </c>
      <c r="F438" s="4"/>
    </row>
    <row r="439" hidden="1">
      <c r="A439" s="52">
        <v>46112.0</v>
      </c>
      <c r="B439" s="8" t="s">
        <v>54</v>
      </c>
      <c r="C439" s="29" t="s">
        <v>9</v>
      </c>
      <c r="D439" s="29" t="s">
        <v>12</v>
      </c>
      <c r="E439" s="12">
        <v>25.97</v>
      </c>
      <c r="F439" s="4"/>
    </row>
    <row r="440" hidden="1">
      <c r="A440" s="52">
        <v>46112.0</v>
      </c>
      <c r="B440" s="8" t="s">
        <v>57</v>
      </c>
      <c r="C440" s="29" t="s">
        <v>9</v>
      </c>
      <c r="D440" s="29" t="s">
        <v>12</v>
      </c>
      <c r="E440" s="12">
        <v>30.97</v>
      </c>
      <c r="F440" s="4"/>
    </row>
    <row r="441" hidden="1">
      <c r="A441" s="52">
        <v>46112.0</v>
      </c>
      <c r="B441" s="8" t="s">
        <v>59</v>
      </c>
      <c r="C441" s="29" t="s">
        <v>9</v>
      </c>
      <c r="D441" s="29" t="s">
        <v>12</v>
      </c>
      <c r="E441" s="12">
        <v>64.97</v>
      </c>
      <c r="F441" s="4"/>
    </row>
    <row r="442" hidden="1">
      <c r="A442" s="52">
        <v>46112.0</v>
      </c>
      <c r="B442" s="8" t="s">
        <v>911</v>
      </c>
      <c r="C442" s="29" t="s">
        <v>9</v>
      </c>
      <c r="D442" s="29" t="s">
        <v>12</v>
      </c>
      <c r="E442" s="12">
        <v>80.97</v>
      </c>
      <c r="F442" s="4"/>
    </row>
    <row r="443" hidden="1">
      <c r="A443" s="52">
        <v>46112.0</v>
      </c>
      <c r="B443" s="8" t="s">
        <v>913</v>
      </c>
      <c r="C443" s="29" t="s">
        <v>9</v>
      </c>
      <c r="D443" s="29" t="s">
        <v>12</v>
      </c>
      <c r="E443" s="12">
        <v>70.97</v>
      </c>
      <c r="F443" s="4"/>
    </row>
    <row r="444" hidden="1">
      <c r="A444" s="52">
        <v>46112.0</v>
      </c>
      <c r="B444" s="8" t="s">
        <v>917</v>
      </c>
      <c r="C444" s="29" t="s">
        <v>9</v>
      </c>
      <c r="D444" s="29" t="s">
        <v>12</v>
      </c>
      <c r="E444" s="12">
        <v>30.97</v>
      </c>
      <c r="F444" s="4"/>
    </row>
    <row r="445" hidden="1">
      <c r="A445" s="52">
        <v>46112.0</v>
      </c>
      <c r="B445" s="8" t="s">
        <v>919</v>
      </c>
      <c r="C445" s="29" t="s">
        <v>9</v>
      </c>
      <c r="D445" s="29" t="s">
        <v>12</v>
      </c>
      <c r="E445" s="12">
        <v>54.97</v>
      </c>
      <c r="F445" s="4"/>
    </row>
    <row r="446" hidden="1">
      <c r="A446" s="52">
        <v>46112.0</v>
      </c>
      <c r="B446" s="8" t="s">
        <v>920</v>
      </c>
      <c r="C446" s="29" t="s">
        <v>9</v>
      </c>
      <c r="D446" s="29" t="s">
        <v>12</v>
      </c>
      <c r="E446" s="12">
        <v>55.97</v>
      </c>
      <c r="F446" s="4"/>
    </row>
    <row r="447" hidden="1">
      <c r="A447" s="52">
        <v>46112.0</v>
      </c>
      <c r="B447" s="115" t="s">
        <v>922</v>
      </c>
      <c r="C447" s="29" t="s">
        <v>9</v>
      </c>
      <c r="D447" s="29" t="s">
        <v>53</v>
      </c>
      <c r="E447" s="47">
        <v>33.91</v>
      </c>
      <c r="F447" s="116"/>
      <c r="G447" s="117"/>
    </row>
    <row r="448" hidden="1">
      <c r="A448" s="52">
        <v>46112.0</v>
      </c>
      <c r="B448" s="56" t="s">
        <v>927</v>
      </c>
      <c r="C448" s="29" t="s">
        <v>9</v>
      </c>
      <c r="D448" s="29" t="s">
        <v>53</v>
      </c>
      <c r="E448" s="12">
        <v>28.91</v>
      </c>
      <c r="F448" s="4"/>
    </row>
    <row r="449" hidden="1">
      <c r="A449" s="52">
        <v>46112.0</v>
      </c>
      <c r="B449" s="57" t="s">
        <v>930</v>
      </c>
      <c r="C449" s="29" t="s">
        <v>9</v>
      </c>
      <c r="D449" s="29" t="s">
        <v>53</v>
      </c>
      <c r="E449" s="12">
        <v>21.91</v>
      </c>
      <c r="F449" s="4"/>
    </row>
    <row r="450" hidden="1">
      <c r="A450" s="52">
        <v>46112.0</v>
      </c>
      <c r="B450" s="55" t="s">
        <v>932</v>
      </c>
      <c r="C450" s="29" t="s">
        <v>9</v>
      </c>
      <c r="D450" s="29" t="s">
        <v>53</v>
      </c>
      <c r="E450" s="12">
        <v>34.91</v>
      </c>
      <c r="F450" s="4"/>
    </row>
    <row r="451" hidden="1">
      <c r="A451" s="52">
        <v>46112.0</v>
      </c>
      <c r="B451" s="56" t="s">
        <v>935</v>
      </c>
      <c r="C451" s="29" t="s">
        <v>9</v>
      </c>
      <c r="D451" s="29" t="s">
        <v>53</v>
      </c>
      <c r="E451" s="12">
        <v>29.91</v>
      </c>
      <c r="F451" s="12">
        <v>4.0</v>
      </c>
    </row>
    <row r="452" hidden="1">
      <c r="A452" s="52">
        <v>46112.0</v>
      </c>
      <c r="B452" s="57" t="s">
        <v>937</v>
      </c>
      <c r="C452" s="29" t="s">
        <v>9</v>
      </c>
      <c r="D452" s="29" t="s">
        <v>53</v>
      </c>
      <c r="E452" s="12">
        <v>21.91</v>
      </c>
      <c r="F452" s="4"/>
    </row>
    <row r="453" hidden="1">
      <c r="A453" s="52">
        <v>46112.0</v>
      </c>
      <c r="B453" s="55" t="s">
        <v>939</v>
      </c>
      <c r="C453" s="29" t="s">
        <v>8</v>
      </c>
      <c r="D453" s="29" t="s">
        <v>12</v>
      </c>
      <c r="E453" s="14">
        <v>26.97</v>
      </c>
      <c r="F453" s="4"/>
    </row>
    <row r="454" hidden="1">
      <c r="A454" s="52">
        <v>46112.0</v>
      </c>
      <c r="B454" s="55" t="s">
        <v>319</v>
      </c>
      <c r="C454" s="29" t="s">
        <v>8</v>
      </c>
      <c r="D454" s="29" t="s">
        <v>12</v>
      </c>
      <c r="E454" s="14">
        <v>50.97</v>
      </c>
      <c r="F454" s="12">
        <v>4.0</v>
      </c>
    </row>
    <row r="455" hidden="1">
      <c r="A455" s="52">
        <v>46112.0</v>
      </c>
      <c r="B455" s="55" t="s">
        <v>942</v>
      </c>
      <c r="C455" s="29" t="s">
        <v>8</v>
      </c>
      <c r="D455" s="29" t="s">
        <v>12</v>
      </c>
      <c r="E455" s="14">
        <v>210.97</v>
      </c>
      <c r="F455" s="4"/>
    </row>
    <row r="456" hidden="1">
      <c r="A456" s="52">
        <v>46112.0</v>
      </c>
      <c r="B456" s="55" t="s">
        <v>943</v>
      </c>
      <c r="C456" s="29" t="s">
        <v>8</v>
      </c>
      <c r="D456" s="29" t="s">
        <v>12</v>
      </c>
      <c r="E456" s="14">
        <v>350.97</v>
      </c>
      <c r="F456" s="4"/>
    </row>
    <row r="457" hidden="1">
      <c r="A457" s="52">
        <v>46112.0</v>
      </c>
      <c r="B457" s="55" t="s">
        <v>945</v>
      </c>
      <c r="C457" s="29" t="s">
        <v>8</v>
      </c>
      <c r="D457" s="29" t="s">
        <v>12</v>
      </c>
      <c r="E457" s="14">
        <v>24.97</v>
      </c>
      <c r="F457" s="4"/>
    </row>
    <row r="458" hidden="1">
      <c r="A458" s="52">
        <v>46112.0</v>
      </c>
      <c r="B458" s="55" t="s">
        <v>947</v>
      </c>
      <c r="C458" s="29" t="s">
        <v>8</v>
      </c>
      <c r="D458" s="29" t="s">
        <v>12</v>
      </c>
      <c r="E458" s="14">
        <v>90.97</v>
      </c>
      <c r="F458" s="4"/>
    </row>
    <row r="459" hidden="1">
      <c r="A459" s="52">
        <v>46112.0</v>
      </c>
      <c r="B459" s="55" t="s">
        <v>949</v>
      </c>
      <c r="C459" s="29" t="s">
        <v>8</v>
      </c>
      <c r="D459" s="29" t="s">
        <v>12</v>
      </c>
      <c r="E459" s="14">
        <v>90.91</v>
      </c>
      <c r="F459" s="12">
        <v>2.0</v>
      </c>
    </row>
    <row r="460" hidden="1">
      <c r="A460" s="52">
        <v>46112.0</v>
      </c>
      <c r="B460" s="55" t="s">
        <v>951</v>
      </c>
      <c r="C460" s="29" t="s">
        <v>8</v>
      </c>
      <c r="D460" s="29" t="s">
        <v>12</v>
      </c>
      <c r="E460" s="14">
        <v>80.97</v>
      </c>
      <c r="F460" s="4"/>
    </row>
    <row r="461" hidden="1">
      <c r="A461" s="52">
        <v>46112.0</v>
      </c>
      <c r="B461" s="55" t="s">
        <v>953</v>
      </c>
      <c r="C461" s="29" t="s">
        <v>8</v>
      </c>
      <c r="D461" s="29" t="s">
        <v>12</v>
      </c>
      <c r="E461" s="14">
        <v>140.97</v>
      </c>
      <c r="F461" s="4"/>
    </row>
    <row r="462" hidden="1">
      <c r="A462" s="52">
        <v>46112.0</v>
      </c>
      <c r="B462" s="55" t="s">
        <v>954</v>
      </c>
      <c r="C462" s="29" t="s">
        <v>8</v>
      </c>
      <c r="D462" s="29" t="s">
        <v>12</v>
      </c>
      <c r="E462" s="14">
        <v>25.97</v>
      </c>
      <c r="F462" s="4"/>
    </row>
    <row r="463" hidden="1">
      <c r="A463" s="52">
        <v>46112.0</v>
      </c>
      <c r="B463" s="55" t="s">
        <v>602</v>
      </c>
      <c r="C463" s="29" t="s">
        <v>8</v>
      </c>
      <c r="D463" s="29" t="s">
        <v>12</v>
      </c>
      <c r="E463" s="14">
        <v>45.97</v>
      </c>
      <c r="F463" s="12">
        <v>11.0</v>
      </c>
    </row>
    <row r="464" hidden="1">
      <c r="A464" s="52">
        <v>46112.0</v>
      </c>
      <c r="B464" s="55" t="s">
        <v>957</v>
      </c>
      <c r="C464" s="29" t="s">
        <v>8</v>
      </c>
      <c r="D464" s="29" t="s">
        <v>12</v>
      </c>
      <c r="E464" s="14">
        <v>85.97</v>
      </c>
      <c r="F464" s="4"/>
    </row>
    <row r="465" hidden="1">
      <c r="A465" s="52">
        <v>46112.0</v>
      </c>
      <c r="B465" s="55" t="s">
        <v>958</v>
      </c>
      <c r="C465" s="29" t="s">
        <v>8</v>
      </c>
      <c r="D465" s="29" t="s">
        <v>12</v>
      </c>
      <c r="E465" s="14">
        <v>48.97</v>
      </c>
      <c r="F465" s="4"/>
    </row>
    <row r="466" hidden="1">
      <c r="A466" s="52">
        <v>46112.0</v>
      </c>
      <c r="B466" s="55" t="s">
        <v>959</v>
      </c>
      <c r="C466" s="29" t="s">
        <v>8</v>
      </c>
      <c r="D466" s="29" t="s">
        <v>12</v>
      </c>
      <c r="E466" s="14">
        <v>40.97</v>
      </c>
      <c r="F466" s="4"/>
    </row>
    <row r="467" hidden="1">
      <c r="A467" s="52">
        <v>46112.0</v>
      </c>
      <c r="B467" s="55" t="s">
        <v>961</v>
      </c>
      <c r="C467" s="29" t="s">
        <v>8</v>
      </c>
      <c r="D467" s="29" t="s">
        <v>12</v>
      </c>
      <c r="E467" s="14">
        <v>32.97</v>
      </c>
      <c r="F467" s="4"/>
    </row>
    <row r="468" hidden="1">
      <c r="A468" s="52">
        <v>46112.0</v>
      </c>
      <c r="B468" s="55" t="s">
        <v>964</v>
      </c>
      <c r="C468" s="29" t="s">
        <v>8</v>
      </c>
      <c r="D468" s="29" t="s">
        <v>12</v>
      </c>
      <c r="E468" s="14">
        <v>130.97</v>
      </c>
      <c r="F468" s="12">
        <v>2.0</v>
      </c>
    </row>
    <row r="469" hidden="1">
      <c r="A469" s="52">
        <v>46112.0</v>
      </c>
      <c r="B469" s="55" t="s">
        <v>965</v>
      </c>
      <c r="C469" s="29" t="s">
        <v>8</v>
      </c>
      <c r="D469" s="29" t="s">
        <v>12</v>
      </c>
      <c r="E469" s="14">
        <v>75.97</v>
      </c>
      <c r="F469" s="4"/>
    </row>
    <row r="470" hidden="1">
      <c r="A470" s="52">
        <v>46112.0</v>
      </c>
      <c r="B470" s="55" t="s">
        <v>967</v>
      </c>
      <c r="C470" s="29" t="s">
        <v>8</v>
      </c>
      <c r="D470" s="29" t="s">
        <v>12</v>
      </c>
      <c r="E470" s="14">
        <v>70.97</v>
      </c>
      <c r="F470" s="4"/>
    </row>
    <row r="471" hidden="1">
      <c r="A471" s="52">
        <v>46112.0</v>
      </c>
      <c r="B471" s="55" t="s">
        <v>969</v>
      </c>
      <c r="C471" s="29" t="s">
        <v>8</v>
      </c>
      <c r="D471" s="29" t="s">
        <v>12</v>
      </c>
      <c r="E471" s="14">
        <v>119.97</v>
      </c>
      <c r="F471" s="4"/>
    </row>
    <row r="472" hidden="1">
      <c r="A472" s="52">
        <v>46112.0</v>
      </c>
      <c r="B472" s="55" t="s">
        <v>971</v>
      </c>
      <c r="C472" s="29" t="s">
        <v>8</v>
      </c>
      <c r="D472" s="29" t="s">
        <v>12</v>
      </c>
      <c r="E472" s="14">
        <v>90.91</v>
      </c>
      <c r="F472" s="4"/>
    </row>
    <row r="473" hidden="1">
      <c r="A473" s="52">
        <v>46112.0</v>
      </c>
      <c r="B473" s="55" t="s">
        <v>973</v>
      </c>
      <c r="C473" s="29" t="s">
        <v>8</v>
      </c>
      <c r="D473" s="29" t="s">
        <v>12</v>
      </c>
      <c r="E473" s="14">
        <v>20.97</v>
      </c>
      <c r="F473" s="12">
        <v>2.0</v>
      </c>
    </row>
    <row r="474" hidden="1">
      <c r="A474" s="52">
        <v>46112.0</v>
      </c>
      <c r="B474" s="55" t="s">
        <v>975</v>
      </c>
      <c r="C474" s="29" t="s">
        <v>8</v>
      </c>
      <c r="D474" s="29" t="s">
        <v>12</v>
      </c>
      <c r="E474" s="14">
        <v>75.97</v>
      </c>
      <c r="F474" s="4"/>
    </row>
    <row r="475" hidden="1">
      <c r="A475" s="52">
        <v>46112.0</v>
      </c>
      <c r="B475" s="55" t="s">
        <v>24</v>
      </c>
      <c r="C475" s="29" t="s">
        <v>8</v>
      </c>
      <c r="D475" s="29" t="s">
        <v>12</v>
      </c>
      <c r="E475" s="14">
        <v>70.97</v>
      </c>
      <c r="F475" s="4"/>
    </row>
    <row r="476" hidden="1">
      <c r="A476" s="52">
        <v>46112.0</v>
      </c>
      <c r="B476" s="55" t="s">
        <v>978</v>
      </c>
      <c r="C476" s="29" t="s">
        <v>8</v>
      </c>
      <c r="D476" s="29" t="s">
        <v>12</v>
      </c>
      <c r="E476" s="14">
        <v>50.97</v>
      </c>
      <c r="F476" s="4"/>
    </row>
    <row r="477" hidden="1">
      <c r="A477" s="52">
        <v>46112.0</v>
      </c>
      <c r="B477" s="55" t="s">
        <v>874</v>
      </c>
      <c r="C477" s="29" t="s">
        <v>8</v>
      </c>
      <c r="D477" s="29" t="s">
        <v>12</v>
      </c>
      <c r="E477" s="14">
        <v>90.91</v>
      </c>
      <c r="F477" s="4"/>
    </row>
    <row r="478" hidden="1">
      <c r="A478" s="52">
        <v>46112.0</v>
      </c>
      <c r="B478" s="55" t="s">
        <v>539</v>
      </c>
      <c r="C478" s="29" t="s">
        <v>8</v>
      </c>
      <c r="D478" s="29" t="s">
        <v>12</v>
      </c>
      <c r="E478" s="14">
        <v>90.91</v>
      </c>
      <c r="F478" s="12">
        <v>6.0</v>
      </c>
    </row>
    <row r="479" hidden="1">
      <c r="A479" s="52">
        <v>46112.0</v>
      </c>
      <c r="B479" s="55" t="s">
        <v>14</v>
      </c>
      <c r="C479" s="29" t="s">
        <v>8</v>
      </c>
      <c r="D479" s="29" t="s">
        <v>12</v>
      </c>
      <c r="E479" s="14">
        <v>90.91</v>
      </c>
      <c r="F479" s="4"/>
    </row>
    <row r="480" hidden="1">
      <c r="A480" s="52">
        <v>46112.0</v>
      </c>
      <c r="B480" s="55" t="s">
        <v>983</v>
      </c>
      <c r="C480" s="29" t="s">
        <v>8</v>
      </c>
      <c r="D480" s="29" t="s">
        <v>12</v>
      </c>
      <c r="E480" s="14">
        <v>75.97</v>
      </c>
      <c r="F480" s="4"/>
    </row>
    <row r="481" hidden="1">
      <c r="A481" s="21"/>
      <c r="B481" s="21"/>
      <c r="C481" s="23"/>
      <c r="D481" s="23"/>
      <c r="E481" s="24"/>
      <c r="F481" s="24"/>
    </row>
    <row r="482" hidden="1">
      <c r="A482" s="52">
        <v>46113.0</v>
      </c>
      <c r="B482" s="56" t="s">
        <v>985</v>
      </c>
      <c r="C482" s="29" t="s">
        <v>9</v>
      </c>
      <c r="D482" s="29" t="s">
        <v>53</v>
      </c>
      <c r="E482" s="12">
        <v>35.91</v>
      </c>
      <c r="F482" s="4"/>
    </row>
    <row r="483" hidden="1">
      <c r="A483" s="52">
        <v>46113.0</v>
      </c>
      <c r="B483" s="56" t="s">
        <v>987</v>
      </c>
      <c r="C483" s="29" t="s">
        <v>9</v>
      </c>
      <c r="D483" s="29" t="s">
        <v>53</v>
      </c>
      <c r="E483" s="12">
        <v>42.91</v>
      </c>
      <c r="F483" s="4"/>
    </row>
    <row r="484" hidden="1">
      <c r="A484" s="52">
        <v>46113.0</v>
      </c>
      <c r="B484" s="56" t="s">
        <v>988</v>
      </c>
      <c r="C484" s="29" t="s">
        <v>9</v>
      </c>
      <c r="D484" s="29" t="s">
        <v>53</v>
      </c>
      <c r="E484" s="12">
        <v>125.91</v>
      </c>
      <c r="F484" s="4"/>
    </row>
    <row r="485" hidden="1">
      <c r="A485" s="52">
        <v>46113.0</v>
      </c>
      <c r="B485" s="56" t="s">
        <v>991</v>
      </c>
      <c r="C485" s="29" t="s">
        <v>9</v>
      </c>
      <c r="D485" s="29" t="s">
        <v>53</v>
      </c>
      <c r="E485" s="12">
        <v>95.91</v>
      </c>
      <c r="F485" s="4"/>
    </row>
    <row r="486" hidden="1">
      <c r="A486" s="52">
        <v>46113.0</v>
      </c>
      <c r="B486" s="57" t="s">
        <v>993</v>
      </c>
      <c r="C486" s="29" t="s">
        <v>9</v>
      </c>
      <c r="D486" s="29" t="s">
        <v>53</v>
      </c>
      <c r="E486" s="12">
        <v>30.91</v>
      </c>
      <c r="F486" s="12">
        <v>5.0</v>
      </c>
    </row>
    <row r="487" hidden="1">
      <c r="A487" s="52">
        <v>46113.0</v>
      </c>
      <c r="B487" s="56" t="s">
        <v>995</v>
      </c>
      <c r="C487" s="29" t="s">
        <v>9</v>
      </c>
      <c r="D487" s="29" t="s">
        <v>53</v>
      </c>
      <c r="E487" s="12">
        <v>31.91</v>
      </c>
      <c r="F487" s="12">
        <v>2.0</v>
      </c>
    </row>
    <row r="488" hidden="1">
      <c r="A488" s="52">
        <v>46113.0</v>
      </c>
      <c r="B488" s="56" t="s">
        <v>996</v>
      </c>
      <c r="C488" s="29" t="s">
        <v>9</v>
      </c>
      <c r="D488" s="29" t="s">
        <v>53</v>
      </c>
      <c r="E488" s="12">
        <v>32.91</v>
      </c>
      <c r="F488" s="12">
        <v>5.0</v>
      </c>
    </row>
    <row r="489" hidden="1">
      <c r="A489" s="52">
        <v>46113.0</v>
      </c>
      <c r="B489" s="56" t="s">
        <v>998</v>
      </c>
      <c r="C489" s="29" t="s">
        <v>9</v>
      </c>
      <c r="D489" s="29" t="s">
        <v>53</v>
      </c>
      <c r="E489" s="12">
        <v>29.91</v>
      </c>
      <c r="F489" s="4"/>
    </row>
    <row r="490" hidden="1">
      <c r="A490" s="52">
        <v>46113.0</v>
      </c>
      <c r="B490" s="55" t="s">
        <v>1000</v>
      </c>
      <c r="C490" s="29" t="s">
        <v>9</v>
      </c>
      <c r="D490" s="29" t="s">
        <v>53</v>
      </c>
      <c r="E490" s="12">
        <v>45.91</v>
      </c>
      <c r="F490" s="12">
        <v>4.0</v>
      </c>
    </row>
    <row r="491" hidden="1">
      <c r="A491" s="52">
        <v>46113.0</v>
      </c>
      <c r="B491" s="56" t="s">
        <v>1003</v>
      </c>
      <c r="C491" s="29" t="s">
        <v>9</v>
      </c>
      <c r="D491" s="29" t="s">
        <v>53</v>
      </c>
      <c r="E491" s="12">
        <v>198.91</v>
      </c>
      <c r="F491" s="4"/>
    </row>
    <row r="492" hidden="1">
      <c r="A492" s="52">
        <v>46113.0</v>
      </c>
      <c r="B492" s="56" t="s">
        <v>1005</v>
      </c>
      <c r="C492" s="29" t="s">
        <v>9</v>
      </c>
      <c r="D492" s="29" t="s">
        <v>53</v>
      </c>
      <c r="E492" s="12">
        <v>98.91</v>
      </c>
      <c r="F492" s="4"/>
    </row>
    <row r="493" hidden="1">
      <c r="A493" s="52">
        <v>46113.0</v>
      </c>
      <c r="B493" s="56" t="s">
        <v>1007</v>
      </c>
      <c r="C493" s="29" t="s">
        <v>9</v>
      </c>
      <c r="D493" s="29" t="s">
        <v>53</v>
      </c>
      <c r="E493" s="12">
        <v>89.91</v>
      </c>
      <c r="F493" s="4"/>
    </row>
    <row r="494" hidden="1">
      <c r="A494" s="52">
        <v>46113.0</v>
      </c>
      <c r="B494" s="56" t="s">
        <v>985</v>
      </c>
      <c r="C494" s="29" t="s">
        <v>9</v>
      </c>
      <c r="D494" s="29" t="s">
        <v>53</v>
      </c>
      <c r="E494" s="12">
        <v>35.91</v>
      </c>
      <c r="F494" s="4"/>
    </row>
    <row r="495" hidden="1">
      <c r="A495" s="52">
        <v>46113.0</v>
      </c>
      <c r="B495" s="56" t="s">
        <v>1010</v>
      </c>
      <c r="C495" s="29" t="s">
        <v>9</v>
      </c>
      <c r="D495" s="29" t="s">
        <v>53</v>
      </c>
      <c r="E495" s="12">
        <v>37.91</v>
      </c>
      <c r="F495" s="12">
        <v>5.0</v>
      </c>
    </row>
    <row r="496" hidden="1">
      <c r="A496" s="52">
        <v>46113.0</v>
      </c>
      <c r="B496" s="56" t="s">
        <v>1012</v>
      </c>
      <c r="C496" s="29" t="s">
        <v>9</v>
      </c>
      <c r="D496" s="29" t="s">
        <v>53</v>
      </c>
      <c r="E496" s="12">
        <v>21.91</v>
      </c>
      <c r="F496" s="12">
        <v>3.0</v>
      </c>
    </row>
    <row r="497" hidden="1">
      <c r="A497" s="52">
        <v>46113.0</v>
      </c>
      <c r="B497" s="56" t="s">
        <v>1015</v>
      </c>
      <c r="C497" s="29" t="s">
        <v>9</v>
      </c>
      <c r="D497" s="29" t="s">
        <v>53</v>
      </c>
      <c r="E497" s="12">
        <v>21.91</v>
      </c>
      <c r="F497" s="4"/>
    </row>
    <row r="498" hidden="1">
      <c r="A498" s="52">
        <v>46113.0</v>
      </c>
      <c r="B498" s="56" t="s">
        <v>1017</v>
      </c>
      <c r="C498" s="29" t="s">
        <v>9</v>
      </c>
      <c r="D498" s="29" t="s">
        <v>53</v>
      </c>
      <c r="E498" s="12">
        <v>29.91</v>
      </c>
      <c r="F498" s="4"/>
    </row>
    <row r="499" hidden="1">
      <c r="A499" s="52">
        <v>46113.0</v>
      </c>
      <c r="B499" s="56" t="s">
        <v>1019</v>
      </c>
      <c r="C499" s="29" t="s">
        <v>9</v>
      </c>
      <c r="D499" s="29" t="s">
        <v>53</v>
      </c>
      <c r="E499" s="12">
        <v>45.91</v>
      </c>
      <c r="F499" s="4"/>
    </row>
    <row r="500" hidden="1">
      <c r="A500" s="52">
        <v>46113.0</v>
      </c>
      <c r="B500" s="56" t="s">
        <v>1021</v>
      </c>
      <c r="C500" s="29" t="s">
        <v>9</v>
      </c>
      <c r="D500" s="29" t="s">
        <v>53</v>
      </c>
      <c r="E500" s="12">
        <v>65.91</v>
      </c>
      <c r="F500" s="4"/>
    </row>
    <row r="501" hidden="1">
      <c r="A501" s="52">
        <v>46113.0</v>
      </c>
      <c r="B501" s="56" t="s">
        <v>1022</v>
      </c>
      <c r="C501" s="29" t="s">
        <v>9</v>
      </c>
      <c r="D501" s="29" t="s">
        <v>53</v>
      </c>
      <c r="E501" s="12">
        <v>75.91</v>
      </c>
      <c r="F501" s="4"/>
    </row>
    <row r="502" hidden="1">
      <c r="A502" s="52">
        <v>46113.0</v>
      </c>
      <c r="B502" s="56" t="s">
        <v>1024</v>
      </c>
      <c r="C502" s="29" t="s">
        <v>9</v>
      </c>
      <c r="D502" s="29" t="s">
        <v>53</v>
      </c>
      <c r="E502" s="12">
        <v>24.91</v>
      </c>
      <c r="F502" s="4"/>
    </row>
    <row r="503" hidden="1">
      <c r="A503" s="52">
        <v>46113.0</v>
      </c>
      <c r="B503" s="56" t="s">
        <v>1026</v>
      </c>
      <c r="C503" s="29" t="s">
        <v>9</v>
      </c>
      <c r="D503" s="29" t="s">
        <v>53</v>
      </c>
      <c r="E503" s="12">
        <v>20.91</v>
      </c>
      <c r="F503" s="4"/>
    </row>
    <row r="504" hidden="1">
      <c r="A504" s="21"/>
      <c r="B504" s="21"/>
      <c r="C504" s="23"/>
      <c r="D504" s="23"/>
      <c r="E504" s="24"/>
      <c r="F504" s="24"/>
    </row>
    <row r="505" hidden="1">
      <c r="A505" s="52">
        <v>46114.0</v>
      </c>
      <c r="B505" s="55" t="s">
        <v>873</v>
      </c>
      <c r="C505" s="55" t="s">
        <v>8</v>
      </c>
      <c r="D505" s="55" t="s">
        <v>12</v>
      </c>
      <c r="E505" s="14">
        <v>90.97</v>
      </c>
      <c r="F505" s="4"/>
    </row>
    <row r="506" hidden="1">
      <c r="A506" s="52">
        <v>46114.0</v>
      </c>
      <c r="B506" s="55" t="s">
        <v>818</v>
      </c>
      <c r="C506" s="55" t="s">
        <v>8</v>
      </c>
      <c r="D506" s="55" t="s">
        <v>12</v>
      </c>
      <c r="E506" s="14">
        <v>52.97</v>
      </c>
      <c r="F506" s="12">
        <v>9.0</v>
      </c>
    </row>
    <row r="507" hidden="1">
      <c r="A507" s="52">
        <v>46114.0</v>
      </c>
      <c r="B507" s="55" t="s">
        <v>816</v>
      </c>
      <c r="C507" s="55" t="s">
        <v>8</v>
      </c>
      <c r="D507" s="55" t="s">
        <v>12</v>
      </c>
      <c r="E507" s="14">
        <v>52.97</v>
      </c>
      <c r="F507" s="12">
        <v>4.0</v>
      </c>
    </row>
    <row r="508" hidden="1">
      <c r="A508" s="52">
        <v>46114.0</v>
      </c>
      <c r="B508" s="55" t="s">
        <v>1031</v>
      </c>
      <c r="C508" s="55" t="s">
        <v>8</v>
      </c>
      <c r="D508" s="55" t="s">
        <v>12</v>
      </c>
      <c r="E508" s="14">
        <v>32.97</v>
      </c>
      <c r="F508" s="4"/>
    </row>
    <row r="509" hidden="1">
      <c r="A509" s="52">
        <v>46114.0</v>
      </c>
      <c r="B509" s="55" t="s">
        <v>1034</v>
      </c>
      <c r="C509" s="55" t="s">
        <v>8</v>
      </c>
      <c r="D509" s="55" t="s">
        <v>12</v>
      </c>
      <c r="E509" s="14">
        <v>29.97</v>
      </c>
      <c r="F509" s="4"/>
    </row>
    <row r="510" hidden="1">
      <c r="A510" s="52">
        <v>46114.0</v>
      </c>
      <c r="B510" s="55" t="s">
        <v>882</v>
      </c>
      <c r="C510" s="55" t="s">
        <v>8</v>
      </c>
      <c r="D510" s="55" t="s">
        <v>12</v>
      </c>
      <c r="E510" s="14">
        <v>29.97</v>
      </c>
      <c r="F510" s="4"/>
    </row>
    <row r="511" hidden="1">
      <c r="A511" s="52">
        <v>46114.0</v>
      </c>
      <c r="B511" s="55" t="s">
        <v>1037</v>
      </c>
      <c r="C511" s="55" t="s">
        <v>8</v>
      </c>
      <c r="D511" s="55" t="s">
        <v>12</v>
      </c>
      <c r="E511" s="14">
        <v>52.97</v>
      </c>
      <c r="F511" s="4"/>
    </row>
    <row r="512" hidden="1">
      <c r="A512" s="52">
        <v>46114.0</v>
      </c>
      <c r="B512" s="55" t="s">
        <v>1039</v>
      </c>
      <c r="C512" s="55" t="s">
        <v>8</v>
      </c>
      <c r="D512" s="55" t="s">
        <v>12</v>
      </c>
      <c r="E512" s="14">
        <v>70.97</v>
      </c>
      <c r="F512" s="4"/>
    </row>
    <row r="513" hidden="1">
      <c r="A513" s="52">
        <v>46114.0</v>
      </c>
      <c r="B513" s="55" t="s">
        <v>49</v>
      </c>
      <c r="C513" s="55" t="s">
        <v>8</v>
      </c>
      <c r="D513" s="55" t="s">
        <v>12</v>
      </c>
      <c r="E513" s="14">
        <v>95.97</v>
      </c>
      <c r="F513" s="12">
        <v>5.0</v>
      </c>
    </row>
    <row r="514" hidden="1">
      <c r="A514" s="52">
        <v>46114.0</v>
      </c>
      <c r="B514" s="55" t="s">
        <v>864</v>
      </c>
      <c r="C514" s="55" t="s">
        <v>8</v>
      </c>
      <c r="D514" s="55" t="s">
        <v>12</v>
      </c>
      <c r="E514" s="14">
        <v>45.97</v>
      </c>
      <c r="F514" s="4"/>
    </row>
    <row r="515" hidden="1">
      <c r="A515" s="52">
        <v>46114.0</v>
      </c>
      <c r="B515" s="55" t="s">
        <v>1041</v>
      </c>
      <c r="C515" s="55" t="s">
        <v>8</v>
      </c>
      <c r="D515" s="55" t="s">
        <v>12</v>
      </c>
      <c r="E515" s="14">
        <v>49.97</v>
      </c>
      <c r="F515" s="4"/>
    </row>
    <row r="516" hidden="1">
      <c r="A516" s="52">
        <v>46114.0</v>
      </c>
      <c r="B516" s="55" t="s">
        <v>1043</v>
      </c>
      <c r="C516" s="55" t="s">
        <v>8</v>
      </c>
      <c r="D516" s="55" t="s">
        <v>12</v>
      </c>
      <c r="E516" s="14">
        <v>89.97</v>
      </c>
      <c r="F516" s="4"/>
    </row>
    <row r="517" hidden="1">
      <c r="A517" s="21"/>
      <c r="B517" s="21"/>
      <c r="C517" s="23"/>
      <c r="D517" s="23"/>
      <c r="E517" s="24"/>
      <c r="F517" s="24"/>
    </row>
    <row r="518" hidden="1">
      <c r="A518" s="7">
        <v>46115.0</v>
      </c>
      <c r="B518" s="45">
        <v>1.157559E7</v>
      </c>
      <c r="C518" s="9" t="s">
        <v>8</v>
      </c>
      <c r="D518" s="9" t="s">
        <v>11</v>
      </c>
      <c r="E518" s="34">
        <v>65.93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idden="1">
      <c r="A519" s="7">
        <v>46115.0</v>
      </c>
      <c r="B519" s="45">
        <v>6034780.0</v>
      </c>
      <c r="C519" s="9" t="s">
        <v>8</v>
      </c>
      <c r="D519" s="9" t="s">
        <v>11</v>
      </c>
      <c r="E519" s="34">
        <v>33.93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idden="1">
      <c r="A520" s="7">
        <v>46115.0</v>
      </c>
      <c r="B520" s="45">
        <v>6918581.0</v>
      </c>
      <c r="C520" s="9" t="s">
        <v>8</v>
      </c>
      <c r="D520" s="9" t="s">
        <v>11</v>
      </c>
      <c r="E520" s="34">
        <v>20.93</v>
      </c>
      <c r="F520" s="122">
        <v>2.0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idden="1">
      <c r="A521" s="7">
        <v>46115.0</v>
      </c>
      <c r="B521" s="45">
        <v>6060080.0</v>
      </c>
      <c r="C521" s="9" t="s">
        <v>8</v>
      </c>
      <c r="D521" s="9" t="s">
        <v>11</v>
      </c>
      <c r="E521" s="34">
        <v>22.93</v>
      </c>
      <c r="F521" s="122">
        <v>2.0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idden="1">
      <c r="A522" s="7">
        <v>46115.0</v>
      </c>
      <c r="B522" s="45">
        <v>1.1002015012009E13</v>
      </c>
      <c r="C522" s="9" t="s">
        <v>8</v>
      </c>
      <c r="D522" s="9" t="s">
        <v>11</v>
      </c>
      <c r="E522" s="34">
        <v>60.93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idden="1">
      <c r="A523" s="7">
        <v>46115.0</v>
      </c>
      <c r="B523" s="45">
        <v>9160721.0</v>
      </c>
      <c r="C523" s="9" t="s">
        <v>8</v>
      </c>
      <c r="D523" s="9" t="s">
        <v>11</v>
      </c>
      <c r="E523" s="34">
        <v>45.93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idden="1">
      <c r="A524" s="7">
        <v>46115.0</v>
      </c>
      <c r="B524" s="45">
        <v>1.1635932E7</v>
      </c>
      <c r="C524" s="9" t="s">
        <v>8</v>
      </c>
      <c r="D524" s="9" t="s">
        <v>11</v>
      </c>
      <c r="E524" s="34">
        <v>330.93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idden="1">
      <c r="A525" s="7">
        <v>46115.0</v>
      </c>
      <c r="B525" s="45">
        <v>1.1017961E7</v>
      </c>
      <c r="C525" s="9" t="s">
        <v>8</v>
      </c>
      <c r="D525" s="9" t="s">
        <v>11</v>
      </c>
      <c r="E525" s="34">
        <v>90.91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idden="1">
      <c r="A526" s="7">
        <v>46115.0</v>
      </c>
      <c r="B526" s="45">
        <v>1.1001011001649E13</v>
      </c>
      <c r="C526" s="9" t="s">
        <v>8</v>
      </c>
      <c r="D526" s="9" t="s">
        <v>11</v>
      </c>
      <c r="E526" s="34">
        <v>45.93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idden="1">
      <c r="A527" s="7">
        <v>46115.0</v>
      </c>
      <c r="B527" s="45">
        <v>1.1002012025802E13</v>
      </c>
      <c r="C527" s="9" t="s">
        <v>8</v>
      </c>
      <c r="D527" s="9" t="s">
        <v>11</v>
      </c>
      <c r="E527" s="34">
        <v>140.93</v>
      </c>
      <c r="F527" s="122">
        <v>3.0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idden="1">
      <c r="A528" s="7">
        <v>46115.0</v>
      </c>
      <c r="B528" s="45">
        <v>1.2131000096331E13</v>
      </c>
      <c r="C528" s="9" t="s">
        <v>8</v>
      </c>
      <c r="D528" s="9" t="s">
        <v>11</v>
      </c>
      <c r="E528" s="34">
        <v>70.93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idden="1">
      <c r="A529" s="7">
        <v>46115.0</v>
      </c>
      <c r="B529" s="45" t="s">
        <v>1064</v>
      </c>
      <c r="C529" s="9" t="s">
        <v>8</v>
      </c>
      <c r="D529" s="9" t="s">
        <v>11</v>
      </c>
      <c r="E529" s="34">
        <v>60.93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idden="1">
      <c r="A530" s="7">
        <v>46115.0</v>
      </c>
      <c r="B530" s="45">
        <v>1.2131000016674E13</v>
      </c>
      <c r="C530" s="9" t="s">
        <v>8</v>
      </c>
      <c r="D530" s="9" t="s">
        <v>11</v>
      </c>
      <c r="E530" s="34">
        <v>49.93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idden="1">
      <c r="A531" s="7">
        <v>46115.0</v>
      </c>
      <c r="B531" s="45">
        <v>1.2638100003002E13</v>
      </c>
      <c r="C531" s="9" t="s">
        <v>8</v>
      </c>
      <c r="D531" s="9" t="s">
        <v>11</v>
      </c>
      <c r="E531" s="34">
        <v>105.93</v>
      </c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idden="1">
      <c r="A532" s="7">
        <v>46115.0</v>
      </c>
      <c r="B532" s="45">
        <v>1.7138200003651E13</v>
      </c>
      <c r="C532" s="9" t="s">
        <v>8</v>
      </c>
      <c r="D532" s="9" t="s">
        <v>11</v>
      </c>
      <c r="E532" s="34">
        <v>70.93</v>
      </c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idden="1">
      <c r="A533" s="7">
        <v>46115.0</v>
      </c>
      <c r="B533" s="45">
        <v>1.7438200003246E13</v>
      </c>
      <c r="C533" s="9" t="s">
        <v>8</v>
      </c>
      <c r="D533" s="9" t="s">
        <v>11</v>
      </c>
      <c r="E533" s="34">
        <v>100.93</v>
      </c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idden="1">
      <c r="A534" s="7">
        <v>46115.0</v>
      </c>
      <c r="B534" s="45">
        <v>1.2938000003642E13</v>
      </c>
      <c r="C534" s="9" t="s">
        <v>8</v>
      </c>
      <c r="D534" s="9" t="s">
        <v>11</v>
      </c>
      <c r="E534" s="34">
        <v>20.93</v>
      </c>
      <c r="F534" s="122">
        <v>4.0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idden="1">
      <c r="A535" s="7">
        <v>46115.0</v>
      </c>
      <c r="B535" s="45" t="s">
        <v>1071</v>
      </c>
      <c r="C535" s="9" t="s">
        <v>8</v>
      </c>
      <c r="D535" s="9" t="s">
        <v>11</v>
      </c>
      <c r="E535" s="34">
        <v>170.93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idden="1">
      <c r="A536" s="7">
        <v>46115.0</v>
      </c>
      <c r="B536" s="45" t="s">
        <v>1073</v>
      </c>
      <c r="C536" s="9" t="s">
        <v>8</v>
      </c>
      <c r="D536" s="9" t="s">
        <v>11</v>
      </c>
      <c r="E536" s="34">
        <v>169.93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idden="1">
      <c r="A537" s="7">
        <v>46115.0</v>
      </c>
      <c r="B537" s="45" t="s">
        <v>1076</v>
      </c>
      <c r="C537" s="9" t="s">
        <v>8</v>
      </c>
      <c r="D537" s="9" t="s">
        <v>11</v>
      </c>
      <c r="E537" s="34">
        <v>88.93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idden="1">
      <c r="A538" s="7">
        <v>46115.0</v>
      </c>
      <c r="B538" s="45" t="s">
        <v>1078</v>
      </c>
      <c r="C538" s="9" t="s">
        <v>8</v>
      </c>
      <c r="D538" s="9" t="s">
        <v>11</v>
      </c>
      <c r="E538" s="34">
        <v>80.93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idden="1">
      <c r="A539" s="7">
        <v>46115.0</v>
      </c>
      <c r="B539" s="45" t="s">
        <v>464</v>
      </c>
      <c r="C539" s="9" t="s">
        <v>8</v>
      </c>
      <c r="D539" s="9" t="s">
        <v>11</v>
      </c>
      <c r="E539" s="34">
        <v>14.93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idden="1">
      <c r="A540" s="21"/>
      <c r="B540" s="21"/>
      <c r="C540" s="23"/>
      <c r="D540" s="23"/>
      <c r="E540" s="24"/>
      <c r="F540" s="24"/>
    </row>
    <row r="541" hidden="1">
      <c r="A541" s="7">
        <v>46118.0</v>
      </c>
      <c r="B541" s="45">
        <v>5.30446888E9</v>
      </c>
      <c r="C541" s="9" t="s">
        <v>9</v>
      </c>
      <c r="D541" s="9" t="s">
        <v>11</v>
      </c>
      <c r="E541" s="34">
        <v>130.93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idden="1">
      <c r="A542" s="7">
        <v>46118.0</v>
      </c>
      <c r="B542" s="45">
        <v>5.304534824E9</v>
      </c>
      <c r="C542" s="9" t="s">
        <v>9</v>
      </c>
      <c r="D542" s="9" t="s">
        <v>11</v>
      </c>
      <c r="E542" s="34">
        <v>53.93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idden="1">
      <c r="A543" s="7">
        <v>46118.0</v>
      </c>
      <c r="B543" s="45">
        <v>3.16419145E8</v>
      </c>
      <c r="C543" s="9" t="s">
        <v>9</v>
      </c>
      <c r="D543" s="9" t="s">
        <v>11</v>
      </c>
      <c r="E543" s="34">
        <v>20.93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idden="1">
      <c r="A544" s="7">
        <v>46118.0</v>
      </c>
      <c r="B544" s="45">
        <v>5.304535528E9</v>
      </c>
      <c r="C544" s="9" t="s">
        <v>9</v>
      </c>
      <c r="D544" s="9" t="s">
        <v>1087</v>
      </c>
      <c r="E544" s="34">
        <v>95.95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idden="1">
      <c r="A545" s="7">
        <v>46118.0</v>
      </c>
      <c r="B545" s="45">
        <v>5.304535093E9</v>
      </c>
      <c r="C545" s="9" t="s">
        <v>9</v>
      </c>
      <c r="D545" s="9" t="s">
        <v>1087</v>
      </c>
      <c r="E545" s="34">
        <v>59.95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idden="1">
      <c r="A546" s="7">
        <v>46118.0</v>
      </c>
      <c r="B546" s="45">
        <v>5.30453657E9</v>
      </c>
      <c r="C546" s="9" t="s">
        <v>9</v>
      </c>
      <c r="D546" s="9" t="s">
        <v>1087</v>
      </c>
      <c r="E546" s="34">
        <v>49.95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idden="1">
      <c r="A547" s="7">
        <v>46118.0</v>
      </c>
      <c r="B547" s="45">
        <v>5.304522317E9</v>
      </c>
      <c r="C547" s="9" t="s">
        <v>9</v>
      </c>
      <c r="D547" s="9" t="s">
        <v>1087</v>
      </c>
      <c r="E547" s="34">
        <v>10.95</v>
      </c>
      <c r="F547" s="122">
        <v>2.0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idden="1">
      <c r="A548" s="7">
        <v>46118.0</v>
      </c>
      <c r="B548" s="45">
        <v>5.304525994E9</v>
      </c>
      <c r="C548" s="9" t="s">
        <v>8</v>
      </c>
      <c r="D548" s="9" t="s">
        <v>1087</v>
      </c>
      <c r="E548" s="34">
        <v>34.95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idden="1">
      <c r="A549" s="7">
        <v>46118.0</v>
      </c>
      <c r="B549" s="45">
        <v>5.30452826E9</v>
      </c>
      <c r="C549" s="9" t="s">
        <v>9</v>
      </c>
      <c r="D549" s="9" t="s">
        <v>1087</v>
      </c>
      <c r="E549" s="34">
        <v>20.95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idden="1">
      <c r="A550" s="7">
        <v>46118.0</v>
      </c>
      <c r="B550" s="45">
        <v>5.304505436E9</v>
      </c>
      <c r="C550" s="9" t="s">
        <v>9</v>
      </c>
      <c r="D550" s="9" t="s">
        <v>1087</v>
      </c>
      <c r="E550" s="34">
        <v>20.95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idden="1">
      <c r="A551" s="7">
        <v>46118.0</v>
      </c>
      <c r="B551" s="45">
        <v>5.304522267E9</v>
      </c>
      <c r="C551" s="9" t="s">
        <v>9</v>
      </c>
      <c r="D551" s="9" t="s">
        <v>1087</v>
      </c>
      <c r="E551" s="34">
        <v>33.95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idden="1">
      <c r="A552" s="7">
        <v>46118.0</v>
      </c>
      <c r="B552" s="45">
        <v>5.304522966E9</v>
      </c>
      <c r="C552" s="9" t="s">
        <v>9</v>
      </c>
      <c r="D552" s="9" t="s">
        <v>1087</v>
      </c>
      <c r="E552" s="34">
        <v>29.95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idden="1">
      <c r="A553" s="7">
        <v>46118.0</v>
      </c>
      <c r="B553" s="45">
        <v>5.304535179E9</v>
      </c>
      <c r="C553" s="9" t="s">
        <v>9</v>
      </c>
      <c r="D553" s="9" t="s">
        <v>1087</v>
      </c>
      <c r="E553" s="34">
        <v>40.95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idden="1">
      <c r="A554" s="7">
        <v>46118.0</v>
      </c>
      <c r="B554" s="45">
        <v>3.16203301E8</v>
      </c>
      <c r="C554" s="9" t="s">
        <v>9</v>
      </c>
      <c r="D554" s="9" t="s">
        <v>1087</v>
      </c>
      <c r="E554" s="34">
        <v>33.95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idden="1">
      <c r="A555" s="7">
        <v>46118.0</v>
      </c>
      <c r="B555" s="45">
        <v>5.303918891E9</v>
      </c>
      <c r="C555" s="9" t="s">
        <v>9</v>
      </c>
      <c r="D555" s="9" t="s">
        <v>1087</v>
      </c>
      <c r="E555" s="34">
        <v>75.95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idden="1">
      <c r="A556" s="21"/>
      <c r="B556" s="21"/>
      <c r="C556" s="23"/>
      <c r="D556" s="23"/>
      <c r="E556" s="24"/>
      <c r="F556" s="24"/>
    </row>
    <row r="557" hidden="1">
      <c r="A557" s="25">
        <v>46119.0</v>
      </c>
      <c r="B557" s="55">
        <v>5.304519906E9</v>
      </c>
      <c r="C557" s="29" t="s">
        <v>8</v>
      </c>
      <c r="D557" s="29" t="s">
        <v>1087</v>
      </c>
      <c r="E557" s="14">
        <v>41.95</v>
      </c>
      <c r="F557" s="4"/>
    </row>
    <row r="558" hidden="1">
      <c r="A558" s="7">
        <v>46118.0</v>
      </c>
      <c r="B558" s="45">
        <v>5.304524756E9</v>
      </c>
      <c r="C558" s="9" t="s">
        <v>9</v>
      </c>
      <c r="D558" s="9" t="s">
        <v>1087</v>
      </c>
      <c r="E558" s="34">
        <v>68.95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idden="1">
      <c r="A559" s="7">
        <v>46118.0</v>
      </c>
      <c r="B559" s="45">
        <v>5.304526193E9</v>
      </c>
      <c r="C559" s="9" t="s">
        <v>9</v>
      </c>
      <c r="D559" s="9" t="s">
        <v>1087</v>
      </c>
      <c r="E559" s="34">
        <v>220.95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idden="1">
      <c r="A560" s="7">
        <v>46118.0</v>
      </c>
      <c r="B560" s="45">
        <v>5.304529285E9</v>
      </c>
      <c r="C560" s="9" t="s">
        <v>9</v>
      </c>
      <c r="D560" s="9" t="s">
        <v>1087</v>
      </c>
      <c r="E560" s="34">
        <v>52.95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idden="1">
      <c r="A561" s="7">
        <v>46118.0</v>
      </c>
      <c r="B561" s="45">
        <v>5.303918775E9</v>
      </c>
      <c r="C561" s="9" t="s">
        <v>9</v>
      </c>
      <c r="D561" s="9" t="s">
        <v>1087</v>
      </c>
      <c r="E561" s="34">
        <v>14.95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idden="1">
      <c r="A562" s="7">
        <v>46118.0</v>
      </c>
      <c r="B562" s="45">
        <v>5.304535054E9</v>
      </c>
      <c r="C562" s="9" t="s">
        <v>9</v>
      </c>
      <c r="D562" s="9" t="s">
        <v>1087</v>
      </c>
      <c r="E562" s="34">
        <v>118.95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idden="1">
      <c r="A563" s="7">
        <v>46118.0</v>
      </c>
      <c r="B563" s="45">
        <v>5.304536402E9</v>
      </c>
      <c r="C563" s="9" t="s">
        <v>9</v>
      </c>
      <c r="D563" s="9" t="s">
        <v>1087</v>
      </c>
      <c r="E563" s="34">
        <v>75.95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idden="1">
      <c r="A564" s="7">
        <v>46118.0</v>
      </c>
      <c r="B564" s="45">
        <v>5.304531506E9</v>
      </c>
      <c r="C564" s="9" t="s">
        <v>9</v>
      </c>
      <c r="D564" s="9" t="s">
        <v>1087</v>
      </c>
      <c r="E564" s="34">
        <v>68.95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idden="1">
      <c r="A565" s="7">
        <v>46118.0</v>
      </c>
      <c r="B565" s="45">
        <v>5.304529571E9</v>
      </c>
      <c r="C565" s="9" t="s">
        <v>9</v>
      </c>
      <c r="D565" s="9" t="s">
        <v>1087</v>
      </c>
      <c r="E565" s="34">
        <v>25.95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idden="1">
      <c r="A566" s="7">
        <v>46118.0</v>
      </c>
      <c r="B566" s="45">
        <v>5.304532536E9</v>
      </c>
      <c r="C566" s="9" t="s">
        <v>9</v>
      </c>
      <c r="D566" s="9" t="s">
        <v>1087</v>
      </c>
      <c r="E566" s="34">
        <v>75.95</v>
      </c>
      <c r="F566" s="122">
        <v>9.0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idden="1">
      <c r="A567" s="7">
        <v>46118.0</v>
      </c>
      <c r="B567" s="45">
        <v>5.304528165E9</v>
      </c>
      <c r="C567" s="9" t="s">
        <v>9</v>
      </c>
      <c r="D567" s="9" t="s">
        <v>1087</v>
      </c>
      <c r="E567" s="34">
        <v>30.95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idden="1">
      <c r="A568" s="7">
        <v>46118.0</v>
      </c>
      <c r="B568" s="45">
        <v>5.304529531E9</v>
      </c>
      <c r="C568" s="9" t="s">
        <v>9</v>
      </c>
      <c r="D568" s="9" t="s">
        <v>1087</v>
      </c>
      <c r="E568" s="34">
        <v>30.95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idden="1">
      <c r="A569" s="7">
        <v>46118.0</v>
      </c>
      <c r="B569" s="45">
        <v>5.304528029E9</v>
      </c>
      <c r="C569" s="9" t="s">
        <v>9</v>
      </c>
      <c r="D569" s="9" t="s">
        <v>1087</v>
      </c>
      <c r="E569" s="34">
        <v>40.95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idden="1">
      <c r="A570" s="7">
        <v>46118.0</v>
      </c>
      <c r="B570" s="45">
        <v>5.304538492E9</v>
      </c>
      <c r="C570" s="9" t="s">
        <v>9</v>
      </c>
      <c r="D570" s="9" t="s">
        <v>1087</v>
      </c>
      <c r="E570" s="34">
        <v>30.95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idden="1">
      <c r="A571" s="7">
        <v>46118.0</v>
      </c>
      <c r="B571" s="45">
        <v>5.304534551E9</v>
      </c>
      <c r="C571" s="9" t="s">
        <v>9</v>
      </c>
      <c r="D571" s="9" t="s">
        <v>1087</v>
      </c>
      <c r="E571" s="34">
        <v>84.95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idden="1">
      <c r="A572" s="21"/>
      <c r="B572" s="21"/>
      <c r="C572" s="23"/>
      <c r="D572" s="23"/>
      <c r="E572" s="24"/>
      <c r="F572" s="24"/>
    </row>
    <row r="573" hidden="1">
      <c r="A573" s="52">
        <v>46120.0</v>
      </c>
      <c r="B573" s="55" t="s">
        <v>1128</v>
      </c>
      <c r="C573" s="29" t="s">
        <v>9</v>
      </c>
      <c r="D573" s="29" t="s">
        <v>11</v>
      </c>
      <c r="E573" s="14">
        <v>49.93</v>
      </c>
      <c r="F573" s="4"/>
    </row>
    <row r="574" hidden="1">
      <c r="A574" s="52">
        <v>46120.0</v>
      </c>
      <c r="B574" s="55">
        <v>5.300168328E9</v>
      </c>
      <c r="C574" s="29" t="s">
        <v>9</v>
      </c>
      <c r="D574" s="29" t="s">
        <v>1087</v>
      </c>
      <c r="E574" s="14">
        <v>75.95</v>
      </c>
      <c r="F574" s="4"/>
    </row>
    <row r="575" hidden="1">
      <c r="A575" s="52">
        <v>46120.0</v>
      </c>
      <c r="B575" s="55">
        <v>5.304528029E9</v>
      </c>
      <c r="C575" s="29" t="s">
        <v>9</v>
      </c>
      <c r="D575" s="29" t="s">
        <v>1087</v>
      </c>
      <c r="E575" s="14">
        <v>40.95</v>
      </c>
      <c r="F575" s="4"/>
    </row>
    <row r="576" hidden="1">
      <c r="A576" s="52">
        <v>46120.0</v>
      </c>
      <c r="B576" s="55">
        <v>5.55030502E8</v>
      </c>
      <c r="C576" s="29" t="s">
        <v>9</v>
      </c>
      <c r="D576" s="29" t="s">
        <v>1087</v>
      </c>
      <c r="E576" s="14">
        <v>250.95</v>
      </c>
      <c r="F576" s="4"/>
    </row>
    <row r="577" hidden="1">
      <c r="A577" s="52">
        <v>46120.0</v>
      </c>
      <c r="B577" s="55">
        <v>2.43297613E8</v>
      </c>
      <c r="C577" s="29" t="s">
        <v>9</v>
      </c>
      <c r="D577" s="29" t="s">
        <v>1087</v>
      </c>
      <c r="E577" s="14">
        <v>40.95</v>
      </c>
      <c r="F577" s="12">
        <v>2.0</v>
      </c>
    </row>
    <row r="578" hidden="1">
      <c r="A578" s="52">
        <v>46120.0</v>
      </c>
      <c r="B578" s="55">
        <v>1.345877E8</v>
      </c>
      <c r="C578" s="29" t="s">
        <v>9</v>
      </c>
      <c r="D578" s="29" t="s">
        <v>1087</v>
      </c>
      <c r="E578" s="14">
        <v>10.95</v>
      </c>
      <c r="F578" s="4"/>
    </row>
    <row r="579" hidden="1">
      <c r="A579" s="52">
        <v>46120.0</v>
      </c>
      <c r="B579" s="55">
        <v>5.304525957E9</v>
      </c>
      <c r="C579" s="29" t="s">
        <v>9</v>
      </c>
      <c r="D579" s="29" t="s">
        <v>1087</v>
      </c>
      <c r="E579" s="14">
        <v>20.95</v>
      </c>
      <c r="F579" s="12">
        <v>2.0</v>
      </c>
    </row>
    <row r="580" hidden="1">
      <c r="A580" s="52">
        <v>46120.0</v>
      </c>
      <c r="B580" s="55">
        <v>5.304532613E9</v>
      </c>
      <c r="C580" s="29" t="s">
        <v>9</v>
      </c>
      <c r="D580" s="29" t="s">
        <v>1087</v>
      </c>
      <c r="E580" s="14">
        <v>19.95</v>
      </c>
      <c r="F580" s="4"/>
    </row>
    <row r="581" hidden="1">
      <c r="A581" s="52">
        <v>46120.0</v>
      </c>
      <c r="B581" s="55">
        <v>2.41726501E8</v>
      </c>
      <c r="C581" s="29" t="s">
        <v>9</v>
      </c>
      <c r="D581" s="29" t="s">
        <v>1087</v>
      </c>
      <c r="E581" s="14">
        <v>28.95</v>
      </c>
      <c r="F581" s="4"/>
    </row>
    <row r="582" hidden="1">
      <c r="A582" s="52">
        <v>46120.0</v>
      </c>
      <c r="B582" s="55" t="s">
        <v>404</v>
      </c>
      <c r="C582" s="29" t="s">
        <v>9</v>
      </c>
      <c r="D582" s="29" t="s">
        <v>1087</v>
      </c>
      <c r="E582" s="14">
        <v>54.95</v>
      </c>
      <c r="F582" s="4"/>
    </row>
    <row r="583" hidden="1">
      <c r="A583" s="52">
        <v>46120.0</v>
      </c>
      <c r="B583" s="55">
        <v>5.304527696E9</v>
      </c>
      <c r="C583" s="29" t="s">
        <v>9</v>
      </c>
      <c r="D583" s="29" t="s">
        <v>1087</v>
      </c>
      <c r="E583" s="14">
        <v>19.95</v>
      </c>
      <c r="F583" s="12">
        <v>4.0</v>
      </c>
    </row>
    <row r="584" hidden="1">
      <c r="A584" s="52">
        <v>46120.0</v>
      </c>
      <c r="B584" s="55">
        <v>3.16442301E8</v>
      </c>
      <c r="C584" s="29" t="s">
        <v>9</v>
      </c>
      <c r="D584" s="29" t="s">
        <v>1087</v>
      </c>
      <c r="E584" s="14">
        <v>20.95</v>
      </c>
      <c r="F584" s="12">
        <v>2.0</v>
      </c>
    </row>
    <row r="585" hidden="1">
      <c r="A585" s="52">
        <v>46120.0</v>
      </c>
      <c r="B585" s="55">
        <v>5.304527031E9</v>
      </c>
      <c r="C585" s="29" t="s">
        <v>9</v>
      </c>
      <c r="D585" s="29" t="s">
        <v>1087</v>
      </c>
      <c r="E585" s="14">
        <v>99.95</v>
      </c>
      <c r="F585" s="4"/>
    </row>
    <row r="586" hidden="1">
      <c r="A586" s="52">
        <v>46120.0</v>
      </c>
      <c r="B586" s="55">
        <v>5.304519734E9</v>
      </c>
      <c r="C586" s="29" t="s">
        <v>9</v>
      </c>
      <c r="D586" s="29" t="s">
        <v>1087</v>
      </c>
      <c r="E586" s="14">
        <v>30.95</v>
      </c>
      <c r="F586" s="4"/>
    </row>
    <row r="587" hidden="1">
      <c r="A587" s="52">
        <v>46120.0</v>
      </c>
      <c r="B587" s="55">
        <v>5.303918775E9</v>
      </c>
      <c r="C587" s="29" t="s">
        <v>9</v>
      </c>
      <c r="D587" s="29" t="s">
        <v>1087</v>
      </c>
      <c r="E587" s="14">
        <v>14.95</v>
      </c>
      <c r="F587" s="12">
        <v>2.0</v>
      </c>
    </row>
    <row r="588" hidden="1">
      <c r="A588" s="21"/>
      <c r="B588" s="21"/>
      <c r="C588" s="23"/>
      <c r="D588" s="23"/>
      <c r="E588" s="24"/>
      <c r="F588" s="24"/>
    </row>
    <row r="589" hidden="1">
      <c r="A589" s="52">
        <v>46121.0</v>
      </c>
      <c r="B589" s="55">
        <v>1.2938000003641E13</v>
      </c>
      <c r="C589" s="29" t="s">
        <v>9</v>
      </c>
      <c r="D589" s="29" t="s">
        <v>1087</v>
      </c>
      <c r="E589" s="14">
        <v>20.93</v>
      </c>
      <c r="F589" s="12">
        <v>2.0</v>
      </c>
    </row>
    <row r="590" hidden="1">
      <c r="A590" s="52">
        <v>46121.0</v>
      </c>
      <c r="B590" s="55" t="s">
        <v>1134</v>
      </c>
      <c r="C590" s="29" t="s">
        <v>8</v>
      </c>
      <c r="D590" s="29" t="s">
        <v>11</v>
      </c>
      <c r="E590" s="14">
        <v>48.93</v>
      </c>
      <c r="F590" s="4"/>
    </row>
    <row r="591" hidden="1">
      <c r="A591" s="52">
        <v>46121.0</v>
      </c>
      <c r="B591" s="55">
        <v>5.304519752E9</v>
      </c>
      <c r="C591" s="29" t="s">
        <v>9</v>
      </c>
      <c r="D591" s="29" t="s">
        <v>1087</v>
      </c>
      <c r="E591" s="14">
        <v>15.95</v>
      </c>
      <c r="F591" s="4"/>
    </row>
    <row r="592" hidden="1">
      <c r="A592" s="52">
        <v>46121.0</v>
      </c>
      <c r="B592" s="55">
        <v>5.303918775E9</v>
      </c>
      <c r="C592" s="29" t="s">
        <v>9</v>
      </c>
      <c r="D592" s="29" t="s">
        <v>1087</v>
      </c>
      <c r="E592" s="14">
        <v>14.95</v>
      </c>
      <c r="F592" s="12">
        <v>5.0</v>
      </c>
    </row>
    <row r="593" hidden="1">
      <c r="A593" s="52">
        <v>46121.0</v>
      </c>
      <c r="B593" s="55">
        <v>2.18976829E8</v>
      </c>
      <c r="C593" s="29" t="s">
        <v>9</v>
      </c>
      <c r="D593" s="29" t="s">
        <v>1087</v>
      </c>
      <c r="E593" s="14">
        <v>22.95</v>
      </c>
      <c r="F593" s="4"/>
    </row>
    <row r="594" hidden="1">
      <c r="A594" s="52">
        <v>46121.0</v>
      </c>
      <c r="B594" s="55">
        <v>2.41518501E8</v>
      </c>
      <c r="C594" s="29" t="s">
        <v>9</v>
      </c>
      <c r="D594" s="29" t="s">
        <v>1087</v>
      </c>
      <c r="E594" s="14">
        <v>40.95</v>
      </c>
      <c r="F594" s="4"/>
    </row>
    <row r="595" hidden="1">
      <c r="A595" s="52">
        <v>46121.0</v>
      </c>
      <c r="B595" s="55">
        <v>3.164083E8</v>
      </c>
      <c r="C595" s="29" t="s">
        <v>9</v>
      </c>
      <c r="D595" s="29" t="s">
        <v>1087</v>
      </c>
      <c r="E595" s="14">
        <v>38.95</v>
      </c>
      <c r="F595" s="4"/>
    </row>
    <row r="596" hidden="1">
      <c r="A596" s="52">
        <v>46121.0</v>
      </c>
      <c r="B596" s="55">
        <v>1.37412601E8</v>
      </c>
      <c r="C596" s="29" t="s">
        <v>9</v>
      </c>
      <c r="D596" s="29" t="s">
        <v>1087</v>
      </c>
      <c r="E596" s="14">
        <v>32.95</v>
      </c>
      <c r="F596" s="12">
        <v>2.0</v>
      </c>
    </row>
    <row r="597" hidden="1">
      <c r="A597" s="52">
        <v>46121.0</v>
      </c>
      <c r="B597" s="55">
        <v>2.41760403E8</v>
      </c>
      <c r="C597" s="29" t="s">
        <v>9</v>
      </c>
      <c r="D597" s="29" t="s">
        <v>1087</v>
      </c>
      <c r="E597" s="14">
        <v>15.95</v>
      </c>
      <c r="F597" s="4"/>
    </row>
    <row r="598" hidden="1">
      <c r="A598" s="52">
        <v>46121.0</v>
      </c>
      <c r="B598" s="55">
        <v>1.54827601E8</v>
      </c>
      <c r="C598" s="29" t="s">
        <v>9</v>
      </c>
      <c r="D598" s="29" t="s">
        <v>1087</v>
      </c>
      <c r="E598" s="14">
        <v>18.95</v>
      </c>
      <c r="F598" s="4"/>
    </row>
    <row r="599" hidden="1">
      <c r="A599" s="52">
        <v>46121.0</v>
      </c>
      <c r="B599" s="55">
        <v>5.30452233E9</v>
      </c>
      <c r="C599" s="29" t="s">
        <v>9</v>
      </c>
      <c r="D599" s="29" t="s">
        <v>1087</v>
      </c>
      <c r="E599" s="14">
        <v>20.95</v>
      </c>
      <c r="F599" s="4"/>
    </row>
    <row r="600" hidden="1">
      <c r="A600" s="52">
        <v>46121.0</v>
      </c>
      <c r="B600" s="55">
        <v>5.30452882E9</v>
      </c>
      <c r="C600" s="29" t="s">
        <v>9</v>
      </c>
      <c r="D600" s="29" t="s">
        <v>1087</v>
      </c>
      <c r="E600" s="14">
        <v>9.95</v>
      </c>
      <c r="F600" s="4"/>
    </row>
    <row r="601" hidden="1">
      <c r="A601" s="52">
        <v>46121.0</v>
      </c>
      <c r="B601" s="55">
        <v>2.18976439E8</v>
      </c>
      <c r="C601" s="29" t="s">
        <v>9</v>
      </c>
      <c r="D601" s="29" t="s">
        <v>1087</v>
      </c>
      <c r="E601" s="14">
        <v>14.95</v>
      </c>
      <c r="F601" s="4"/>
    </row>
    <row r="602" hidden="1">
      <c r="A602" s="52">
        <v>46121.0</v>
      </c>
      <c r="B602" s="55">
        <v>2.18976443E8</v>
      </c>
      <c r="C602" s="29" t="s">
        <v>9</v>
      </c>
      <c r="D602" s="29" t="s">
        <v>1087</v>
      </c>
      <c r="E602" s="14">
        <v>14.95</v>
      </c>
      <c r="F602" s="12">
        <v>2.0</v>
      </c>
    </row>
    <row r="603" hidden="1">
      <c r="A603" s="52">
        <v>46121.0</v>
      </c>
      <c r="B603" s="55">
        <v>5.30452233E9</v>
      </c>
      <c r="C603" s="29" t="s">
        <v>9</v>
      </c>
      <c r="D603" s="29" t="s">
        <v>1087</v>
      </c>
      <c r="E603" s="14">
        <v>20.95</v>
      </c>
      <c r="F603" s="12">
        <v>2.0</v>
      </c>
    </row>
    <row r="604" hidden="1">
      <c r="A604" s="52">
        <v>46121.0</v>
      </c>
      <c r="B604" s="55">
        <v>2.42220132E8</v>
      </c>
      <c r="C604" s="29" t="s">
        <v>9</v>
      </c>
      <c r="D604" s="29" t="s">
        <v>1087</v>
      </c>
      <c r="E604" s="14">
        <v>19.95</v>
      </c>
      <c r="F604" s="4"/>
    </row>
    <row r="605" hidden="1">
      <c r="A605" s="52">
        <v>46121.0</v>
      </c>
      <c r="B605" s="55">
        <v>2.42220131E8</v>
      </c>
      <c r="C605" s="29" t="s">
        <v>9</v>
      </c>
      <c r="D605" s="29" t="s">
        <v>1087</v>
      </c>
      <c r="E605" s="14">
        <v>19.95</v>
      </c>
      <c r="F605" s="4"/>
    </row>
    <row r="606" hidden="1">
      <c r="A606" s="52">
        <v>46121.0</v>
      </c>
      <c r="B606" s="55">
        <v>5.304533448E9</v>
      </c>
      <c r="C606" s="29" t="s">
        <v>9</v>
      </c>
      <c r="D606" s="29" t="s">
        <v>1087</v>
      </c>
      <c r="E606" s="14">
        <v>21.95</v>
      </c>
      <c r="F606" s="4"/>
    </row>
    <row r="607" hidden="1">
      <c r="A607" s="21"/>
      <c r="B607" s="21"/>
      <c r="C607" s="23"/>
      <c r="D607" s="23"/>
      <c r="E607" s="24"/>
      <c r="F607" s="24"/>
    </row>
    <row r="608" hidden="1">
      <c r="A608" s="25">
        <v>46122.0</v>
      </c>
      <c r="B608" s="129">
        <v>2.42220129E8</v>
      </c>
      <c r="C608" s="130" t="s">
        <v>9</v>
      </c>
      <c r="D608" s="130" t="s">
        <v>1087</v>
      </c>
      <c r="E608" s="14">
        <v>14.95</v>
      </c>
      <c r="F608" s="4"/>
    </row>
    <row r="609" hidden="1">
      <c r="A609" s="25">
        <v>46122.0</v>
      </c>
      <c r="B609" s="129" t="s">
        <v>1147</v>
      </c>
      <c r="C609" s="130" t="s">
        <v>9</v>
      </c>
      <c r="D609" s="130" t="s">
        <v>1087</v>
      </c>
      <c r="E609" s="131">
        <v>20.95</v>
      </c>
      <c r="F609" s="4"/>
    </row>
    <row r="610" hidden="1">
      <c r="A610" s="25">
        <v>46122.0</v>
      </c>
      <c r="B610" s="129">
        <v>5.304523788E9</v>
      </c>
      <c r="C610" s="130" t="s">
        <v>9</v>
      </c>
      <c r="D610" s="130" t="s">
        <v>1087</v>
      </c>
      <c r="E610" s="131">
        <v>34.95</v>
      </c>
      <c r="F610" s="4"/>
    </row>
    <row r="611" hidden="1">
      <c r="A611" s="25">
        <v>46122.0</v>
      </c>
      <c r="B611" s="129">
        <v>2.4222013E8</v>
      </c>
      <c r="C611" s="130" t="s">
        <v>9</v>
      </c>
      <c r="D611" s="130" t="s">
        <v>1087</v>
      </c>
      <c r="E611" s="131">
        <v>14.95</v>
      </c>
      <c r="F611" s="4"/>
    </row>
    <row r="612" hidden="1">
      <c r="A612" s="25">
        <v>46122.0</v>
      </c>
      <c r="B612" s="129">
        <v>5.304464438E9</v>
      </c>
      <c r="C612" s="130" t="s">
        <v>9</v>
      </c>
      <c r="D612" s="130" t="s">
        <v>1087</v>
      </c>
      <c r="E612" s="131">
        <v>15.95</v>
      </c>
      <c r="F612" s="4"/>
    </row>
    <row r="613" hidden="1">
      <c r="A613" s="25">
        <v>46122.0</v>
      </c>
      <c r="B613" s="129">
        <v>2.41830905E8</v>
      </c>
      <c r="C613" s="130" t="s">
        <v>9</v>
      </c>
      <c r="D613" s="130" t="s">
        <v>1087</v>
      </c>
      <c r="E613" s="131">
        <v>20.95</v>
      </c>
      <c r="F613" s="4"/>
    </row>
    <row r="614" hidden="1">
      <c r="A614" s="25">
        <v>46122.0</v>
      </c>
      <c r="B614" s="129">
        <v>2.42220134E8</v>
      </c>
      <c r="C614" s="130" t="s">
        <v>9</v>
      </c>
      <c r="D614" s="130" t="s">
        <v>1087</v>
      </c>
      <c r="E614" s="131">
        <v>20.95</v>
      </c>
      <c r="F614" s="4"/>
    </row>
    <row r="615" hidden="1">
      <c r="A615" s="25">
        <v>46122.0</v>
      </c>
      <c r="B615" s="129">
        <v>5.303918602E9</v>
      </c>
      <c r="C615" s="130" t="s">
        <v>9</v>
      </c>
      <c r="D615" s="130" t="s">
        <v>1087</v>
      </c>
      <c r="E615" s="131">
        <v>15.95</v>
      </c>
      <c r="F615" s="4"/>
    </row>
    <row r="616" hidden="1">
      <c r="A616" s="25">
        <v>46122.0</v>
      </c>
      <c r="B616" s="129">
        <v>1.802406548E9</v>
      </c>
      <c r="C616" s="130" t="s">
        <v>9</v>
      </c>
      <c r="D616" s="130" t="s">
        <v>1087</v>
      </c>
      <c r="E616" s="131">
        <v>36.95</v>
      </c>
      <c r="F616" s="4"/>
    </row>
    <row r="617" hidden="1">
      <c r="A617" s="25">
        <v>46122.0</v>
      </c>
      <c r="B617" s="129">
        <v>5.304530651E9</v>
      </c>
      <c r="C617" s="130" t="s">
        <v>8</v>
      </c>
      <c r="D617" s="130" t="s">
        <v>1087</v>
      </c>
      <c r="E617" s="131">
        <v>25.95</v>
      </c>
      <c r="F617" s="4"/>
    </row>
    <row r="618" hidden="1">
      <c r="A618" s="21"/>
      <c r="B618" s="21"/>
      <c r="C618" s="23"/>
      <c r="D618" s="23"/>
      <c r="E618" s="24"/>
      <c r="F618" s="24"/>
    </row>
    <row r="619" hidden="1">
      <c r="A619" s="52">
        <v>46128.0</v>
      </c>
      <c r="B619" s="55">
        <v>5.304523182E9</v>
      </c>
      <c r="C619" s="29" t="s">
        <v>9</v>
      </c>
      <c r="D619" s="29" t="s">
        <v>1087</v>
      </c>
      <c r="E619" s="14">
        <v>105.95</v>
      </c>
      <c r="F619" s="4"/>
    </row>
    <row r="620" hidden="1">
      <c r="A620" s="52">
        <v>46128.0</v>
      </c>
      <c r="B620" s="55">
        <v>5.304523183E9</v>
      </c>
      <c r="C620" s="29" t="s">
        <v>9</v>
      </c>
      <c r="D620" s="29" t="s">
        <v>1087</v>
      </c>
      <c r="E620" s="14">
        <v>85.95</v>
      </c>
      <c r="F620" s="4"/>
    </row>
    <row r="621" hidden="1">
      <c r="A621" s="52">
        <v>46128.0</v>
      </c>
      <c r="B621" s="55">
        <v>1.345877E8</v>
      </c>
      <c r="C621" s="29" t="s">
        <v>9</v>
      </c>
      <c r="D621" s="29" t="s">
        <v>1087</v>
      </c>
      <c r="E621" s="14">
        <v>10.95</v>
      </c>
      <c r="F621" s="12">
        <v>2.0</v>
      </c>
    </row>
    <row r="622" hidden="1">
      <c r="A622" s="52">
        <v>46128.0</v>
      </c>
      <c r="B622" s="55">
        <v>5.304530032E9</v>
      </c>
      <c r="C622" s="29" t="s">
        <v>9</v>
      </c>
      <c r="D622" s="29" t="s">
        <v>1087</v>
      </c>
      <c r="E622" s="14">
        <v>135.95</v>
      </c>
      <c r="F622" s="4"/>
    </row>
    <row r="623" hidden="1">
      <c r="A623" s="52">
        <v>46128.0</v>
      </c>
      <c r="B623" s="55">
        <v>5.304528166E9</v>
      </c>
      <c r="C623" s="29" t="s">
        <v>9</v>
      </c>
      <c r="D623" s="29" t="s">
        <v>1087</v>
      </c>
      <c r="E623" s="14">
        <v>44.95</v>
      </c>
      <c r="F623" s="4"/>
    </row>
    <row r="624" hidden="1">
      <c r="A624" s="52">
        <v>46128.0</v>
      </c>
      <c r="B624" s="55">
        <v>5.304534597E9</v>
      </c>
      <c r="C624" s="29" t="s">
        <v>9</v>
      </c>
      <c r="D624" s="29" t="s">
        <v>1087</v>
      </c>
      <c r="E624" s="14">
        <v>77.95</v>
      </c>
      <c r="F624" s="4"/>
    </row>
    <row r="625" hidden="1">
      <c r="A625" s="52">
        <v>46128.0</v>
      </c>
      <c r="B625" s="55">
        <v>1.34616701E8</v>
      </c>
      <c r="C625" s="29" t="s">
        <v>9</v>
      </c>
      <c r="D625" s="29" t="s">
        <v>1087</v>
      </c>
      <c r="E625" s="14">
        <v>13.95</v>
      </c>
      <c r="F625" s="4"/>
    </row>
    <row r="626" hidden="1">
      <c r="A626" s="52">
        <v>46128.0</v>
      </c>
      <c r="B626" s="55">
        <v>5.304538605E9</v>
      </c>
      <c r="C626" s="29" t="s">
        <v>9</v>
      </c>
      <c r="D626" s="29" t="s">
        <v>1087</v>
      </c>
      <c r="E626" s="14">
        <v>90.95</v>
      </c>
      <c r="F626" s="4"/>
    </row>
    <row r="627" hidden="1">
      <c r="A627" s="52">
        <v>46128.0</v>
      </c>
      <c r="B627" s="55">
        <v>5.3045386E9</v>
      </c>
      <c r="C627" s="29" t="s">
        <v>9</v>
      </c>
      <c r="D627" s="29" t="s">
        <v>1087</v>
      </c>
      <c r="E627" s="14">
        <v>96.95</v>
      </c>
      <c r="F627" s="4"/>
    </row>
    <row r="628" hidden="1">
      <c r="A628" s="52">
        <v>46128.0</v>
      </c>
      <c r="B628" s="55">
        <v>5.304535023E9</v>
      </c>
      <c r="C628" s="29" t="s">
        <v>9</v>
      </c>
      <c r="D628" s="29" t="s">
        <v>1087</v>
      </c>
      <c r="E628" s="14">
        <v>65.95</v>
      </c>
      <c r="F628" s="4"/>
    </row>
    <row r="629" hidden="1">
      <c r="A629" s="52">
        <v>46128.0</v>
      </c>
      <c r="B629" s="55">
        <v>5.30452234E9</v>
      </c>
      <c r="C629" s="29" t="s">
        <v>9</v>
      </c>
      <c r="D629" s="29" t="s">
        <v>1087</v>
      </c>
      <c r="E629" s="14">
        <v>35.95</v>
      </c>
      <c r="F629" s="4"/>
    </row>
    <row r="630" hidden="1">
      <c r="A630" s="52">
        <v>46128.0</v>
      </c>
      <c r="B630" s="55">
        <v>2.41798233E8</v>
      </c>
      <c r="C630" s="29" t="s">
        <v>9</v>
      </c>
      <c r="D630" s="29" t="s">
        <v>1087</v>
      </c>
      <c r="E630" s="14">
        <v>74.95</v>
      </c>
      <c r="F630" s="4"/>
    </row>
    <row r="631" hidden="1">
      <c r="A631" s="52">
        <v>46128.0</v>
      </c>
      <c r="B631" s="55">
        <v>2.41675705E8</v>
      </c>
      <c r="C631" s="29" t="s">
        <v>8</v>
      </c>
      <c r="D631" s="29" t="s">
        <v>1087</v>
      </c>
      <c r="E631" s="14">
        <v>35.95</v>
      </c>
      <c r="F631" s="4"/>
    </row>
    <row r="632" hidden="1">
      <c r="A632" s="52">
        <v>46128.0</v>
      </c>
      <c r="B632" s="55">
        <v>5.304523685E9</v>
      </c>
      <c r="C632" s="29" t="s">
        <v>9</v>
      </c>
      <c r="D632" s="29" t="s">
        <v>1087</v>
      </c>
      <c r="E632" s="14">
        <v>37.95</v>
      </c>
      <c r="F632" s="4"/>
    </row>
    <row r="633" hidden="1">
      <c r="A633" s="52">
        <v>46128.0</v>
      </c>
      <c r="B633" s="55">
        <v>2.42220128E8</v>
      </c>
      <c r="C633" s="29" t="s">
        <v>9</v>
      </c>
      <c r="D633" s="29" t="s">
        <v>1087</v>
      </c>
      <c r="E633" s="14">
        <v>10.95</v>
      </c>
      <c r="F633" s="4"/>
    </row>
    <row r="634" hidden="1">
      <c r="A634" s="52">
        <v>46128.0</v>
      </c>
      <c r="B634" s="55">
        <v>5.304525994E9</v>
      </c>
      <c r="C634" s="29" t="s">
        <v>9</v>
      </c>
      <c r="D634" s="29" t="s">
        <v>1087</v>
      </c>
      <c r="E634" s="14">
        <v>34.95</v>
      </c>
      <c r="F634" s="12">
        <v>2.0</v>
      </c>
    </row>
    <row r="635" hidden="1">
      <c r="A635" s="52">
        <v>46128.0</v>
      </c>
      <c r="B635" s="55" t="s">
        <v>1159</v>
      </c>
      <c r="C635" s="29" t="s">
        <v>9</v>
      </c>
      <c r="D635" s="29" t="s">
        <v>1087</v>
      </c>
      <c r="E635" s="14">
        <v>34.95</v>
      </c>
      <c r="F635" s="4"/>
    </row>
    <row r="636" hidden="1">
      <c r="A636" s="52">
        <v>46128.0</v>
      </c>
      <c r="B636" s="55">
        <v>5.304530888E9</v>
      </c>
      <c r="C636" s="29" t="s">
        <v>9</v>
      </c>
      <c r="D636" s="29" t="s">
        <v>1087</v>
      </c>
      <c r="E636" s="14">
        <v>13.95</v>
      </c>
      <c r="F636" s="4"/>
    </row>
    <row r="637" hidden="1">
      <c r="A637" s="52">
        <v>46128.0</v>
      </c>
      <c r="B637" s="55">
        <v>5.304505165E9</v>
      </c>
      <c r="C637" s="29" t="s">
        <v>9</v>
      </c>
      <c r="D637" s="29" t="s">
        <v>1087</v>
      </c>
      <c r="E637" s="14">
        <v>13.95</v>
      </c>
      <c r="F637" s="4"/>
    </row>
    <row r="638" hidden="1">
      <c r="A638" s="52">
        <v>46128.0</v>
      </c>
      <c r="B638" s="55" t="s">
        <v>1162</v>
      </c>
      <c r="C638" s="29" t="s">
        <v>9</v>
      </c>
      <c r="D638" s="29" t="s">
        <v>1087</v>
      </c>
      <c r="E638" s="14">
        <v>74.95</v>
      </c>
      <c r="F638" s="4"/>
    </row>
    <row r="639" hidden="1">
      <c r="A639" s="21"/>
      <c r="B639" s="21"/>
      <c r="C639" s="23"/>
      <c r="D639" s="23"/>
      <c r="E639" s="24"/>
      <c r="F639" s="24"/>
    </row>
    <row r="640" hidden="1">
      <c r="A640" s="52">
        <v>46133.0</v>
      </c>
      <c r="B640" s="55">
        <v>2.97309E8</v>
      </c>
      <c r="C640" s="29" t="s">
        <v>9</v>
      </c>
      <c r="D640" s="29" t="s">
        <v>1087</v>
      </c>
      <c r="E640" s="14">
        <v>40.95</v>
      </c>
      <c r="F640" s="4"/>
    </row>
    <row r="641" hidden="1">
      <c r="A641" s="52">
        <v>46133.0</v>
      </c>
      <c r="B641" s="55" t="s">
        <v>1166</v>
      </c>
      <c r="C641" s="29" t="s">
        <v>9</v>
      </c>
      <c r="D641" s="29" t="s">
        <v>1087</v>
      </c>
      <c r="E641" s="14">
        <v>55.95</v>
      </c>
      <c r="F641" s="4"/>
    </row>
    <row r="642" hidden="1">
      <c r="A642" s="52">
        <v>46133.0</v>
      </c>
      <c r="B642" s="55">
        <v>5.30452465E9</v>
      </c>
      <c r="C642" s="29" t="s">
        <v>9</v>
      </c>
      <c r="D642" s="29" t="s">
        <v>1087</v>
      </c>
      <c r="E642" s="14">
        <v>45.95</v>
      </c>
      <c r="F642" s="4"/>
    </row>
    <row r="643" hidden="1">
      <c r="A643" s="52">
        <v>46133.0</v>
      </c>
      <c r="B643" s="55">
        <v>5.304525913E9</v>
      </c>
      <c r="C643" s="29" t="s">
        <v>9</v>
      </c>
      <c r="D643" s="29" t="s">
        <v>1087</v>
      </c>
      <c r="E643" s="14">
        <v>19.95</v>
      </c>
      <c r="F643" s="4"/>
    </row>
    <row r="644" hidden="1">
      <c r="A644" s="52">
        <v>46133.0</v>
      </c>
      <c r="B644" s="55">
        <v>5.304535821E9</v>
      </c>
      <c r="C644" s="29" t="s">
        <v>9</v>
      </c>
      <c r="D644" s="29" t="s">
        <v>1087</v>
      </c>
      <c r="E644" s="14">
        <v>50.95</v>
      </c>
      <c r="F644" s="4"/>
    </row>
    <row r="645" hidden="1">
      <c r="A645" s="52">
        <v>46133.0</v>
      </c>
      <c r="B645" s="55">
        <v>1.392035E8</v>
      </c>
      <c r="C645" s="29" t="s">
        <v>9</v>
      </c>
      <c r="D645" s="29" t="s">
        <v>1087</v>
      </c>
      <c r="E645" s="14">
        <v>56.95</v>
      </c>
      <c r="F645" s="4"/>
    </row>
    <row r="646" hidden="1">
      <c r="A646" s="52">
        <v>46133.0</v>
      </c>
      <c r="B646" s="55">
        <v>5.304534275E9</v>
      </c>
      <c r="C646" s="29" t="s">
        <v>9</v>
      </c>
      <c r="D646" s="29" t="s">
        <v>1087</v>
      </c>
      <c r="E646" s="14">
        <v>80.95</v>
      </c>
      <c r="F646" s="4"/>
    </row>
    <row r="647" hidden="1">
      <c r="A647" s="52">
        <v>46133.0</v>
      </c>
      <c r="B647" s="55">
        <v>5.304531961E9</v>
      </c>
      <c r="C647" s="29" t="s">
        <v>9</v>
      </c>
      <c r="D647" s="29" t="s">
        <v>1087</v>
      </c>
      <c r="E647" s="14">
        <v>65.95</v>
      </c>
      <c r="F647" s="4"/>
    </row>
    <row r="648" hidden="1">
      <c r="A648" s="52">
        <v>46133.0</v>
      </c>
      <c r="B648" s="55">
        <v>2.41734001E8</v>
      </c>
      <c r="C648" s="29" t="s">
        <v>9</v>
      </c>
      <c r="D648" s="29" t="s">
        <v>1087</v>
      </c>
      <c r="E648" s="14">
        <v>80.95</v>
      </c>
      <c r="F648" s="4"/>
    </row>
    <row r="649" hidden="1">
      <c r="A649" s="52">
        <v>46133.0</v>
      </c>
      <c r="B649" s="55">
        <v>2.41862904E8</v>
      </c>
      <c r="C649" s="29" t="s">
        <v>9</v>
      </c>
      <c r="D649" s="29" t="s">
        <v>1087</v>
      </c>
      <c r="E649" s="14">
        <v>45.95</v>
      </c>
      <c r="F649" s="4"/>
    </row>
    <row r="650" hidden="1">
      <c r="A650" s="52">
        <v>46133.0</v>
      </c>
      <c r="B650" s="55">
        <v>5.304530853E9</v>
      </c>
      <c r="C650" s="29" t="s">
        <v>9</v>
      </c>
      <c r="D650" s="29" t="s">
        <v>1087</v>
      </c>
      <c r="E650" s="14">
        <v>50.95</v>
      </c>
      <c r="F650" s="4"/>
    </row>
    <row r="651" hidden="1">
      <c r="A651" s="52">
        <v>46133.0</v>
      </c>
      <c r="B651" s="55">
        <v>5.304526285E9</v>
      </c>
      <c r="C651" s="29" t="s">
        <v>9</v>
      </c>
      <c r="D651" s="29" t="s">
        <v>1087</v>
      </c>
      <c r="E651" s="14">
        <v>40.95</v>
      </c>
      <c r="F651" s="4"/>
    </row>
    <row r="652" hidden="1">
      <c r="A652" s="52">
        <v>46133.0</v>
      </c>
      <c r="B652" s="55">
        <v>5.304507979E9</v>
      </c>
      <c r="C652" s="29" t="s">
        <v>9</v>
      </c>
      <c r="D652" s="29" t="s">
        <v>1087</v>
      </c>
      <c r="E652" s="14">
        <v>90.95</v>
      </c>
      <c r="F652" s="4"/>
    </row>
    <row r="653" hidden="1">
      <c r="A653" s="52">
        <v>46133.0</v>
      </c>
      <c r="B653" s="55">
        <v>5.304507978E9</v>
      </c>
      <c r="C653" s="29" t="s">
        <v>9</v>
      </c>
      <c r="D653" s="29" t="s">
        <v>1087</v>
      </c>
      <c r="E653" s="14">
        <v>85.95</v>
      </c>
      <c r="F653" s="4"/>
    </row>
    <row r="654" hidden="1">
      <c r="A654" s="52">
        <v>46133.0</v>
      </c>
      <c r="B654" s="142">
        <v>5.30453218E9</v>
      </c>
      <c r="C654" s="29" t="s">
        <v>9</v>
      </c>
      <c r="D654" s="29" t="s">
        <v>1087</v>
      </c>
      <c r="E654" s="14">
        <v>125.95</v>
      </c>
      <c r="F654" s="4"/>
    </row>
    <row r="655" hidden="1">
      <c r="A655" s="52">
        <v>46133.0</v>
      </c>
      <c r="B655" s="55">
        <v>2.41770702E8</v>
      </c>
      <c r="C655" s="29" t="s">
        <v>9</v>
      </c>
      <c r="D655" s="29" t="s">
        <v>1087</v>
      </c>
      <c r="E655" s="14">
        <v>21.95</v>
      </c>
      <c r="F655" s="4"/>
    </row>
    <row r="656" hidden="1">
      <c r="A656" s="52">
        <v>46133.0</v>
      </c>
      <c r="B656" s="55">
        <v>5.304526307E9</v>
      </c>
      <c r="C656" s="29" t="s">
        <v>9</v>
      </c>
      <c r="D656" s="29" t="s">
        <v>1087</v>
      </c>
      <c r="E656" s="14">
        <v>15.95</v>
      </c>
      <c r="F656" s="4"/>
    </row>
    <row r="657" hidden="1">
      <c r="A657" s="52">
        <v>46133.0</v>
      </c>
      <c r="B657" s="55">
        <v>5.303918899E9</v>
      </c>
      <c r="C657" s="29" t="s">
        <v>8</v>
      </c>
      <c r="D657" s="29" t="s">
        <v>1087</v>
      </c>
      <c r="E657" s="14">
        <v>36.95</v>
      </c>
      <c r="F657" s="4"/>
    </row>
    <row r="658" hidden="1">
      <c r="A658" s="52">
        <v>46133.0</v>
      </c>
      <c r="B658" s="55">
        <v>5.30452383E9</v>
      </c>
      <c r="C658" s="29" t="s">
        <v>9</v>
      </c>
      <c r="D658" s="29" t="s">
        <v>1087</v>
      </c>
      <c r="E658" s="14">
        <v>34.95</v>
      </c>
      <c r="F658" s="4"/>
    </row>
    <row r="659" hidden="1">
      <c r="A659" s="52">
        <v>46133.0</v>
      </c>
      <c r="B659" s="55">
        <v>5.304528251E9</v>
      </c>
      <c r="C659" s="29" t="s">
        <v>9</v>
      </c>
      <c r="D659" s="29" t="s">
        <v>1087</v>
      </c>
      <c r="E659" s="14">
        <v>97.95</v>
      </c>
      <c r="F659" s="4"/>
    </row>
    <row r="660" hidden="1">
      <c r="A660" s="52">
        <v>46133.0</v>
      </c>
      <c r="B660" s="55">
        <v>2.41798231E8</v>
      </c>
      <c r="C660" s="29" t="s">
        <v>9</v>
      </c>
      <c r="D660" s="29" t="s">
        <v>1087</v>
      </c>
      <c r="E660" s="14">
        <v>47.95</v>
      </c>
      <c r="F660" s="4"/>
    </row>
    <row r="661" hidden="1">
      <c r="A661" s="21"/>
      <c r="B661" s="21"/>
      <c r="C661" s="23"/>
      <c r="D661" s="23"/>
      <c r="E661" s="24"/>
      <c r="F661" s="24"/>
    </row>
    <row r="662" hidden="1">
      <c r="A662" s="52">
        <v>46139.0</v>
      </c>
      <c r="B662" s="55">
        <v>2.97286803E8</v>
      </c>
      <c r="C662" s="29" t="s">
        <v>9</v>
      </c>
      <c r="D662" s="29" t="s">
        <v>1087</v>
      </c>
      <c r="E662" s="14">
        <v>20.95</v>
      </c>
      <c r="F662" s="4"/>
    </row>
    <row r="663" hidden="1">
      <c r="A663" s="52">
        <v>46139.0</v>
      </c>
      <c r="B663" s="55">
        <v>2.42220127E8</v>
      </c>
      <c r="C663" s="29" t="s">
        <v>9</v>
      </c>
      <c r="D663" s="29" t="s">
        <v>1087</v>
      </c>
      <c r="E663" s="14">
        <v>20.95</v>
      </c>
      <c r="F663" s="4"/>
    </row>
    <row r="664" hidden="1">
      <c r="A664" s="52">
        <v>46139.0</v>
      </c>
      <c r="B664" s="55">
        <v>2.18976438E8</v>
      </c>
      <c r="C664" s="29" t="s">
        <v>9</v>
      </c>
      <c r="D664" s="29" t="s">
        <v>1087</v>
      </c>
      <c r="E664" s="14">
        <v>18.95</v>
      </c>
      <c r="F664" s="4"/>
    </row>
    <row r="665" hidden="1">
      <c r="A665" s="52">
        <v>46139.0</v>
      </c>
      <c r="B665" s="55">
        <v>5.30800001E9</v>
      </c>
      <c r="C665" s="29" t="s">
        <v>9</v>
      </c>
      <c r="D665" s="29" t="s">
        <v>1087</v>
      </c>
      <c r="E665" s="14">
        <v>10.95</v>
      </c>
      <c r="F665" s="4"/>
    </row>
    <row r="666" hidden="1">
      <c r="A666" s="52">
        <v>46139.0</v>
      </c>
      <c r="B666" s="55">
        <v>2.41850622E8</v>
      </c>
      <c r="C666" s="29" t="s">
        <v>9</v>
      </c>
      <c r="D666" s="29" t="s">
        <v>1087</v>
      </c>
      <c r="E666" s="14">
        <v>23.95</v>
      </c>
      <c r="F666" s="4"/>
    </row>
    <row r="667" hidden="1">
      <c r="A667" s="52">
        <v>46139.0</v>
      </c>
      <c r="B667" s="55">
        <v>2.42219302E8</v>
      </c>
      <c r="C667" s="29" t="s">
        <v>9</v>
      </c>
      <c r="D667" s="29" t="s">
        <v>1087</v>
      </c>
      <c r="E667" s="14">
        <v>10.95</v>
      </c>
      <c r="F667" s="4"/>
    </row>
    <row r="668" hidden="1">
      <c r="A668" s="52">
        <v>46139.0</v>
      </c>
      <c r="B668" s="55">
        <v>1.373533E8</v>
      </c>
      <c r="C668" s="29" t="s">
        <v>9</v>
      </c>
      <c r="D668" s="29" t="s">
        <v>1087</v>
      </c>
      <c r="E668" s="14">
        <v>27.95</v>
      </c>
      <c r="F668" s="4"/>
    </row>
    <row r="669" hidden="1">
      <c r="A669" s="52">
        <v>46139.0</v>
      </c>
      <c r="B669" s="55">
        <v>2.18976409E8</v>
      </c>
      <c r="C669" s="29" t="s">
        <v>9</v>
      </c>
      <c r="D669" s="29" t="s">
        <v>1087</v>
      </c>
      <c r="E669" s="14">
        <v>30.95</v>
      </c>
      <c r="F669" s="4"/>
    </row>
    <row r="670" hidden="1">
      <c r="A670" s="52">
        <v>46139.0</v>
      </c>
      <c r="B670" s="55">
        <v>2.41941003E8</v>
      </c>
      <c r="C670" s="29" t="s">
        <v>9</v>
      </c>
      <c r="D670" s="29" t="s">
        <v>1087</v>
      </c>
      <c r="E670" s="14">
        <v>45.95</v>
      </c>
      <c r="F670" s="4"/>
    </row>
    <row r="671" hidden="1">
      <c r="A671" s="52">
        <v>46139.0</v>
      </c>
      <c r="B671" s="55">
        <v>5.304506533E9</v>
      </c>
      <c r="C671" s="29" t="s">
        <v>9</v>
      </c>
      <c r="D671" s="29" t="s">
        <v>1087</v>
      </c>
      <c r="E671" s="14">
        <v>15.95</v>
      </c>
      <c r="F671" s="4"/>
    </row>
    <row r="672" hidden="1">
      <c r="A672" s="21"/>
      <c r="B672" s="21"/>
      <c r="C672" s="23"/>
      <c r="D672" s="23"/>
      <c r="E672" s="24"/>
      <c r="F672" s="24"/>
    </row>
    <row r="673" hidden="1">
      <c r="A673" s="52">
        <v>46140.0</v>
      </c>
      <c r="B673" s="55">
        <v>2.97259515E8</v>
      </c>
      <c r="C673" s="29" t="s">
        <v>9</v>
      </c>
      <c r="D673" s="29" t="s">
        <v>1087</v>
      </c>
      <c r="E673" s="14">
        <v>27.93</v>
      </c>
      <c r="F673" s="4"/>
    </row>
    <row r="674" hidden="1">
      <c r="A674" s="52">
        <v>46140.0</v>
      </c>
      <c r="B674" s="55">
        <v>5.304513033E9</v>
      </c>
      <c r="C674" s="29" t="s">
        <v>9</v>
      </c>
      <c r="D674" s="29" t="s">
        <v>1087</v>
      </c>
      <c r="E674" s="14">
        <v>8.95</v>
      </c>
      <c r="F674" s="4"/>
    </row>
    <row r="675" hidden="1">
      <c r="A675" s="52">
        <v>46140.0</v>
      </c>
      <c r="B675" s="55">
        <v>1.54773201E8</v>
      </c>
      <c r="C675" s="29" t="s">
        <v>9</v>
      </c>
      <c r="D675" s="29" t="s">
        <v>1087</v>
      </c>
      <c r="E675" s="14">
        <v>40.95</v>
      </c>
      <c r="F675" s="4"/>
    </row>
    <row r="676" hidden="1">
      <c r="A676" s="52">
        <v>46140.0</v>
      </c>
      <c r="B676" s="55">
        <v>2.970305E8</v>
      </c>
      <c r="C676" s="29" t="s">
        <v>9</v>
      </c>
      <c r="D676" s="29" t="s">
        <v>1087</v>
      </c>
      <c r="E676" s="14">
        <v>10.95</v>
      </c>
      <c r="F676" s="4"/>
    </row>
    <row r="677" hidden="1">
      <c r="A677" s="21"/>
      <c r="B677" s="21"/>
      <c r="C677" s="23"/>
      <c r="D677" s="23"/>
      <c r="E677" s="24"/>
      <c r="F677" s="24"/>
    </row>
    <row r="678" hidden="1">
      <c r="A678" s="52">
        <v>46141.0</v>
      </c>
      <c r="B678" s="55">
        <v>5.304530818E9</v>
      </c>
      <c r="C678" s="29" t="s">
        <v>9</v>
      </c>
      <c r="D678" s="29" t="s">
        <v>1087</v>
      </c>
      <c r="E678" s="14">
        <v>15.95</v>
      </c>
      <c r="F678" s="4"/>
    </row>
    <row r="679" hidden="1">
      <c r="A679" s="52">
        <v>46141.0</v>
      </c>
      <c r="B679" s="55">
        <v>1.37412701E8</v>
      </c>
      <c r="C679" s="29" t="s">
        <v>9</v>
      </c>
      <c r="D679" s="29" t="s">
        <v>1087</v>
      </c>
      <c r="E679" s="14">
        <v>10.95</v>
      </c>
      <c r="F679" s="4"/>
    </row>
    <row r="680" hidden="1">
      <c r="A680" s="52">
        <v>46141.0</v>
      </c>
      <c r="B680" s="55">
        <v>5.30452316E9</v>
      </c>
      <c r="C680" s="29" t="s">
        <v>9</v>
      </c>
      <c r="D680" s="29" t="s">
        <v>1087</v>
      </c>
      <c r="E680" s="14">
        <v>50.95</v>
      </c>
      <c r="F680" s="4"/>
    </row>
    <row r="681" hidden="1">
      <c r="A681" s="52">
        <v>46141.0</v>
      </c>
      <c r="B681" s="55">
        <v>5.304507499E9</v>
      </c>
      <c r="C681" s="29" t="s">
        <v>9</v>
      </c>
      <c r="D681" s="29" t="s">
        <v>1087</v>
      </c>
      <c r="E681" s="14">
        <v>25.95</v>
      </c>
      <c r="F681" s="4"/>
    </row>
    <row r="682" hidden="1">
      <c r="A682" s="52">
        <v>46141.0</v>
      </c>
      <c r="B682" s="55">
        <v>5.304524887E9</v>
      </c>
      <c r="C682" s="29" t="s">
        <v>9</v>
      </c>
      <c r="D682" s="29" t="s">
        <v>1087</v>
      </c>
      <c r="E682" s="14">
        <v>60.95</v>
      </c>
      <c r="F682" s="4"/>
    </row>
    <row r="683" hidden="1">
      <c r="A683" s="52">
        <v>46141.0</v>
      </c>
      <c r="B683" s="55">
        <v>5.304533955E9</v>
      </c>
      <c r="C683" s="29" t="s">
        <v>9</v>
      </c>
      <c r="D683" s="29" t="s">
        <v>1087</v>
      </c>
      <c r="E683" s="14">
        <v>70.95</v>
      </c>
      <c r="F683" s="4"/>
    </row>
    <row r="684" hidden="1">
      <c r="A684" s="52">
        <v>46141.0</v>
      </c>
      <c r="B684" s="55">
        <v>5.304535239E9</v>
      </c>
      <c r="C684" s="29" t="s">
        <v>9</v>
      </c>
      <c r="D684" s="29" t="s">
        <v>1087</v>
      </c>
      <c r="E684" s="14">
        <v>22.95</v>
      </c>
      <c r="F684" s="4"/>
    </row>
    <row r="685" hidden="1">
      <c r="A685" s="52">
        <v>46141.0</v>
      </c>
      <c r="B685" s="55">
        <v>5.304528906E9</v>
      </c>
      <c r="C685" s="29" t="s">
        <v>9</v>
      </c>
      <c r="D685" s="29" t="s">
        <v>1087</v>
      </c>
      <c r="E685" s="14">
        <v>70.95</v>
      </c>
      <c r="F685" s="4"/>
    </row>
    <row r="686" hidden="1">
      <c r="A686" s="52">
        <v>46141.0</v>
      </c>
      <c r="B686" s="55">
        <v>5.304526303E9</v>
      </c>
      <c r="C686" s="29" t="s">
        <v>9</v>
      </c>
      <c r="D686" s="29" t="s">
        <v>1087</v>
      </c>
      <c r="E686" s="14">
        <v>80.95</v>
      </c>
      <c r="F686" s="4"/>
    </row>
    <row r="687" hidden="1">
      <c r="A687" s="52">
        <v>46141.0</v>
      </c>
      <c r="B687" s="55">
        <v>5.304519646E9</v>
      </c>
      <c r="C687" s="29" t="s">
        <v>9</v>
      </c>
      <c r="D687" s="29" t="s">
        <v>1087</v>
      </c>
      <c r="E687" s="14">
        <v>7.95</v>
      </c>
      <c r="F687" s="4"/>
    </row>
    <row r="688" hidden="1">
      <c r="A688" s="52">
        <v>46141.0</v>
      </c>
      <c r="B688" s="55">
        <v>3.160225E8</v>
      </c>
      <c r="C688" s="29" t="s">
        <v>9</v>
      </c>
      <c r="D688" s="29" t="s">
        <v>1087</v>
      </c>
      <c r="E688" s="14">
        <v>7.95</v>
      </c>
      <c r="F688" s="4"/>
    </row>
    <row r="689" hidden="1">
      <c r="A689" s="52">
        <v>46141.0</v>
      </c>
      <c r="B689" s="55" t="s">
        <v>1220</v>
      </c>
      <c r="C689" s="29" t="s">
        <v>9</v>
      </c>
      <c r="D689" s="29" t="s">
        <v>1087</v>
      </c>
      <c r="E689" s="14">
        <v>65.95</v>
      </c>
      <c r="F689" s="4"/>
    </row>
    <row r="690" hidden="1">
      <c r="A690" s="52">
        <v>46141.0</v>
      </c>
      <c r="B690" s="55">
        <v>5.304534878E9</v>
      </c>
      <c r="C690" s="29" t="s">
        <v>8</v>
      </c>
      <c r="D690" s="29" t="s">
        <v>1087</v>
      </c>
      <c r="E690" s="14">
        <v>51.95</v>
      </c>
      <c r="F690" s="4"/>
    </row>
    <row r="691" hidden="1">
      <c r="A691" s="52">
        <v>46141.0</v>
      </c>
      <c r="B691" s="55">
        <v>5.304533531E9</v>
      </c>
      <c r="C691" s="29" t="s">
        <v>9</v>
      </c>
      <c r="D691" s="29" t="s">
        <v>1087</v>
      </c>
      <c r="E691" s="14">
        <v>40.95</v>
      </c>
      <c r="F691" s="4"/>
    </row>
    <row r="692" hidden="1">
      <c r="A692" s="52">
        <v>46141.0</v>
      </c>
      <c r="B692" s="55">
        <v>1.39085803E8</v>
      </c>
      <c r="C692" s="29" t="s">
        <v>9</v>
      </c>
      <c r="D692" s="29" t="s">
        <v>1087</v>
      </c>
      <c r="E692" s="14">
        <v>40.95</v>
      </c>
      <c r="F692" s="4"/>
    </row>
    <row r="693" hidden="1">
      <c r="A693" s="52">
        <v>46141.0</v>
      </c>
      <c r="B693" s="55">
        <v>5.304526636E9</v>
      </c>
      <c r="C693" s="29" t="s">
        <v>9</v>
      </c>
      <c r="D693" s="29" t="s">
        <v>1087</v>
      </c>
      <c r="E693" s="14">
        <v>150.95</v>
      </c>
      <c r="F693" s="4"/>
    </row>
    <row r="694" hidden="1">
      <c r="A694" s="52">
        <v>46141.0</v>
      </c>
      <c r="B694" s="55">
        <v>2.42220154E8</v>
      </c>
      <c r="C694" s="29" t="s">
        <v>9</v>
      </c>
      <c r="D694" s="29" t="s">
        <v>1087</v>
      </c>
      <c r="E694" s="14">
        <v>90.91</v>
      </c>
      <c r="F694" s="4"/>
    </row>
    <row r="695" hidden="1">
      <c r="A695" s="52">
        <v>46141.0</v>
      </c>
      <c r="B695" s="55">
        <v>5.304524817E9</v>
      </c>
      <c r="C695" s="29" t="s">
        <v>9</v>
      </c>
      <c r="D695" s="29" t="s">
        <v>1087</v>
      </c>
      <c r="E695" s="14">
        <v>24.95</v>
      </c>
      <c r="F695" s="4"/>
    </row>
    <row r="696" hidden="1">
      <c r="A696" s="52">
        <v>46141.0</v>
      </c>
      <c r="B696" s="55">
        <v>2.43297608E8</v>
      </c>
      <c r="C696" s="29" t="s">
        <v>9</v>
      </c>
      <c r="D696" s="29" t="s">
        <v>1087</v>
      </c>
      <c r="E696" s="14">
        <v>35.95</v>
      </c>
      <c r="F696" s="4"/>
    </row>
    <row r="697" hidden="1">
      <c r="A697" s="52">
        <v>46141.0</v>
      </c>
      <c r="B697" s="55">
        <v>5.304536159E9</v>
      </c>
      <c r="C697" s="29" t="s">
        <v>9</v>
      </c>
      <c r="D697" s="29" t="s">
        <v>1087</v>
      </c>
      <c r="E697" s="14">
        <v>90.95</v>
      </c>
      <c r="F697" s="4"/>
    </row>
    <row r="698" hidden="1">
      <c r="A698" s="21"/>
      <c r="B698" s="21"/>
      <c r="C698" s="23"/>
      <c r="D698" s="23"/>
      <c r="E698" s="24"/>
      <c r="F698" s="24"/>
    </row>
    <row r="699" hidden="1">
      <c r="A699" s="52">
        <v>46143.0</v>
      </c>
      <c r="B699" s="55" t="s">
        <v>539</v>
      </c>
      <c r="C699" s="29" t="s">
        <v>9</v>
      </c>
      <c r="D699" s="29" t="s">
        <v>1087</v>
      </c>
      <c r="E699" s="14">
        <v>51.95</v>
      </c>
      <c r="F699" s="4"/>
    </row>
    <row r="700" hidden="1">
      <c r="A700" s="52">
        <v>46143.0</v>
      </c>
      <c r="B700" s="55" t="s">
        <v>112</v>
      </c>
      <c r="C700" s="29" t="s">
        <v>9</v>
      </c>
      <c r="D700" s="29" t="s">
        <v>1087</v>
      </c>
      <c r="E700" s="14">
        <v>55.95</v>
      </c>
      <c r="F700" s="4"/>
    </row>
    <row r="701" hidden="1">
      <c r="A701" s="52">
        <v>46143.0</v>
      </c>
      <c r="B701" s="55" t="s">
        <v>854</v>
      </c>
      <c r="C701" s="29" t="s">
        <v>9</v>
      </c>
      <c r="D701" s="29" t="s">
        <v>1087</v>
      </c>
      <c r="E701" s="14">
        <v>20.95</v>
      </c>
      <c r="F701" s="4"/>
    </row>
    <row r="702" hidden="1">
      <c r="A702" s="52">
        <v>46143.0</v>
      </c>
      <c r="B702" s="55" t="s">
        <v>288</v>
      </c>
      <c r="C702" s="29" t="s">
        <v>9</v>
      </c>
      <c r="D702" s="29" t="s">
        <v>1087</v>
      </c>
      <c r="E702" s="14">
        <v>90.91</v>
      </c>
      <c r="F702" s="4"/>
    </row>
    <row r="703" hidden="1">
      <c r="A703" s="52">
        <v>46143.0</v>
      </c>
      <c r="B703" s="55" t="s">
        <v>1234</v>
      </c>
      <c r="C703" s="29" t="s">
        <v>9</v>
      </c>
      <c r="D703" s="29" t="s">
        <v>1087</v>
      </c>
      <c r="E703" s="14">
        <v>20.95</v>
      </c>
      <c r="F703" s="12">
        <v>4.0</v>
      </c>
    </row>
    <row r="704" hidden="1">
      <c r="A704" s="52">
        <v>46143.0</v>
      </c>
      <c r="B704" s="55" t="s">
        <v>1235</v>
      </c>
      <c r="C704" s="29" t="s">
        <v>9</v>
      </c>
      <c r="D704" s="29" t="s">
        <v>1087</v>
      </c>
      <c r="E704" s="14">
        <v>20.95</v>
      </c>
      <c r="F704" s="12">
        <v>3.0</v>
      </c>
    </row>
    <row r="705" hidden="1">
      <c r="A705" s="52">
        <v>46143.0</v>
      </c>
      <c r="B705" s="55" t="s">
        <v>1237</v>
      </c>
      <c r="C705" s="29" t="s">
        <v>9</v>
      </c>
      <c r="D705" s="29" t="s">
        <v>1087</v>
      </c>
      <c r="E705" s="14">
        <v>45.95</v>
      </c>
      <c r="F705" s="4"/>
    </row>
    <row r="706" hidden="1">
      <c r="A706" s="52">
        <v>46143.0</v>
      </c>
      <c r="B706" s="55" t="s">
        <v>1238</v>
      </c>
      <c r="C706" s="29" t="s">
        <v>9</v>
      </c>
      <c r="D706" s="29" t="s">
        <v>1087</v>
      </c>
      <c r="E706" s="14">
        <v>20.95</v>
      </c>
      <c r="F706" s="4"/>
    </row>
    <row r="707" hidden="1">
      <c r="A707" s="52">
        <v>46143.0</v>
      </c>
      <c r="B707" s="55" t="s">
        <v>1240</v>
      </c>
      <c r="C707" s="29" t="s">
        <v>9</v>
      </c>
      <c r="D707" s="29" t="s">
        <v>1087</v>
      </c>
      <c r="E707" s="14">
        <v>20.95</v>
      </c>
      <c r="F707" s="4"/>
    </row>
    <row r="708" hidden="1">
      <c r="A708" s="52">
        <v>46143.0</v>
      </c>
      <c r="B708" s="55" t="s">
        <v>1242</v>
      </c>
      <c r="C708" s="29" t="s">
        <v>9</v>
      </c>
      <c r="D708" s="29" t="s">
        <v>1087</v>
      </c>
      <c r="E708" s="14">
        <v>20.95</v>
      </c>
      <c r="F708" s="4"/>
    </row>
    <row r="709" hidden="1">
      <c r="A709" s="52">
        <v>46143.0</v>
      </c>
      <c r="B709" s="55" t="s">
        <v>1244</v>
      </c>
      <c r="C709" s="29" t="s">
        <v>9</v>
      </c>
      <c r="D709" s="29" t="s">
        <v>1087</v>
      </c>
      <c r="E709" s="14">
        <v>60.95</v>
      </c>
      <c r="F709" s="4"/>
    </row>
    <row r="710" hidden="1">
      <c r="A710" s="52">
        <v>46143.0</v>
      </c>
      <c r="B710" s="55" t="s">
        <v>1245</v>
      </c>
      <c r="C710" s="29" t="s">
        <v>9</v>
      </c>
      <c r="D710" s="29" t="s">
        <v>1087</v>
      </c>
      <c r="E710" s="14">
        <v>20.95</v>
      </c>
      <c r="F710" s="4"/>
    </row>
    <row r="711" hidden="1">
      <c r="A711" s="52">
        <v>46143.0</v>
      </c>
      <c r="B711" s="55" t="s">
        <v>165</v>
      </c>
      <c r="C711" s="29" t="s">
        <v>9</v>
      </c>
      <c r="D711" s="29" t="s">
        <v>1087</v>
      </c>
      <c r="E711" s="14">
        <v>7.95</v>
      </c>
      <c r="F711" s="4"/>
    </row>
    <row r="712" hidden="1">
      <c r="A712" s="52">
        <v>46143.0</v>
      </c>
      <c r="B712" s="55" t="s">
        <v>1248</v>
      </c>
      <c r="C712" s="29" t="s">
        <v>9</v>
      </c>
      <c r="D712" s="29" t="s">
        <v>1087</v>
      </c>
      <c r="E712" s="14">
        <v>17.95</v>
      </c>
      <c r="F712" s="4"/>
    </row>
    <row r="713" hidden="1">
      <c r="A713" s="52">
        <v>46143.0</v>
      </c>
      <c r="B713" s="55" t="s">
        <v>1249</v>
      </c>
      <c r="C713" s="29" t="s">
        <v>9</v>
      </c>
      <c r="D713" s="29" t="s">
        <v>1087</v>
      </c>
      <c r="E713" s="14">
        <v>20.95</v>
      </c>
      <c r="F713" s="4"/>
    </row>
    <row r="714" hidden="1">
      <c r="A714" s="52">
        <v>46143.0</v>
      </c>
      <c r="B714" s="55" t="s">
        <v>1251</v>
      </c>
      <c r="C714" s="29" t="s">
        <v>9</v>
      </c>
      <c r="D714" s="29" t="s">
        <v>1087</v>
      </c>
      <c r="E714" s="14">
        <v>35.95</v>
      </c>
      <c r="F714" s="4"/>
    </row>
    <row r="715" hidden="1">
      <c r="A715" s="52">
        <v>46143.0</v>
      </c>
      <c r="B715" s="55" t="s">
        <v>1252</v>
      </c>
      <c r="C715" s="29" t="s">
        <v>9</v>
      </c>
      <c r="D715" s="29" t="s">
        <v>1087</v>
      </c>
      <c r="E715" s="14">
        <v>8.95</v>
      </c>
      <c r="F715" s="4"/>
    </row>
    <row r="716" hidden="1">
      <c r="A716" s="52">
        <v>46143.0</v>
      </c>
      <c r="B716" s="55" t="s">
        <v>325</v>
      </c>
      <c r="C716" s="29" t="s">
        <v>9</v>
      </c>
      <c r="D716" s="29" t="s">
        <v>1087</v>
      </c>
      <c r="E716" s="14">
        <v>19.95</v>
      </c>
      <c r="F716" s="4"/>
    </row>
    <row r="717" hidden="1">
      <c r="A717" s="52">
        <v>46143.0</v>
      </c>
      <c r="B717" s="55" t="s">
        <v>826</v>
      </c>
      <c r="C717" s="29" t="s">
        <v>9</v>
      </c>
      <c r="D717" s="29" t="s">
        <v>1087</v>
      </c>
      <c r="E717" s="14">
        <v>55.95</v>
      </c>
      <c r="F717" s="4"/>
    </row>
    <row r="718" hidden="1">
      <c r="A718" s="52">
        <v>46143.0</v>
      </c>
      <c r="B718" s="55" t="s">
        <v>1255</v>
      </c>
      <c r="C718" s="29" t="s">
        <v>9</v>
      </c>
      <c r="D718" s="29" t="s">
        <v>1087</v>
      </c>
      <c r="E718" s="14">
        <v>19.95</v>
      </c>
      <c r="F718" s="4"/>
    </row>
    <row r="719" hidden="1">
      <c r="A719" s="21"/>
      <c r="B719" s="21"/>
      <c r="C719" s="23"/>
      <c r="D719" s="23"/>
      <c r="E719" s="24"/>
      <c r="F719" s="24"/>
    </row>
    <row r="720" hidden="1">
      <c r="A720" s="52">
        <v>46146.0</v>
      </c>
      <c r="B720" s="55" t="s">
        <v>925</v>
      </c>
      <c r="C720" s="29" t="s">
        <v>9</v>
      </c>
      <c r="D720" s="29" t="s">
        <v>1087</v>
      </c>
      <c r="E720" s="14">
        <v>87.95</v>
      </c>
      <c r="F720" s="4"/>
    </row>
    <row r="721" hidden="1">
      <c r="A721" s="52">
        <v>46146.0</v>
      </c>
      <c r="B721" s="55" t="s">
        <v>1257</v>
      </c>
      <c r="C721" s="29" t="s">
        <v>9</v>
      </c>
      <c r="D721" s="29" t="s">
        <v>1087</v>
      </c>
      <c r="E721" s="14">
        <v>45.95</v>
      </c>
      <c r="F721" s="4"/>
    </row>
    <row r="722" hidden="1">
      <c r="A722" s="52">
        <v>46146.0</v>
      </c>
      <c r="B722" s="55" t="s">
        <v>1258</v>
      </c>
      <c r="C722" s="29" t="s">
        <v>9</v>
      </c>
      <c r="D722" s="29" t="s">
        <v>1087</v>
      </c>
      <c r="E722" s="14">
        <v>80.95</v>
      </c>
      <c r="F722" s="4"/>
    </row>
    <row r="723" hidden="1">
      <c r="A723" s="52">
        <v>46146.0</v>
      </c>
      <c r="B723" s="55" t="s">
        <v>1259</v>
      </c>
      <c r="C723" s="29" t="s">
        <v>9</v>
      </c>
      <c r="D723" s="29" t="s">
        <v>1087</v>
      </c>
      <c r="E723" s="14">
        <v>42.95</v>
      </c>
      <c r="F723" s="4"/>
    </row>
    <row r="724" hidden="1">
      <c r="A724" s="52">
        <v>46146.0</v>
      </c>
      <c r="B724" s="55" t="s">
        <v>1260</v>
      </c>
      <c r="C724" s="29" t="s">
        <v>9</v>
      </c>
      <c r="D724" s="29" t="s">
        <v>1087</v>
      </c>
      <c r="E724" s="14">
        <v>56.95</v>
      </c>
      <c r="F724" s="4"/>
    </row>
    <row r="725" hidden="1">
      <c r="A725" s="52">
        <v>46146.0</v>
      </c>
      <c r="B725" s="55" t="s">
        <v>45</v>
      </c>
      <c r="C725" s="29" t="s">
        <v>9</v>
      </c>
      <c r="D725" s="29" t="s">
        <v>1087</v>
      </c>
      <c r="E725" s="14">
        <v>29.95</v>
      </c>
      <c r="F725" s="4"/>
    </row>
    <row r="726" hidden="1">
      <c r="A726" s="52">
        <v>46146.0</v>
      </c>
      <c r="B726" s="55" t="s">
        <v>1261</v>
      </c>
      <c r="C726" s="29" t="s">
        <v>9</v>
      </c>
      <c r="D726" s="29" t="s">
        <v>1087</v>
      </c>
      <c r="E726" s="14">
        <v>30.95</v>
      </c>
      <c r="F726" s="4"/>
    </row>
    <row r="727" hidden="1">
      <c r="A727" s="52">
        <v>46146.0</v>
      </c>
      <c r="B727" s="55" t="s">
        <v>1263</v>
      </c>
      <c r="C727" s="29" t="s">
        <v>9</v>
      </c>
      <c r="D727" s="29" t="s">
        <v>1087</v>
      </c>
      <c r="E727" s="14">
        <v>22.95</v>
      </c>
      <c r="F727" s="4"/>
    </row>
    <row r="728" hidden="1">
      <c r="A728" s="52">
        <v>46146.0</v>
      </c>
      <c r="B728" s="55" t="s">
        <v>1265</v>
      </c>
      <c r="C728" s="29" t="s">
        <v>9</v>
      </c>
      <c r="D728" s="29" t="s">
        <v>1087</v>
      </c>
      <c r="E728" s="14">
        <v>50.95</v>
      </c>
      <c r="F728" s="4"/>
    </row>
    <row r="729" hidden="1">
      <c r="A729" s="52">
        <v>46146.0</v>
      </c>
      <c r="B729" s="55" t="s">
        <v>523</v>
      </c>
      <c r="C729" s="29" t="s">
        <v>9</v>
      </c>
      <c r="D729" s="29" t="s">
        <v>1087</v>
      </c>
      <c r="E729" s="14">
        <v>69.95</v>
      </c>
      <c r="F729" s="4"/>
    </row>
    <row r="730" hidden="1">
      <c r="A730" s="52">
        <v>46146.0</v>
      </c>
      <c r="B730" s="55" t="s">
        <v>1266</v>
      </c>
      <c r="C730" s="29" t="s">
        <v>9</v>
      </c>
      <c r="D730" s="29" t="s">
        <v>1087</v>
      </c>
      <c r="E730" s="14">
        <v>35.95</v>
      </c>
      <c r="F730" s="4"/>
    </row>
    <row r="731" hidden="1">
      <c r="A731" s="52">
        <v>46146.0</v>
      </c>
      <c r="B731" s="55" t="s">
        <v>1267</v>
      </c>
      <c r="C731" s="29" t="s">
        <v>9</v>
      </c>
      <c r="D731" s="29" t="s">
        <v>1087</v>
      </c>
      <c r="E731" s="14">
        <v>20.95</v>
      </c>
      <c r="F731" s="4"/>
    </row>
    <row r="732" hidden="1">
      <c r="A732" s="52">
        <v>46146.0</v>
      </c>
      <c r="B732" s="55" t="s">
        <v>1268</v>
      </c>
      <c r="C732" s="29" t="s">
        <v>9</v>
      </c>
      <c r="D732" s="29" t="s">
        <v>1087</v>
      </c>
      <c r="E732" s="14">
        <v>21.95</v>
      </c>
      <c r="F732" s="4"/>
    </row>
    <row r="733" hidden="1">
      <c r="A733" s="52">
        <v>46146.0</v>
      </c>
      <c r="B733" s="55" t="s">
        <v>127</v>
      </c>
      <c r="C733" s="29" t="s">
        <v>9</v>
      </c>
      <c r="D733" s="29" t="s">
        <v>1087</v>
      </c>
      <c r="E733" s="14">
        <v>20.95</v>
      </c>
      <c r="F733" s="4"/>
    </row>
    <row r="734" hidden="1">
      <c r="A734" s="52">
        <v>46146.0</v>
      </c>
      <c r="B734" s="55" t="s">
        <v>148</v>
      </c>
      <c r="C734" s="29" t="s">
        <v>9</v>
      </c>
      <c r="D734" s="29" t="s">
        <v>1087</v>
      </c>
      <c r="E734" s="14">
        <v>20.95</v>
      </c>
      <c r="F734" s="4"/>
    </row>
    <row r="735" hidden="1">
      <c r="A735" s="52">
        <v>46146.0</v>
      </c>
      <c r="B735" s="55" t="s">
        <v>197</v>
      </c>
      <c r="C735" s="29" t="s">
        <v>9</v>
      </c>
      <c r="D735" s="29" t="s">
        <v>1087</v>
      </c>
      <c r="E735" s="14">
        <v>20.95</v>
      </c>
      <c r="F735" s="4"/>
    </row>
    <row r="736" hidden="1">
      <c r="A736" s="52">
        <v>46146.0</v>
      </c>
      <c r="B736" s="55" t="s">
        <v>153</v>
      </c>
      <c r="C736" s="29" t="s">
        <v>9</v>
      </c>
      <c r="D736" s="29" t="s">
        <v>1087</v>
      </c>
      <c r="E736" s="14">
        <v>20.95</v>
      </c>
      <c r="F736" s="4"/>
    </row>
    <row r="737" hidden="1">
      <c r="A737" s="21"/>
      <c r="B737" s="21"/>
      <c r="C737" s="23"/>
      <c r="D737" s="23"/>
      <c r="E737" s="24"/>
      <c r="F737" s="24"/>
    </row>
    <row r="738" hidden="1">
      <c r="A738" s="52">
        <v>46148.0</v>
      </c>
      <c r="B738" s="55" t="s">
        <v>405</v>
      </c>
      <c r="C738" s="29" t="s">
        <v>8</v>
      </c>
      <c r="D738" s="29" t="s">
        <v>1087</v>
      </c>
      <c r="E738" s="14">
        <v>52.95</v>
      </c>
      <c r="F738" s="4"/>
    </row>
    <row r="739" hidden="1">
      <c r="A739" s="52">
        <v>46148.0</v>
      </c>
      <c r="B739" s="55" t="s">
        <v>1269</v>
      </c>
      <c r="C739" s="29" t="s">
        <v>9</v>
      </c>
      <c r="D739" s="29" t="s">
        <v>1087</v>
      </c>
      <c r="E739" s="14">
        <v>15.95</v>
      </c>
      <c r="F739" s="4"/>
    </row>
    <row r="740" hidden="1">
      <c r="A740" s="52">
        <v>46148.0</v>
      </c>
      <c r="B740" s="55" t="s">
        <v>595</v>
      </c>
      <c r="C740" s="29" t="s">
        <v>9</v>
      </c>
      <c r="D740" s="29" t="s">
        <v>1087</v>
      </c>
      <c r="E740" s="14">
        <v>10.95</v>
      </c>
      <c r="F740" s="4"/>
    </row>
    <row r="741" hidden="1">
      <c r="A741" s="52">
        <v>46148.0</v>
      </c>
      <c r="B741" s="55" t="s">
        <v>1271</v>
      </c>
      <c r="C741" s="29" t="s">
        <v>9</v>
      </c>
      <c r="D741" s="29" t="s">
        <v>1087</v>
      </c>
      <c r="E741" s="14">
        <v>10.95</v>
      </c>
      <c r="F741" s="12">
        <v>2.0</v>
      </c>
    </row>
    <row r="742" hidden="1">
      <c r="A742" s="52">
        <v>46148.0</v>
      </c>
      <c r="B742" s="55" t="s">
        <v>1272</v>
      </c>
      <c r="C742" s="29" t="s">
        <v>9</v>
      </c>
      <c r="D742" s="29" t="s">
        <v>1087</v>
      </c>
      <c r="E742" s="14">
        <v>45.95</v>
      </c>
      <c r="F742" s="4"/>
    </row>
    <row r="743" hidden="1">
      <c r="A743" s="52">
        <v>46148.0</v>
      </c>
      <c r="B743" s="55" t="s">
        <v>1274</v>
      </c>
      <c r="C743" s="29" t="s">
        <v>9</v>
      </c>
      <c r="D743" s="29" t="s">
        <v>1087</v>
      </c>
      <c r="E743" s="14">
        <v>10.95</v>
      </c>
      <c r="F743" s="4"/>
    </row>
    <row r="744" hidden="1">
      <c r="A744" s="52">
        <v>46148.0</v>
      </c>
      <c r="B744" s="55" t="s">
        <v>1275</v>
      </c>
      <c r="C744" s="29" t="s">
        <v>9</v>
      </c>
      <c r="D744" s="29" t="s">
        <v>1087</v>
      </c>
      <c r="E744" s="14">
        <v>50.95</v>
      </c>
      <c r="F744" s="4"/>
    </row>
    <row r="745" hidden="1">
      <c r="A745" s="52">
        <v>46148.0</v>
      </c>
      <c r="B745" s="55" t="s">
        <v>1124</v>
      </c>
      <c r="C745" s="29" t="s">
        <v>9</v>
      </c>
      <c r="D745" s="29" t="s">
        <v>1087</v>
      </c>
      <c r="E745" s="14">
        <v>40.95</v>
      </c>
      <c r="F745" s="4"/>
    </row>
    <row r="746" hidden="1">
      <c r="A746" s="52">
        <v>46148.0</v>
      </c>
      <c r="B746" s="55" t="s">
        <v>1119</v>
      </c>
      <c r="C746" s="29" t="s">
        <v>9</v>
      </c>
      <c r="D746" s="29" t="s">
        <v>1087</v>
      </c>
      <c r="E746" s="14">
        <v>65.95</v>
      </c>
      <c r="F746" s="4"/>
    </row>
    <row r="747" hidden="1">
      <c r="A747" s="52">
        <v>46148.0</v>
      </c>
      <c r="B747" s="55" t="s">
        <v>1276</v>
      </c>
      <c r="C747" s="29" t="s">
        <v>9</v>
      </c>
      <c r="D747" s="29" t="s">
        <v>1087</v>
      </c>
      <c r="E747" s="14">
        <v>40.95</v>
      </c>
      <c r="F747" s="4"/>
    </row>
    <row r="748" hidden="1">
      <c r="A748" s="52">
        <v>46148.0</v>
      </c>
      <c r="B748" s="55" t="s">
        <v>948</v>
      </c>
      <c r="C748" s="29" t="s">
        <v>9</v>
      </c>
      <c r="D748" s="29" t="s">
        <v>1087</v>
      </c>
      <c r="E748" s="14">
        <v>80.95</v>
      </c>
      <c r="F748" s="4"/>
    </row>
    <row r="749" hidden="1">
      <c r="A749" s="52">
        <v>46148.0</v>
      </c>
      <c r="B749" s="55" t="s">
        <v>1277</v>
      </c>
      <c r="C749" s="29" t="s">
        <v>9</v>
      </c>
      <c r="D749" s="29" t="s">
        <v>1087</v>
      </c>
      <c r="E749" s="14">
        <v>70.95</v>
      </c>
      <c r="F749" s="4"/>
    </row>
    <row r="750" hidden="1">
      <c r="A750" s="52">
        <v>46148.0</v>
      </c>
      <c r="B750" s="55" t="s">
        <v>1278</v>
      </c>
      <c r="C750" s="29" t="s">
        <v>9</v>
      </c>
      <c r="D750" s="29" t="s">
        <v>1087</v>
      </c>
      <c r="E750" s="14">
        <v>116.95</v>
      </c>
      <c r="F750" s="4"/>
    </row>
    <row r="751" hidden="1">
      <c r="A751" s="52">
        <v>46148.0</v>
      </c>
      <c r="B751" s="55" t="s">
        <v>1280</v>
      </c>
      <c r="C751" s="29" t="s">
        <v>9</v>
      </c>
      <c r="D751" s="29" t="s">
        <v>1087</v>
      </c>
      <c r="E751" s="14">
        <v>130.95</v>
      </c>
      <c r="F751" s="4"/>
    </row>
    <row r="752" hidden="1">
      <c r="A752" s="52">
        <v>46148.0</v>
      </c>
      <c r="B752" s="55" t="s">
        <v>1281</v>
      </c>
      <c r="C752" s="29" t="s">
        <v>9</v>
      </c>
      <c r="D752" s="29" t="s">
        <v>1087</v>
      </c>
      <c r="E752" s="14">
        <v>220.95</v>
      </c>
      <c r="F752" s="4"/>
    </row>
    <row r="753" hidden="1">
      <c r="A753" s="52">
        <v>46148.0</v>
      </c>
      <c r="B753" s="55" t="s">
        <v>1283</v>
      </c>
      <c r="C753" s="29" t="s">
        <v>9</v>
      </c>
      <c r="D753" s="29" t="s">
        <v>1087</v>
      </c>
      <c r="E753" s="14">
        <v>80.95</v>
      </c>
      <c r="F753" s="4"/>
    </row>
    <row r="754" hidden="1">
      <c r="A754" s="52">
        <v>46148.0</v>
      </c>
      <c r="B754" s="55" t="s">
        <v>1285</v>
      </c>
      <c r="C754" s="29" t="s">
        <v>9</v>
      </c>
      <c r="D754" s="29" t="s">
        <v>1087</v>
      </c>
      <c r="E754" s="14">
        <v>10.95</v>
      </c>
      <c r="F754" s="4"/>
    </row>
    <row r="755" hidden="1">
      <c r="A755" s="52">
        <v>46148.0</v>
      </c>
      <c r="B755" s="55" t="s">
        <v>1286</v>
      </c>
      <c r="C755" s="29" t="s">
        <v>9</v>
      </c>
      <c r="D755" s="29" t="s">
        <v>1087</v>
      </c>
      <c r="E755" s="14">
        <v>125.95</v>
      </c>
      <c r="F755" s="4"/>
    </row>
    <row r="756" hidden="1">
      <c r="A756" s="52">
        <v>46148.0</v>
      </c>
      <c r="B756" s="55" t="s">
        <v>466</v>
      </c>
      <c r="C756" s="29" t="s">
        <v>8</v>
      </c>
      <c r="D756" s="29" t="s">
        <v>1087</v>
      </c>
      <c r="E756" s="14">
        <v>5.95</v>
      </c>
      <c r="F756" s="4"/>
    </row>
    <row r="757" hidden="1">
      <c r="A757" s="52">
        <v>46148.0</v>
      </c>
      <c r="B757" s="55" t="s">
        <v>1022</v>
      </c>
      <c r="C757" s="29" t="s">
        <v>9</v>
      </c>
      <c r="D757" s="29" t="s">
        <v>1087</v>
      </c>
      <c r="E757" s="14">
        <v>70.95</v>
      </c>
      <c r="F757" s="4"/>
    </row>
    <row r="758" hidden="1">
      <c r="A758" s="52">
        <v>46148.0</v>
      </c>
      <c r="B758" s="55" t="s">
        <v>1288</v>
      </c>
      <c r="C758" s="29" t="s">
        <v>9</v>
      </c>
      <c r="D758" s="29" t="s">
        <v>1087</v>
      </c>
      <c r="E758" s="14">
        <v>20.95</v>
      </c>
      <c r="F758" s="4"/>
    </row>
    <row r="759" hidden="1">
      <c r="A759" s="52">
        <v>46148.0</v>
      </c>
      <c r="B759" s="55" t="s">
        <v>1289</v>
      </c>
      <c r="C759" s="29" t="s">
        <v>9</v>
      </c>
      <c r="D759" s="29" t="s">
        <v>1087</v>
      </c>
      <c r="E759" s="14">
        <v>70.95</v>
      </c>
      <c r="F759" s="4"/>
    </row>
    <row r="760" hidden="1">
      <c r="A760" s="52">
        <v>46148.0</v>
      </c>
      <c r="B760" s="55" t="s">
        <v>178</v>
      </c>
      <c r="C760" s="29" t="s">
        <v>8</v>
      </c>
      <c r="D760" s="29" t="s">
        <v>1087</v>
      </c>
      <c r="E760" s="14">
        <v>90.95</v>
      </c>
      <c r="F760" s="4"/>
    </row>
    <row r="761" hidden="1">
      <c r="A761" s="52">
        <v>46148.0</v>
      </c>
      <c r="B761" s="55" t="s">
        <v>1290</v>
      </c>
      <c r="C761" s="29" t="s">
        <v>9</v>
      </c>
      <c r="D761" s="29" t="s">
        <v>1087</v>
      </c>
      <c r="E761" s="14">
        <v>20.95</v>
      </c>
      <c r="F761" s="12">
        <v>3.0</v>
      </c>
    </row>
    <row r="762" hidden="1">
      <c r="A762" s="21"/>
      <c r="B762" s="21"/>
      <c r="C762" s="23"/>
      <c r="D762" s="23"/>
      <c r="E762" s="24"/>
      <c r="F762" s="24"/>
    </row>
    <row r="763" hidden="1">
      <c r="A763" s="52">
        <v>46149.0</v>
      </c>
      <c r="B763" s="55" t="s">
        <v>1291</v>
      </c>
      <c r="C763" s="29" t="s">
        <v>9</v>
      </c>
      <c r="D763" s="29" t="s">
        <v>1087</v>
      </c>
      <c r="E763" s="14">
        <v>45.95</v>
      </c>
      <c r="F763" s="4"/>
    </row>
    <row r="764" hidden="1">
      <c r="A764" s="52">
        <v>46149.0</v>
      </c>
      <c r="B764" s="55" t="s">
        <v>1292</v>
      </c>
      <c r="C764" s="29" t="s">
        <v>9</v>
      </c>
      <c r="D764" s="29" t="s">
        <v>1087</v>
      </c>
      <c r="E764" s="14">
        <v>7.95</v>
      </c>
      <c r="F764" s="4"/>
    </row>
    <row r="765" hidden="1">
      <c r="A765" s="52">
        <v>46149.0</v>
      </c>
      <c r="B765" s="55" t="s">
        <v>1294</v>
      </c>
      <c r="C765" s="29" t="s">
        <v>9</v>
      </c>
      <c r="D765" s="29" t="s">
        <v>1087</v>
      </c>
      <c r="E765" s="14">
        <v>15.95</v>
      </c>
      <c r="F765" s="4"/>
    </row>
    <row r="766" hidden="1">
      <c r="A766" s="52">
        <v>46149.0</v>
      </c>
      <c r="B766" s="55" t="s">
        <v>1296</v>
      </c>
      <c r="C766" s="29" t="s">
        <v>9</v>
      </c>
      <c r="D766" s="29" t="s">
        <v>1087</v>
      </c>
      <c r="E766" s="14">
        <v>27.95</v>
      </c>
      <c r="F766" s="4"/>
    </row>
    <row r="767" hidden="1">
      <c r="A767" s="52">
        <v>46149.0</v>
      </c>
      <c r="B767" s="55" t="s">
        <v>1297</v>
      </c>
      <c r="C767" s="29" t="s">
        <v>9</v>
      </c>
      <c r="D767" s="29" t="s">
        <v>1087</v>
      </c>
      <c r="E767" s="14">
        <v>20.95</v>
      </c>
      <c r="F767" s="4"/>
    </row>
    <row r="768" hidden="1">
      <c r="A768" s="52">
        <v>46149.0</v>
      </c>
      <c r="B768" s="55" t="s">
        <v>1285</v>
      </c>
      <c r="C768" s="29" t="s">
        <v>9</v>
      </c>
      <c r="D768" s="29" t="s">
        <v>1087</v>
      </c>
      <c r="E768" s="14">
        <v>10.95</v>
      </c>
      <c r="F768" s="12">
        <v>2.0</v>
      </c>
    </row>
    <row r="769" hidden="1">
      <c r="A769" s="52">
        <v>46149.0</v>
      </c>
      <c r="B769" s="55" t="s">
        <v>1298</v>
      </c>
      <c r="C769" s="29" t="s">
        <v>9</v>
      </c>
      <c r="D769" s="29" t="s">
        <v>1087</v>
      </c>
      <c r="E769" s="14">
        <v>54.95</v>
      </c>
      <c r="F769" s="4"/>
    </row>
    <row r="770" hidden="1">
      <c r="A770" s="52">
        <v>46149.0</v>
      </c>
      <c r="B770" s="55" t="s">
        <v>1299</v>
      </c>
      <c r="C770" s="29" t="s">
        <v>9</v>
      </c>
      <c r="D770" s="29" t="s">
        <v>1087</v>
      </c>
      <c r="E770" s="14">
        <v>42.95</v>
      </c>
      <c r="F770" s="4"/>
    </row>
    <row r="771" hidden="1">
      <c r="A771" s="52">
        <v>46149.0</v>
      </c>
      <c r="B771" s="55" t="s">
        <v>1300</v>
      </c>
      <c r="C771" s="29" t="s">
        <v>9</v>
      </c>
      <c r="D771" s="29" t="s">
        <v>1087</v>
      </c>
      <c r="E771" s="14">
        <v>6.95</v>
      </c>
      <c r="F771" s="12">
        <v>4.0</v>
      </c>
    </row>
    <row r="772" hidden="1">
      <c r="A772" s="52">
        <v>46149.0</v>
      </c>
      <c r="B772" s="55" t="s">
        <v>1301</v>
      </c>
      <c r="C772" s="29" t="s">
        <v>9</v>
      </c>
      <c r="D772" s="29" t="s">
        <v>1087</v>
      </c>
      <c r="E772" s="14">
        <v>75.95</v>
      </c>
      <c r="F772" s="4"/>
    </row>
    <row r="773" hidden="1">
      <c r="A773" s="52">
        <v>46149.0</v>
      </c>
      <c r="B773" s="55" t="s">
        <v>1124</v>
      </c>
      <c r="C773" s="29" t="s">
        <v>9</v>
      </c>
      <c r="D773" s="29" t="s">
        <v>1087</v>
      </c>
      <c r="E773" s="14">
        <v>40.95</v>
      </c>
      <c r="F773" s="12">
        <v>2.0</v>
      </c>
    </row>
    <row r="774" hidden="1">
      <c r="A774" s="52">
        <v>46149.0</v>
      </c>
      <c r="B774" s="55" t="s">
        <v>1302</v>
      </c>
      <c r="C774" s="29" t="s">
        <v>9</v>
      </c>
      <c r="D774" s="29" t="s">
        <v>1087</v>
      </c>
      <c r="E774" s="14">
        <v>50.95</v>
      </c>
      <c r="F774" s="4"/>
    </row>
    <row r="775" hidden="1">
      <c r="A775" s="52">
        <v>46149.0</v>
      </c>
      <c r="B775" s="55" t="s">
        <v>1303</v>
      </c>
      <c r="C775" s="29" t="s">
        <v>9</v>
      </c>
      <c r="D775" s="29" t="s">
        <v>1087</v>
      </c>
      <c r="E775" s="14">
        <v>50.95</v>
      </c>
      <c r="F775" s="4"/>
    </row>
    <row r="776" hidden="1">
      <c r="A776" s="52">
        <v>46149.0</v>
      </c>
      <c r="B776" s="55" t="s">
        <v>1304</v>
      </c>
      <c r="C776" s="29" t="s">
        <v>9</v>
      </c>
      <c r="D776" s="29" t="s">
        <v>1087</v>
      </c>
      <c r="E776" s="14">
        <v>36.95</v>
      </c>
      <c r="F776" s="4"/>
    </row>
    <row r="777" hidden="1">
      <c r="A777" s="52">
        <v>46149.0</v>
      </c>
      <c r="B777" s="55" t="s">
        <v>1307</v>
      </c>
      <c r="C777" s="29" t="s">
        <v>9</v>
      </c>
      <c r="D777" s="29" t="s">
        <v>1087</v>
      </c>
      <c r="E777" s="14">
        <v>20.95</v>
      </c>
      <c r="F777" s="4"/>
    </row>
    <row r="778" hidden="1">
      <c r="A778" s="52">
        <v>46149.0</v>
      </c>
      <c r="B778" s="55" t="s">
        <v>1308</v>
      </c>
      <c r="C778" s="29" t="s">
        <v>9</v>
      </c>
      <c r="D778" s="29" t="s">
        <v>1087</v>
      </c>
      <c r="E778" s="14">
        <v>9.95</v>
      </c>
      <c r="F778" s="4"/>
    </row>
    <row r="779" hidden="1">
      <c r="A779" s="52">
        <v>46149.0</v>
      </c>
      <c r="B779" s="55" t="s">
        <v>1309</v>
      </c>
      <c r="C779" s="29" t="s">
        <v>9</v>
      </c>
      <c r="D779" s="29" t="s">
        <v>1087</v>
      </c>
      <c r="E779" s="14">
        <v>15.95</v>
      </c>
      <c r="F779" s="4"/>
    </row>
    <row r="780" hidden="1">
      <c r="A780" s="52">
        <v>46149.0</v>
      </c>
      <c r="B780" s="55" t="s">
        <v>1311</v>
      </c>
      <c r="C780" s="29" t="s">
        <v>9</v>
      </c>
      <c r="D780" s="29" t="s">
        <v>1087</v>
      </c>
      <c r="E780" s="14">
        <v>39.95</v>
      </c>
      <c r="F780" s="4"/>
    </row>
    <row r="781" hidden="1">
      <c r="A781" s="52">
        <v>46149.0</v>
      </c>
      <c r="B781" s="55" t="s">
        <v>1312</v>
      </c>
      <c r="C781" s="29" t="s">
        <v>9</v>
      </c>
      <c r="D781" s="29" t="s">
        <v>1087</v>
      </c>
      <c r="E781" s="14">
        <v>15.95</v>
      </c>
      <c r="F781" s="4"/>
    </row>
    <row r="782" hidden="1">
      <c r="A782" s="52">
        <v>46149.0</v>
      </c>
      <c r="B782" s="55" t="s">
        <v>1313</v>
      </c>
      <c r="C782" s="29" t="s">
        <v>9</v>
      </c>
      <c r="D782" s="29" t="s">
        <v>1087</v>
      </c>
      <c r="E782" s="14">
        <v>105.95</v>
      </c>
      <c r="F782" s="4"/>
    </row>
    <row r="783" hidden="1">
      <c r="A783" s="52">
        <v>46149.0</v>
      </c>
      <c r="B783" s="55" t="s">
        <v>1314</v>
      </c>
      <c r="C783" s="29" t="s">
        <v>9</v>
      </c>
      <c r="D783" s="29" t="s">
        <v>1087</v>
      </c>
      <c r="E783" s="14">
        <v>10.95</v>
      </c>
      <c r="F783" s="4"/>
    </row>
    <row r="784" hidden="1">
      <c r="A784" s="52">
        <v>46149.0</v>
      </c>
      <c r="B784" s="55" t="s">
        <v>1316</v>
      </c>
      <c r="C784" s="29" t="s">
        <v>9</v>
      </c>
      <c r="D784" s="29" t="s">
        <v>1087</v>
      </c>
      <c r="E784" s="14">
        <v>60.95</v>
      </c>
      <c r="F784" s="4"/>
    </row>
    <row r="785" hidden="1">
      <c r="A785" s="52">
        <v>46149.0</v>
      </c>
      <c r="B785" s="55">
        <v>279827.0</v>
      </c>
      <c r="C785" s="29" t="s">
        <v>9</v>
      </c>
      <c r="D785" s="29" t="s">
        <v>1087</v>
      </c>
      <c r="E785" s="14">
        <v>65.95</v>
      </c>
      <c r="F785" s="4"/>
    </row>
    <row r="786" hidden="1">
      <c r="A786" s="52">
        <v>46149.0</v>
      </c>
      <c r="B786" s="55" t="s">
        <v>660</v>
      </c>
      <c r="C786" s="29" t="s">
        <v>9</v>
      </c>
      <c r="D786" s="29" t="s">
        <v>1087</v>
      </c>
      <c r="E786" s="14">
        <v>10.95</v>
      </c>
      <c r="F786" s="4"/>
    </row>
    <row r="787" hidden="1">
      <c r="A787" s="52">
        <v>46149.0</v>
      </c>
      <c r="B787" s="55" t="s">
        <v>1318</v>
      </c>
      <c r="C787" s="29" t="s">
        <v>9</v>
      </c>
      <c r="D787" s="29" t="s">
        <v>1087</v>
      </c>
      <c r="E787" s="14">
        <v>20.95</v>
      </c>
      <c r="F787" s="4"/>
    </row>
    <row r="788" hidden="1">
      <c r="A788" s="52">
        <v>46149.0</v>
      </c>
      <c r="B788" s="55" t="s">
        <v>1320</v>
      </c>
      <c r="C788" s="29" t="s">
        <v>9</v>
      </c>
      <c r="D788" s="29" t="s">
        <v>1087</v>
      </c>
      <c r="E788" s="14">
        <v>50.95</v>
      </c>
      <c r="F788" s="4"/>
    </row>
    <row r="789" hidden="1">
      <c r="A789" s="21"/>
      <c r="B789" s="21"/>
      <c r="C789" s="23"/>
      <c r="D789" s="23"/>
      <c r="E789" s="24"/>
      <c r="F789" s="24"/>
    </row>
    <row r="790" hidden="1">
      <c r="A790" s="25">
        <v>46150.0</v>
      </c>
      <c r="B790" s="55" t="s">
        <v>1313</v>
      </c>
      <c r="C790" s="29" t="s">
        <v>9</v>
      </c>
      <c r="D790" s="29" t="s">
        <v>1087</v>
      </c>
      <c r="E790" s="14">
        <v>20.95</v>
      </c>
      <c r="F790" s="12">
        <v>2.0</v>
      </c>
    </row>
    <row r="791" hidden="1">
      <c r="A791" s="52">
        <v>46150.0</v>
      </c>
      <c r="B791" s="55" t="s">
        <v>1321</v>
      </c>
      <c r="C791" s="29" t="s">
        <v>9</v>
      </c>
      <c r="D791" s="29" t="s">
        <v>1087</v>
      </c>
      <c r="E791" s="14">
        <v>20.95</v>
      </c>
      <c r="F791" s="4"/>
    </row>
    <row r="792" hidden="1">
      <c r="A792" s="52">
        <v>46150.0</v>
      </c>
      <c r="B792" s="55" t="s">
        <v>1323</v>
      </c>
      <c r="C792" s="29" t="s">
        <v>9</v>
      </c>
      <c r="D792" s="29" t="s">
        <v>1087</v>
      </c>
      <c r="E792" s="14">
        <v>35.95</v>
      </c>
      <c r="F792" s="4"/>
    </row>
    <row r="793" hidden="1">
      <c r="A793" s="52">
        <v>46150.0</v>
      </c>
      <c r="B793" s="55">
        <v>1.7438200000522E13</v>
      </c>
      <c r="C793" s="29" t="s">
        <v>9</v>
      </c>
      <c r="D793" s="29" t="s">
        <v>1087</v>
      </c>
      <c r="E793" s="14">
        <v>100.95</v>
      </c>
      <c r="F793" s="4"/>
    </row>
    <row r="794" hidden="1">
      <c r="A794" s="52">
        <v>46150.0</v>
      </c>
      <c r="B794" s="55" t="s">
        <v>1325</v>
      </c>
      <c r="C794" s="29" t="s">
        <v>9</v>
      </c>
      <c r="D794" s="29" t="s">
        <v>1087</v>
      </c>
      <c r="E794" s="14">
        <v>60.95</v>
      </c>
      <c r="F794" s="4"/>
    </row>
    <row r="795" hidden="1">
      <c r="A795" s="52">
        <v>46150.0</v>
      </c>
      <c r="B795" s="55">
        <v>2.15346903E8</v>
      </c>
      <c r="C795" s="29" t="s">
        <v>9</v>
      </c>
      <c r="D795" s="29" t="s">
        <v>1087</v>
      </c>
      <c r="E795" s="14">
        <v>15.95</v>
      </c>
      <c r="F795" s="4"/>
    </row>
    <row r="796" hidden="1">
      <c r="A796" s="52">
        <v>46150.0</v>
      </c>
      <c r="B796" s="55" t="s">
        <v>1327</v>
      </c>
      <c r="C796" s="29" t="s">
        <v>9</v>
      </c>
      <c r="D796" s="29" t="s">
        <v>1087</v>
      </c>
      <c r="E796" s="14">
        <v>15.95</v>
      </c>
      <c r="F796" s="4"/>
    </row>
    <row r="797" hidden="1">
      <c r="A797" s="52">
        <v>46150.0</v>
      </c>
      <c r="B797" s="55" t="s">
        <v>1329</v>
      </c>
      <c r="C797" s="29" t="s">
        <v>9</v>
      </c>
      <c r="D797" s="29" t="s">
        <v>1087</v>
      </c>
      <c r="E797" s="14">
        <v>10.95</v>
      </c>
      <c r="F797" s="12">
        <v>3.0</v>
      </c>
    </row>
    <row r="798" hidden="1">
      <c r="A798" s="52">
        <v>46150.0</v>
      </c>
      <c r="B798" s="55" t="s">
        <v>1331</v>
      </c>
      <c r="C798" s="29" t="s">
        <v>9</v>
      </c>
      <c r="D798" s="29" t="s">
        <v>1087</v>
      </c>
      <c r="E798" s="14">
        <v>10.95</v>
      </c>
      <c r="F798" s="4"/>
    </row>
    <row r="799" hidden="1">
      <c r="A799" s="52">
        <v>46150.0</v>
      </c>
      <c r="B799" s="55" t="s">
        <v>1333</v>
      </c>
      <c r="C799" s="29" t="s">
        <v>9</v>
      </c>
      <c r="D799" s="29" t="s">
        <v>1087</v>
      </c>
      <c r="E799" s="14">
        <v>10.95</v>
      </c>
      <c r="F799" s="12">
        <v>2.0</v>
      </c>
    </row>
    <row r="800" hidden="1">
      <c r="A800" s="52">
        <v>46150.0</v>
      </c>
      <c r="B800" s="55" t="s">
        <v>1334</v>
      </c>
      <c r="C800" s="29" t="s">
        <v>9</v>
      </c>
      <c r="D800" s="29" t="s">
        <v>1087</v>
      </c>
      <c r="E800" s="14">
        <v>10.95</v>
      </c>
      <c r="F800" s="4"/>
    </row>
    <row r="801" hidden="1">
      <c r="A801" s="52">
        <v>46150.0</v>
      </c>
      <c r="B801" s="55" t="s">
        <v>1335</v>
      </c>
      <c r="C801" s="29" t="s">
        <v>9</v>
      </c>
      <c r="D801" s="29" t="s">
        <v>1087</v>
      </c>
      <c r="E801" s="14">
        <v>15.95</v>
      </c>
      <c r="F801" s="4"/>
    </row>
    <row r="802" hidden="1">
      <c r="A802" s="52">
        <v>46150.0</v>
      </c>
      <c r="B802" s="55" t="s">
        <v>1336</v>
      </c>
      <c r="C802" s="29" t="s">
        <v>9</v>
      </c>
      <c r="D802" s="29" t="s">
        <v>1087</v>
      </c>
      <c r="E802" s="14">
        <v>15.95</v>
      </c>
      <c r="F802" s="4"/>
    </row>
    <row r="803" hidden="1">
      <c r="A803" s="52">
        <v>46150.0</v>
      </c>
      <c r="B803" s="55">
        <v>1355795.0</v>
      </c>
      <c r="C803" s="29" t="s">
        <v>9</v>
      </c>
      <c r="D803" s="29" t="s">
        <v>1087</v>
      </c>
      <c r="E803" s="14">
        <v>75.95</v>
      </c>
      <c r="F803" s="4"/>
    </row>
    <row r="804" hidden="1">
      <c r="A804" s="52">
        <v>46150.0</v>
      </c>
      <c r="B804" s="55" t="s">
        <v>44</v>
      </c>
      <c r="C804" s="29" t="s">
        <v>9</v>
      </c>
      <c r="D804" s="29" t="s">
        <v>1087</v>
      </c>
      <c r="E804" s="14">
        <v>30.95</v>
      </c>
      <c r="F804" s="12">
        <v>2.0</v>
      </c>
    </row>
    <row r="805" hidden="1">
      <c r="A805" s="52">
        <v>46150.0</v>
      </c>
      <c r="B805" s="55">
        <v>5.303305677E9</v>
      </c>
      <c r="C805" s="29" t="s">
        <v>9</v>
      </c>
      <c r="D805" s="29" t="s">
        <v>1087</v>
      </c>
      <c r="E805" s="14">
        <v>10.95</v>
      </c>
      <c r="F805" s="12">
        <v>2.0</v>
      </c>
    </row>
    <row r="806" hidden="1">
      <c r="A806" s="52">
        <v>46150.0</v>
      </c>
      <c r="B806" s="55" t="s">
        <v>1338</v>
      </c>
      <c r="C806" s="29" t="s">
        <v>9</v>
      </c>
      <c r="D806" s="29" t="s">
        <v>1087</v>
      </c>
      <c r="E806" s="14">
        <v>20.95</v>
      </c>
      <c r="F806" s="12">
        <v>3.0</v>
      </c>
    </row>
    <row r="807" hidden="1">
      <c r="A807" s="52">
        <v>46150.0</v>
      </c>
      <c r="B807" s="55" t="s">
        <v>1339</v>
      </c>
      <c r="C807" s="29" t="s">
        <v>9</v>
      </c>
      <c r="D807" s="29" t="s">
        <v>1087</v>
      </c>
      <c r="E807" s="14">
        <v>10.95</v>
      </c>
      <c r="F807" s="12">
        <v>2.0</v>
      </c>
    </row>
    <row r="808" hidden="1">
      <c r="A808" s="52">
        <v>46150.0</v>
      </c>
      <c r="B808" s="55">
        <v>5.303918894E9</v>
      </c>
      <c r="C808" s="29" t="s">
        <v>9</v>
      </c>
      <c r="D808" s="29" t="s">
        <v>1087</v>
      </c>
      <c r="E808" s="14">
        <v>112.95</v>
      </c>
      <c r="F808" s="4"/>
    </row>
    <row r="809" hidden="1">
      <c r="A809" s="52">
        <v>46150.0</v>
      </c>
      <c r="B809" s="55" t="s">
        <v>133</v>
      </c>
      <c r="C809" s="29" t="s">
        <v>9</v>
      </c>
      <c r="D809" s="29" t="s">
        <v>1087</v>
      </c>
      <c r="E809" s="14">
        <v>190.95</v>
      </c>
      <c r="F809" s="4"/>
    </row>
    <row r="810" hidden="1">
      <c r="A810" s="52">
        <v>46150.0</v>
      </c>
      <c r="B810" s="55">
        <v>5.303918884E9</v>
      </c>
      <c r="C810" s="29" t="s">
        <v>9</v>
      </c>
      <c r="D810" s="29" t="s">
        <v>1087</v>
      </c>
      <c r="E810" s="14">
        <v>116.95</v>
      </c>
      <c r="F810" s="4"/>
    </row>
    <row r="811" hidden="1">
      <c r="A811" s="52">
        <v>46150.0</v>
      </c>
      <c r="B811" s="55">
        <v>5.304532451E9</v>
      </c>
      <c r="C811" s="29" t="s">
        <v>9</v>
      </c>
      <c r="D811" s="29" t="s">
        <v>1087</v>
      </c>
      <c r="E811" s="14">
        <v>60.95</v>
      </c>
      <c r="F811" s="12">
        <v>2.0</v>
      </c>
    </row>
    <row r="812" hidden="1">
      <c r="A812" s="52">
        <v>46150.0</v>
      </c>
      <c r="B812" s="55">
        <v>5.304532179E9</v>
      </c>
      <c r="C812" s="29" t="s">
        <v>9</v>
      </c>
      <c r="D812" s="29" t="s">
        <v>1087</v>
      </c>
      <c r="E812" s="14">
        <v>89.95</v>
      </c>
      <c r="F812" s="4"/>
    </row>
    <row r="813" hidden="1">
      <c r="A813" s="52">
        <v>46150.0</v>
      </c>
      <c r="B813" s="55">
        <v>5.304523062E9</v>
      </c>
      <c r="C813" s="29" t="s">
        <v>9</v>
      </c>
      <c r="D813" s="29" t="s">
        <v>1087</v>
      </c>
      <c r="E813" s="14">
        <v>175.95</v>
      </c>
      <c r="F813" s="4"/>
    </row>
    <row r="814" hidden="1">
      <c r="A814" s="52">
        <v>46150.0</v>
      </c>
      <c r="B814" s="55">
        <v>5.304530688E9</v>
      </c>
      <c r="C814" s="29" t="s">
        <v>9</v>
      </c>
      <c r="D814" s="29" t="s">
        <v>1087</v>
      </c>
      <c r="E814" s="14">
        <v>90.95</v>
      </c>
      <c r="F814" s="4"/>
    </row>
    <row r="815" hidden="1">
      <c r="A815" s="52">
        <v>46150.0</v>
      </c>
      <c r="B815" s="55" t="s">
        <v>1341</v>
      </c>
      <c r="C815" s="29" t="s">
        <v>9</v>
      </c>
      <c r="D815" s="29" t="s">
        <v>1087</v>
      </c>
      <c r="E815" s="14">
        <v>85.95</v>
      </c>
      <c r="F815" s="4"/>
    </row>
    <row r="816" hidden="1">
      <c r="A816" s="21"/>
      <c r="B816" s="21"/>
      <c r="C816" s="23"/>
      <c r="D816" s="23"/>
      <c r="E816" s="24"/>
      <c r="F816" s="24"/>
    </row>
    <row r="817" hidden="1">
      <c r="A817" s="25">
        <v>46155.0</v>
      </c>
      <c r="B817" s="55" t="s">
        <v>1342</v>
      </c>
      <c r="C817" s="29" t="s">
        <v>9</v>
      </c>
      <c r="D817" s="29" t="s">
        <v>1087</v>
      </c>
      <c r="E817" s="14">
        <v>25.95</v>
      </c>
      <c r="F817" s="12">
        <v>3.0</v>
      </c>
    </row>
    <row r="818" hidden="1">
      <c r="A818" s="52">
        <v>46155.0</v>
      </c>
      <c r="B818" s="55" t="s">
        <v>1344</v>
      </c>
      <c r="C818" s="29" t="s">
        <v>9</v>
      </c>
      <c r="D818" s="29" t="s">
        <v>1087</v>
      </c>
      <c r="E818" s="14">
        <v>56.95</v>
      </c>
      <c r="F818" s="12">
        <v>2.0</v>
      </c>
    </row>
    <row r="819" ht="16.5" hidden="1" customHeight="1">
      <c r="A819" s="52">
        <v>46155.0</v>
      </c>
      <c r="B819" s="55" t="s">
        <v>1345</v>
      </c>
      <c r="C819" s="29" t="s">
        <v>9</v>
      </c>
      <c r="D819" s="29" t="s">
        <v>1087</v>
      </c>
      <c r="E819" s="14">
        <v>60.95</v>
      </c>
      <c r="F819" s="4"/>
    </row>
    <row r="820" hidden="1">
      <c r="A820" s="52">
        <v>46155.0</v>
      </c>
      <c r="B820" s="55" t="s">
        <v>1341</v>
      </c>
      <c r="C820" s="29" t="s">
        <v>9</v>
      </c>
      <c r="D820" s="29" t="s">
        <v>1087</v>
      </c>
      <c r="E820" s="14">
        <v>85.95</v>
      </c>
      <c r="F820" s="12">
        <v>3.0</v>
      </c>
    </row>
    <row r="821" hidden="1">
      <c r="A821" s="52">
        <v>46155.0</v>
      </c>
      <c r="B821" s="55" t="s">
        <v>1347</v>
      </c>
      <c r="C821" s="29" t="s">
        <v>9</v>
      </c>
      <c r="D821" s="29" t="s">
        <v>1087</v>
      </c>
      <c r="E821" s="14">
        <v>60.95</v>
      </c>
      <c r="F821" s="4"/>
    </row>
    <row r="822" hidden="1">
      <c r="A822" s="52">
        <v>46155.0</v>
      </c>
      <c r="B822" s="55" t="s">
        <v>1348</v>
      </c>
      <c r="C822" s="29" t="s">
        <v>9</v>
      </c>
      <c r="D822" s="29" t="s">
        <v>1087</v>
      </c>
      <c r="E822" s="14">
        <v>45.95</v>
      </c>
      <c r="F822" s="4"/>
    </row>
    <row r="823" hidden="1">
      <c r="A823" s="52">
        <v>46155.0</v>
      </c>
      <c r="B823" s="55" t="s">
        <v>1350</v>
      </c>
      <c r="C823" s="29" t="s">
        <v>9</v>
      </c>
      <c r="D823" s="29" t="s">
        <v>1087</v>
      </c>
      <c r="E823" s="14">
        <v>40.95</v>
      </c>
      <c r="F823" s="4"/>
    </row>
    <row r="824" hidden="1">
      <c r="A824" s="52">
        <v>46155.0</v>
      </c>
      <c r="B824" s="55" t="s">
        <v>1351</v>
      </c>
      <c r="C824" s="29" t="s">
        <v>9</v>
      </c>
      <c r="D824" s="29" t="s">
        <v>1087</v>
      </c>
      <c r="E824" s="14">
        <v>60.95</v>
      </c>
      <c r="F824" s="4"/>
    </row>
    <row r="825" hidden="1">
      <c r="A825" s="52">
        <v>46155.0</v>
      </c>
      <c r="B825" s="55" t="s">
        <v>1353</v>
      </c>
      <c r="C825" s="29" t="s">
        <v>9</v>
      </c>
      <c r="D825" s="29" t="s">
        <v>1087</v>
      </c>
      <c r="E825" s="14">
        <v>60.95</v>
      </c>
      <c r="F825" s="4"/>
    </row>
    <row r="826" hidden="1">
      <c r="A826" s="52">
        <v>46155.0</v>
      </c>
      <c r="B826" s="55" t="s">
        <v>1354</v>
      </c>
      <c r="C826" s="29" t="s">
        <v>9</v>
      </c>
      <c r="D826" s="29" t="s">
        <v>1356</v>
      </c>
      <c r="E826" s="14">
        <v>89.78</v>
      </c>
      <c r="F826" s="4"/>
    </row>
    <row r="827" hidden="1">
      <c r="A827" s="52">
        <v>46155.0</v>
      </c>
      <c r="B827" s="55" t="s">
        <v>1357</v>
      </c>
      <c r="C827" s="29" t="s">
        <v>9</v>
      </c>
      <c r="D827" s="29" t="s">
        <v>1356</v>
      </c>
      <c r="E827" s="14">
        <v>15.78</v>
      </c>
      <c r="F827" s="4"/>
    </row>
    <row r="828" hidden="1">
      <c r="A828" s="52">
        <v>46155.0</v>
      </c>
      <c r="B828" s="55" t="s">
        <v>1358</v>
      </c>
      <c r="C828" s="29" t="s">
        <v>9</v>
      </c>
      <c r="D828" s="29" t="s">
        <v>1356</v>
      </c>
      <c r="E828" s="14">
        <v>10.78</v>
      </c>
      <c r="F828" s="12">
        <v>2.0</v>
      </c>
    </row>
    <row r="829" hidden="1">
      <c r="A829" s="52">
        <v>46155.0</v>
      </c>
      <c r="B829" s="55">
        <v>1.2238200000093E13</v>
      </c>
      <c r="C829" s="29" t="s">
        <v>9</v>
      </c>
      <c r="D829" s="29" t="s">
        <v>1356</v>
      </c>
      <c r="E829" s="14">
        <v>20.78</v>
      </c>
      <c r="F829" s="4"/>
    </row>
    <row r="830" hidden="1">
      <c r="A830" s="52">
        <v>46155.0</v>
      </c>
      <c r="B830" s="55">
        <v>1.375448E8</v>
      </c>
      <c r="C830" s="29" t="s">
        <v>9</v>
      </c>
      <c r="D830" s="29" t="s">
        <v>1356</v>
      </c>
      <c r="E830" s="14">
        <v>30.78</v>
      </c>
      <c r="F830" s="4"/>
    </row>
    <row r="831" hidden="1">
      <c r="A831" s="52">
        <v>46155.0</v>
      </c>
      <c r="B831" s="55">
        <v>2.18976443E8</v>
      </c>
      <c r="C831" s="29" t="s">
        <v>9</v>
      </c>
      <c r="D831" s="29" t="s">
        <v>1356</v>
      </c>
      <c r="E831" s="14">
        <v>10.78</v>
      </c>
      <c r="F831" s="4"/>
    </row>
    <row r="832" hidden="1">
      <c r="A832" s="52">
        <v>46155.0</v>
      </c>
      <c r="B832" s="55" t="s">
        <v>1359</v>
      </c>
      <c r="C832" s="29" t="s">
        <v>9</v>
      </c>
      <c r="D832" s="29" t="s">
        <v>1356</v>
      </c>
      <c r="E832" s="14">
        <v>53.78</v>
      </c>
      <c r="F832" s="4"/>
    </row>
    <row r="833" hidden="1">
      <c r="A833" s="52">
        <v>46155.0</v>
      </c>
      <c r="B833" s="55" t="s">
        <v>717</v>
      </c>
      <c r="C833" s="29" t="s">
        <v>9</v>
      </c>
      <c r="D833" s="29" t="s">
        <v>1356</v>
      </c>
      <c r="E833" s="14">
        <v>20.78</v>
      </c>
      <c r="F833" s="4"/>
    </row>
    <row r="834" hidden="1">
      <c r="A834" s="52">
        <v>46155.0</v>
      </c>
      <c r="B834" s="55" t="s">
        <v>1360</v>
      </c>
      <c r="C834" s="29" t="s">
        <v>9</v>
      </c>
      <c r="D834" s="29" t="s">
        <v>1356</v>
      </c>
      <c r="E834" s="14">
        <v>28.78</v>
      </c>
      <c r="F834" s="4"/>
    </row>
    <row r="835" hidden="1">
      <c r="A835" s="52">
        <v>46155.0</v>
      </c>
      <c r="B835" s="55" t="s">
        <v>1361</v>
      </c>
      <c r="C835" s="29" t="s">
        <v>9</v>
      </c>
      <c r="D835" s="29" t="s">
        <v>1356</v>
      </c>
      <c r="E835" s="14">
        <v>12.78</v>
      </c>
      <c r="F835" s="4"/>
    </row>
    <row r="836" hidden="1">
      <c r="A836" s="52">
        <v>46155.0</v>
      </c>
      <c r="B836" s="55" t="s">
        <v>144</v>
      </c>
      <c r="C836" s="29" t="s">
        <v>9</v>
      </c>
      <c r="D836" s="29" t="s">
        <v>1356</v>
      </c>
      <c r="E836" s="14">
        <v>20.78</v>
      </c>
      <c r="F836" s="4"/>
    </row>
    <row r="837" hidden="1">
      <c r="A837" s="52">
        <v>46155.0</v>
      </c>
      <c r="B837" s="55" t="s">
        <v>1362</v>
      </c>
      <c r="C837" s="29" t="s">
        <v>9</v>
      </c>
      <c r="D837" s="29" t="s">
        <v>1356</v>
      </c>
      <c r="E837" s="14">
        <v>7.78</v>
      </c>
      <c r="F837" s="12">
        <v>2.0</v>
      </c>
    </row>
    <row r="838" hidden="1">
      <c r="A838" s="52">
        <v>46155.0</v>
      </c>
      <c r="B838" s="55" t="s">
        <v>1363</v>
      </c>
      <c r="C838" s="29" t="s">
        <v>9</v>
      </c>
      <c r="D838" s="29" t="s">
        <v>1356</v>
      </c>
      <c r="E838" s="14">
        <v>20.78</v>
      </c>
      <c r="F838" s="4"/>
    </row>
    <row r="839" hidden="1">
      <c r="A839" s="52">
        <v>46155.0</v>
      </c>
      <c r="B839" s="55" t="s">
        <v>1364</v>
      </c>
      <c r="C839" s="29" t="s">
        <v>9</v>
      </c>
      <c r="D839" s="29" t="s">
        <v>1356</v>
      </c>
      <c r="E839" s="14">
        <v>19.78</v>
      </c>
      <c r="F839" s="4"/>
    </row>
    <row r="840" hidden="1">
      <c r="A840" s="52">
        <v>46155.0</v>
      </c>
      <c r="B840" s="55" t="s">
        <v>1365</v>
      </c>
      <c r="C840" s="29" t="s">
        <v>9</v>
      </c>
      <c r="D840" s="29" t="s">
        <v>1356</v>
      </c>
      <c r="E840" s="14">
        <v>40.78</v>
      </c>
      <c r="F840" s="4"/>
    </row>
    <row r="841" hidden="1">
      <c r="A841" s="52">
        <v>46155.0</v>
      </c>
      <c r="B841" s="55" t="s">
        <v>209</v>
      </c>
      <c r="C841" s="29" t="s">
        <v>9</v>
      </c>
      <c r="D841" s="29" t="s">
        <v>1356</v>
      </c>
      <c r="E841" s="14">
        <v>7.78</v>
      </c>
      <c r="F841" s="4"/>
    </row>
    <row r="842" hidden="1">
      <c r="A842" s="52">
        <v>46155.0</v>
      </c>
      <c r="B842" s="55" t="s">
        <v>1367</v>
      </c>
      <c r="C842" s="29" t="s">
        <v>9</v>
      </c>
      <c r="D842" s="29" t="s">
        <v>1356</v>
      </c>
      <c r="E842" s="14">
        <v>11.78</v>
      </c>
      <c r="F842" s="4"/>
    </row>
    <row r="843" hidden="1">
      <c r="A843" s="21"/>
      <c r="B843" s="21"/>
      <c r="C843" s="23"/>
      <c r="D843" s="23"/>
      <c r="E843" s="24"/>
      <c r="F843" s="24"/>
    </row>
    <row r="844" hidden="1">
      <c r="A844" s="52">
        <v>46161.0</v>
      </c>
      <c r="B844" s="55" t="s">
        <v>1368</v>
      </c>
      <c r="C844" s="29" t="s">
        <v>9</v>
      </c>
      <c r="D844" s="29" t="s">
        <v>1356</v>
      </c>
      <c r="E844" s="14">
        <v>20.78</v>
      </c>
      <c r="F844" s="4"/>
    </row>
    <row r="845" hidden="1">
      <c r="A845" s="52">
        <v>46161.0</v>
      </c>
      <c r="B845" s="55" t="s">
        <v>1369</v>
      </c>
      <c r="C845" s="29" t="s">
        <v>9</v>
      </c>
      <c r="D845" s="29" t="s">
        <v>1356</v>
      </c>
      <c r="E845" s="14">
        <v>86.78</v>
      </c>
      <c r="F845" s="4"/>
    </row>
    <row r="846" hidden="1">
      <c r="A846" s="52">
        <v>46161.0</v>
      </c>
      <c r="B846" s="55" t="s">
        <v>1371</v>
      </c>
      <c r="C846" s="29" t="s">
        <v>9</v>
      </c>
      <c r="D846" s="29" t="s">
        <v>1356</v>
      </c>
      <c r="E846" s="14">
        <v>11.78</v>
      </c>
      <c r="F846" s="4"/>
    </row>
    <row r="847" hidden="1">
      <c r="A847" s="52">
        <v>46161.0</v>
      </c>
      <c r="B847" s="55" t="s">
        <v>1372</v>
      </c>
      <c r="C847" s="29" t="s">
        <v>9</v>
      </c>
      <c r="D847" s="29" t="s">
        <v>1356</v>
      </c>
      <c r="E847" s="14">
        <v>59.78</v>
      </c>
      <c r="F847" s="4"/>
    </row>
    <row r="848" hidden="1">
      <c r="A848" s="52">
        <v>46161.0</v>
      </c>
      <c r="B848" s="55" t="s">
        <v>1373</v>
      </c>
      <c r="C848" s="29" t="s">
        <v>9</v>
      </c>
      <c r="D848" s="29" t="s">
        <v>1356</v>
      </c>
      <c r="E848" s="14">
        <v>189.78</v>
      </c>
      <c r="F848" s="4"/>
    </row>
    <row r="849" hidden="1">
      <c r="A849" s="52">
        <v>46161.0</v>
      </c>
      <c r="B849" s="55">
        <v>5.303918899E9</v>
      </c>
      <c r="C849" s="29" t="s">
        <v>9</v>
      </c>
      <c r="D849" s="29" t="s">
        <v>1356</v>
      </c>
      <c r="E849" s="14">
        <v>29.78</v>
      </c>
      <c r="F849" s="4"/>
    </row>
    <row r="850" hidden="1">
      <c r="A850" s="52">
        <v>46161.0</v>
      </c>
      <c r="B850" s="55" t="s">
        <v>1121</v>
      </c>
      <c r="C850" s="29" t="s">
        <v>9</v>
      </c>
      <c r="D850" s="29" t="s">
        <v>1356</v>
      </c>
      <c r="E850" s="14">
        <v>70.78</v>
      </c>
      <c r="F850" s="4"/>
    </row>
    <row r="851" hidden="1">
      <c r="A851" s="52">
        <v>46161.0</v>
      </c>
      <c r="B851" s="55" t="s">
        <v>1374</v>
      </c>
      <c r="C851" s="29" t="s">
        <v>9</v>
      </c>
      <c r="D851" s="29" t="s">
        <v>1356</v>
      </c>
      <c r="E851" s="14">
        <v>40.78</v>
      </c>
      <c r="F851" s="4"/>
    </row>
    <row r="852" hidden="1">
      <c r="A852" s="52">
        <v>46161.0</v>
      </c>
      <c r="B852" s="55" t="s">
        <v>1375</v>
      </c>
      <c r="C852" s="29" t="s">
        <v>9</v>
      </c>
      <c r="D852" s="29" t="s">
        <v>1356</v>
      </c>
      <c r="E852" s="14">
        <v>15.78</v>
      </c>
      <c r="F852" s="4"/>
    </row>
    <row r="853" hidden="1">
      <c r="A853" s="52">
        <v>46161.0</v>
      </c>
      <c r="B853" s="55" t="s">
        <v>1376</v>
      </c>
      <c r="C853" s="29" t="s">
        <v>9</v>
      </c>
      <c r="D853" s="29" t="s">
        <v>1356</v>
      </c>
      <c r="E853" s="14">
        <v>180.78</v>
      </c>
      <c r="F853" s="4"/>
    </row>
    <row r="854" hidden="1">
      <c r="A854" s="52">
        <v>46161.0</v>
      </c>
      <c r="B854" s="55" t="s">
        <v>1377</v>
      </c>
      <c r="C854" s="29" t="s">
        <v>9</v>
      </c>
      <c r="D854" s="29" t="s">
        <v>1356</v>
      </c>
      <c r="E854" s="14">
        <v>39.78</v>
      </c>
      <c r="F854" s="4"/>
    </row>
    <row r="855" hidden="1">
      <c r="A855" s="52">
        <v>46161.0</v>
      </c>
      <c r="B855" s="55" t="s">
        <v>1378</v>
      </c>
      <c r="C855" s="29" t="s">
        <v>9</v>
      </c>
      <c r="D855" s="29" t="s">
        <v>1356</v>
      </c>
      <c r="E855" s="14">
        <v>89.78</v>
      </c>
      <c r="F855" s="4"/>
    </row>
    <row r="856" hidden="1">
      <c r="A856" s="52">
        <v>46161.0</v>
      </c>
      <c r="B856" s="55" t="s">
        <v>730</v>
      </c>
      <c r="C856" s="29" t="s">
        <v>9</v>
      </c>
      <c r="D856" s="29" t="s">
        <v>1356</v>
      </c>
      <c r="E856" s="14">
        <v>89.78</v>
      </c>
      <c r="F856" s="4"/>
    </row>
    <row r="857" hidden="1">
      <c r="A857" s="52">
        <v>46161.0</v>
      </c>
      <c r="B857" s="55" t="s">
        <v>1379</v>
      </c>
      <c r="C857" s="29" t="s">
        <v>9</v>
      </c>
      <c r="D857" s="29" t="s">
        <v>1356</v>
      </c>
      <c r="E857" s="14">
        <v>109.78</v>
      </c>
      <c r="F857" s="4"/>
    </row>
    <row r="858" hidden="1">
      <c r="A858" s="52">
        <v>46161.0</v>
      </c>
      <c r="B858" s="55" t="s">
        <v>1380</v>
      </c>
      <c r="C858" s="29" t="s">
        <v>9</v>
      </c>
      <c r="D858" s="29" t="s">
        <v>1356</v>
      </c>
      <c r="E858" s="14">
        <v>10.78</v>
      </c>
      <c r="F858" s="12">
        <v>3.0</v>
      </c>
    </row>
    <row r="859" hidden="1">
      <c r="A859" s="52">
        <v>46161.0</v>
      </c>
      <c r="B859" s="55" t="s">
        <v>981</v>
      </c>
      <c r="C859" s="29" t="s">
        <v>9</v>
      </c>
      <c r="D859" s="29" t="s">
        <v>1356</v>
      </c>
      <c r="E859" s="14">
        <v>45.78</v>
      </c>
      <c r="F859" s="4"/>
    </row>
    <row r="860" hidden="1">
      <c r="A860" s="52">
        <v>46161.0</v>
      </c>
      <c r="B860" s="55" t="s">
        <v>1381</v>
      </c>
      <c r="C860" s="29" t="s">
        <v>9</v>
      </c>
      <c r="D860" s="29" t="s">
        <v>1356</v>
      </c>
      <c r="E860" s="14">
        <v>20.78</v>
      </c>
      <c r="F860" s="4"/>
    </row>
    <row r="861" hidden="1">
      <c r="A861" s="52">
        <v>46161.0</v>
      </c>
      <c r="B861" s="55" t="s">
        <v>1382</v>
      </c>
      <c r="C861" s="29" t="s">
        <v>9</v>
      </c>
      <c r="D861" s="29" t="s">
        <v>1356</v>
      </c>
      <c r="E861" s="14">
        <v>45.78</v>
      </c>
      <c r="F861" s="4"/>
    </row>
    <row r="862" hidden="1">
      <c r="A862" s="21"/>
      <c r="B862" s="21"/>
      <c r="C862" s="23"/>
      <c r="D862" s="23"/>
      <c r="E862" s="24"/>
      <c r="F862" s="24"/>
    </row>
    <row r="863">
      <c r="A863" s="52">
        <v>46163.0</v>
      </c>
      <c r="B863" s="55" t="s">
        <v>1383</v>
      </c>
      <c r="C863" s="29" t="s">
        <v>9</v>
      </c>
      <c r="D863" s="29" t="s">
        <v>1356</v>
      </c>
      <c r="E863" s="14">
        <v>14.78</v>
      </c>
      <c r="F863" s="4"/>
    </row>
    <row r="864">
      <c r="A864" s="52">
        <v>46163.0</v>
      </c>
      <c r="B864" s="55" t="s">
        <v>776</v>
      </c>
      <c r="C864" s="29" t="s">
        <v>8</v>
      </c>
      <c r="D864" s="29" t="s">
        <v>1356</v>
      </c>
      <c r="E864" s="14">
        <v>40.78</v>
      </c>
      <c r="F864" s="4"/>
    </row>
    <row r="865">
      <c r="A865" s="52">
        <v>46163.0</v>
      </c>
      <c r="B865" s="55">
        <v>1.7431000020123E13</v>
      </c>
      <c r="C865" s="29" t="s">
        <v>9</v>
      </c>
      <c r="D865" s="29" t="s">
        <v>1356</v>
      </c>
      <c r="E865" s="14">
        <v>89.78</v>
      </c>
      <c r="F865" s="4"/>
    </row>
    <row r="866">
      <c r="A866" s="52">
        <v>46163.0</v>
      </c>
      <c r="B866" s="55" t="s">
        <v>1384</v>
      </c>
      <c r="C866" s="29" t="s">
        <v>9</v>
      </c>
      <c r="D866" s="29" t="s">
        <v>1356</v>
      </c>
      <c r="E866" s="14">
        <v>14.78</v>
      </c>
      <c r="F866" s="4"/>
    </row>
    <row r="867">
      <c r="A867" s="52">
        <v>46163.0</v>
      </c>
      <c r="B867" s="55" t="s">
        <v>1385</v>
      </c>
      <c r="C867" s="29" t="s">
        <v>9</v>
      </c>
      <c r="D867" s="29" t="s">
        <v>1356</v>
      </c>
      <c r="E867" s="14">
        <v>110.78</v>
      </c>
      <c r="F867" s="4"/>
    </row>
    <row r="868">
      <c r="A868" s="52">
        <v>46163.0</v>
      </c>
      <c r="B868" s="55" t="s">
        <v>1386</v>
      </c>
      <c r="C868" s="29" t="s">
        <v>9</v>
      </c>
      <c r="D868" s="29" t="s">
        <v>1356</v>
      </c>
      <c r="E868" s="14">
        <v>50.78</v>
      </c>
      <c r="F868" s="4"/>
    </row>
    <row r="869">
      <c r="A869" s="52">
        <v>46163.0</v>
      </c>
      <c r="B869" s="55" t="s">
        <v>1387</v>
      </c>
      <c r="C869" s="29" t="s">
        <v>9</v>
      </c>
      <c r="D869" s="29" t="s">
        <v>1356</v>
      </c>
      <c r="E869" s="14">
        <v>25.78</v>
      </c>
      <c r="F869" s="4"/>
    </row>
    <row r="870">
      <c r="A870" s="52">
        <v>46163.0</v>
      </c>
      <c r="B870" s="55" t="s">
        <v>115</v>
      </c>
      <c r="C870" s="29" t="s">
        <v>9</v>
      </c>
      <c r="D870" s="29" t="s">
        <v>1356</v>
      </c>
      <c r="E870" s="14">
        <v>29.78</v>
      </c>
      <c r="F870" s="4"/>
    </row>
    <row r="871">
      <c r="A871" s="52">
        <v>46163.0</v>
      </c>
      <c r="B871" s="55">
        <v>5.304530878E9</v>
      </c>
      <c r="C871" s="29" t="s">
        <v>9</v>
      </c>
      <c r="D871" s="29" t="s">
        <v>1356</v>
      </c>
      <c r="E871" s="14">
        <v>70.78</v>
      </c>
      <c r="F871" s="4"/>
    </row>
    <row r="872">
      <c r="A872" s="52">
        <v>46163.0</v>
      </c>
      <c r="B872" s="55" t="s">
        <v>1389</v>
      </c>
      <c r="C872" s="29" t="s">
        <v>8</v>
      </c>
      <c r="D872" s="29" t="s">
        <v>1356</v>
      </c>
      <c r="E872" s="14">
        <v>178.78</v>
      </c>
      <c r="F872" s="4"/>
    </row>
    <row r="873">
      <c r="A873" s="52">
        <v>46163.0</v>
      </c>
      <c r="B873" s="55" t="s">
        <v>1390</v>
      </c>
      <c r="C873" s="29" t="s">
        <v>9</v>
      </c>
      <c r="D873" s="29" t="s">
        <v>1356</v>
      </c>
      <c r="E873" s="14">
        <v>186.78</v>
      </c>
      <c r="F873" s="4"/>
    </row>
    <row r="874">
      <c r="A874" s="52">
        <v>46163.0</v>
      </c>
      <c r="B874" s="55" t="s">
        <v>1391</v>
      </c>
      <c r="C874" s="29" t="s">
        <v>9</v>
      </c>
      <c r="D874" s="29" t="s">
        <v>1356</v>
      </c>
      <c r="E874" s="14">
        <v>115.78</v>
      </c>
      <c r="F874" s="4"/>
    </row>
    <row r="875">
      <c r="A875" s="52">
        <v>46163.0</v>
      </c>
      <c r="B875" s="55" t="s">
        <v>1392</v>
      </c>
      <c r="C875" s="29" t="s">
        <v>9</v>
      </c>
      <c r="D875" s="29" t="s">
        <v>1356</v>
      </c>
      <c r="E875" s="14">
        <v>199.78</v>
      </c>
      <c r="F875" s="4"/>
    </row>
    <row r="876">
      <c r="A876" s="52">
        <v>46163.0</v>
      </c>
      <c r="B876" s="55" t="s">
        <v>1393</v>
      </c>
      <c r="C876" s="29" t="s">
        <v>9</v>
      </c>
      <c r="D876" s="29" t="s">
        <v>1356</v>
      </c>
      <c r="E876" s="14">
        <v>50.78</v>
      </c>
      <c r="F876" s="4"/>
    </row>
    <row r="877">
      <c r="A877" s="52">
        <v>46163.0</v>
      </c>
      <c r="B877" s="55" t="s">
        <v>1394</v>
      </c>
      <c r="C877" s="29" t="s">
        <v>9</v>
      </c>
      <c r="D877" s="29" t="s">
        <v>1356</v>
      </c>
      <c r="E877" s="14">
        <v>93.78</v>
      </c>
      <c r="F877" s="4"/>
    </row>
    <row r="878">
      <c r="A878" s="52">
        <v>46163.0</v>
      </c>
      <c r="B878" s="55" t="s">
        <v>102</v>
      </c>
      <c r="C878" s="29" t="s">
        <v>9</v>
      </c>
      <c r="D878" s="29" t="s">
        <v>1356</v>
      </c>
      <c r="E878" s="14">
        <v>30.78</v>
      </c>
      <c r="F878" s="4"/>
    </row>
    <row r="879">
      <c r="A879" s="52">
        <v>46163.0</v>
      </c>
      <c r="B879" s="55" t="s">
        <v>1341</v>
      </c>
      <c r="C879" s="29" t="s">
        <v>9</v>
      </c>
      <c r="D879" s="29" t="s">
        <v>1356</v>
      </c>
      <c r="E879" s="14">
        <v>75.78</v>
      </c>
      <c r="F879" s="4"/>
    </row>
    <row r="880">
      <c r="A880" s="52">
        <v>46163.0</v>
      </c>
      <c r="B880" s="55" t="s">
        <v>880</v>
      </c>
      <c r="C880" s="29" t="s">
        <v>9</v>
      </c>
      <c r="D880" s="29" t="s">
        <v>1356</v>
      </c>
      <c r="E880" s="14">
        <v>65.78</v>
      </c>
      <c r="F880" s="4"/>
    </row>
    <row r="881">
      <c r="A881" s="52">
        <v>46163.0</v>
      </c>
      <c r="B881" s="55" t="s">
        <v>1395</v>
      </c>
      <c r="C881" s="29" t="s">
        <v>9</v>
      </c>
      <c r="D881" s="29" t="s">
        <v>1356</v>
      </c>
      <c r="E881" s="14">
        <v>30.78</v>
      </c>
      <c r="F881" s="4"/>
    </row>
    <row r="882">
      <c r="A882" s="52">
        <v>46163.0</v>
      </c>
      <c r="B882" s="55">
        <v>5.304530716E9</v>
      </c>
      <c r="C882" s="29" t="s">
        <v>9</v>
      </c>
      <c r="D882" s="29" t="s">
        <v>1356</v>
      </c>
      <c r="E882" s="14">
        <v>15.78</v>
      </c>
      <c r="F882" s="4"/>
    </row>
    <row r="883">
      <c r="A883" s="21"/>
      <c r="B883" s="21"/>
      <c r="C883" s="23"/>
      <c r="D883" s="23"/>
      <c r="E883" s="24"/>
      <c r="F883" s="24"/>
    </row>
    <row r="884">
      <c r="A884" s="52">
        <v>46169.0</v>
      </c>
      <c r="B884" s="55" t="s">
        <v>1396</v>
      </c>
      <c r="C884" s="29" t="s">
        <v>9</v>
      </c>
      <c r="D884" s="29" t="s">
        <v>1356</v>
      </c>
      <c r="E884" s="14">
        <v>159.78</v>
      </c>
      <c r="F884" s="4"/>
    </row>
    <row r="885">
      <c r="A885" s="52">
        <v>46169.0</v>
      </c>
      <c r="B885" s="55" t="s">
        <v>1397</v>
      </c>
      <c r="C885" s="29" t="s">
        <v>9</v>
      </c>
      <c r="D885" s="29" t="s">
        <v>1356</v>
      </c>
      <c r="E885" s="14">
        <v>189.78</v>
      </c>
      <c r="F885" s="4"/>
    </row>
    <row r="886">
      <c r="A886" s="52">
        <v>46169.0</v>
      </c>
      <c r="B886" s="55" t="s">
        <v>1398</v>
      </c>
      <c r="C886" s="29" t="s">
        <v>9</v>
      </c>
      <c r="D886" s="29" t="s">
        <v>1356</v>
      </c>
      <c r="E886" s="14">
        <v>80.78</v>
      </c>
      <c r="F886" s="4"/>
    </row>
    <row r="887">
      <c r="A887" s="52">
        <v>46169.0</v>
      </c>
      <c r="B887" s="55" t="s">
        <v>1399</v>
      </c>
      <c r="C887" s="29" t="s">
        <v>9</v>
      </c>
      <c r="D887" s="29" t="s">
        <v>1356</v>
      </c>
      <c r="E887" s="14">
        <v>529.78</v>
      </c>
      <c r="F887" s="4"/>
    </row>
    <row r="888">
      <c r="A888" s="52">
        <v>46169.0</v>
      </c>
      <c r="B888" s="55" t="s">
        <v>602</v>
      </c>
      <c r="C888" s="29" t="s">
        <v>8</v>
      </c>
      <c r="D888" s="29" t="s">
        <v>1356</v>
      </c>
      <c r="E888" s="14">
        <v>50.78</v>
      </c>
      <c r="F888" s="4"/>
    </row>
    <row r="889">
      <c r="A889" s="52">
        <v>46169.0</v>
      </c>
      <c r="B889" s="55" t="s">
        <v>1400</v>
      </c>
      <c r="C889" s="29" t="s">
        <v>8</v>
      </c>
      <c r="D889" s="29" t="s">
        <v>1356</v>
      </c>
      <c r="E889" s="14">
        <v>69.78</v>
      </c>
      <c r="F889" s="4"/>
    </row>
    <row r="890">
      <c r="A890" s="52">
        <v>46169.0</v>
      </c>
      <c r="B890" s="55" t="s">
        <v>1402</v>
      </c>
      <c r="C890" s="29" t="s">
        <v>9</v>
      </c>
      <c r="D890" s="29" t="s">
        <v>1356</v>
      </c>
      <c r="E890" s="14">
        <v>250.78</v>
      </c>
      <c r="F890" s="4"/>
    </row>
    <row r="891">
      <c r="A891" s="52">
        <v>46169.0</v>
      </c>
      <c r="B891" s="55" t="s">
        <v>1404</v>
      </c>
      <c r="C891" s="29" t="s">
        <v>9</v>
      </c>
      <c r="D891" s="29" t="s">
        <v>1356</v>
      </c>
      <c r="E891" s="14">
        <v>70.78</v>
      </c>
      <c r="F891" s="4"/>
    </row>
    <row r="892">
      <c r="A892" s="52">
        <v>46169.0</v>
      </c>
      <c r="B892" s="55" t="s">
        <v>1405</v>
      </c>
      <c r="C892" s="29" t="s">
        <v>9</v>
      </c>
      <c r="D892" s="29" t="s">
        <v>1356</v>
      </c>
      <c r="E892" s="14">
        <v>329.78</v>
      </c>
      <c r="F892" s="4"/>
    </row>
    <row r="893">
      <c r="A893" s="52">
        <v>46169.0</v>
      </c>
      <c r="B893" s="55" t="s">
        <v>1406</v>
      </c>
      <c r="C893" s="29" t="s">
        <v>9</v>
      </c>
      <c r="D893" s="29" t="s">
        <v>1356</v>
      </c>
      <c r="E893" s="14">
        <v>58.78</v>
      </c>
      <c r="F893" s="4"/>
    </row>
    <row r="894">
      <c r="A894" s="52">
        <v>46169.0</v>
      </c>
      <c r="B894" s="55" t="s">
        <v>1407</v>
      </c>
      <c r="C894" s="29" t="s">
        <v>9</v>
      </c>
      <c r="D894" s="29" t="s">
        <v>1356</v>
      </c>
      <c r="E894" s="14">
        <v>149.78</v>
      </c>
      <c r="F894" s="4"/>
    </row>
    <row r="895">
      <c r="A895" s="21"/>
      <c r="B895" s="21"/>
      <c r="C895" s="23"/>
      <c r="D895" s="23"/>
      <c r="E895" s="24"/>
      <c r="F895" s="24"/>
    </row>
    <row r="896">
      <c r="A896" s="52">
        <v>46170.0</v>
      </c>
      <c r="B896" s="55" t="s">
        <v>1409</v>
      </c>
      <c r="C896" s="29" t="s">
        <v>9</v>
      </c>
      <c r="D896" s="29" t="s">
        <v>1356</v>
      </c>
      <c r="E896" s="14">
        <v>120.78</v>
      </c>
      <c r="F896" s="4"/>
    </row>
    <row r="897">
      <c r="A897" s="52">
        <v>46170.0</v>
      </c>
      <c r="B897" s="55" t="s">
        <v>1411</v>
      </c>
      <c r="C897" s="29" t="s">
        <v>9</v>
      </c>
      <c r="D897" s="29" t="s">
        <v>1356</v>
      </c>
      <c r="E897" s="14">
        <v>189.78</v>
      </c>
      <c r="F897" s="4"/>
    </row>
    <row r="898">
      <c r="A898" s="52">
        <v>46170.0</v>
      </c>
      <c r="B898" s="55" t="s">
        <v>1413</v>
      </c>
      <c r="C898" s="29" t="s">
        <v>9</v>
      </c>
      <c r="D898" s="29" t="s">
        <v>1356</v>
      </c>
      <c r="E898" s="14">
        <v>356.78</v>
      </c>
      <c r="F898" s="4"/>
    </row>
    <row r="899">
      <c r="A899" s="52">
        <v>46170.0</v>
      </c>
      <c r="B899" s="55" t="s">
        <v>1414</v>
      </c>
      <c r="C899" s="29" t="s">
        <v>9</v>
      </c>
      <c r="D899" s="29" t="s">
        <v>1356</v>
      </c>
      <c r="E899" s="14">
        <v>356.78</v>
      </c>
      <c r="F899" s="4"/>
    </row>
    <row r="900">
      <c r="A900" s="52">
        <v>46170.0</v>
      </c>
      <c r="B900" s="55">
        <v>5.304505337E9</v>
      </c>
      <c r="C900" s="29" t="s">
        <v>9</v>
      </c>
      <c r="D900" s="29" t="s">
        <v>1356</v>
      </c>
      <c r="E900" s="14">
        <v>165.78</v>
      </c>
      <c r="F900" s="4"/>
    </row>
    <row r="901">
      <c r="A901" s="52">
        <v>46170.0</v>
      </c>
      <c r="B901" s="55" t="s">
        <v>1415</v>
      </c>
      <c r="C901" s="29" t="s">
        <v>9</v>
      </c>
      <c r="D901" s="29" t="s">
        <v>1356</v>
      </c>
      <c r="E901" s="14">
        <v>80.78</v>
      </c>
      <c r="F901" s="4"/>
    </row>
    <row r="902">
      <c r="A902" s="52">
        <v>46170.0</v>
      </c>
      <c r="B902" s="55" t="s">
        <v>1417</v>
      </c>
      <c r="C902" s="29" t="s">
        <v>9</v>
      </c>
      <c r="D902" s="29" t="s">
        <v>1356</v>
      </c>
      <c r="E902" s="14">
        <v>220.78</v>
      </c>
      <c r="F902" s="4"/>
    </row>
    <row r="903">
      <c r="A903" s="52">
        <v>46170.0</v>
      </c>
      <c r="B903" s="55" t="s">
        <v>1419</v>
      </c>
      <c r="C903" s="29" t="s">
        <v>9</v>
      </c>
      <c r="D903" s="29" t="s">
        <v>1356</v>
      </c>
      <c r="E903" s="14">
        <v>150.78</v>
      </c>
      <c r="F903" s="4"/>
    </row>
    <row r="904">
      <c r="A904" s="52">
        <v>46170.0</v>
      </c>
      <c r="B904" s="55" t="s">
        <v>1404</v>
      </c>
      <c r="C904" s="29" t="s">
        <v>9</v>
      </c>
      <c r="D904" s="29" t="s">
        <v>1356</v>
      </c>
      <c r="E904" s="14">
        <v>70.78</v>
      </c>
      <c r="F904" s="12">
        <v>2.0</v>
      </c>
    </row>
    <row r="905">
      <c r="A905" s="52">
        <v>46170.0</v>
      </c>
      <c r="B905" s="55" t="s">
        <v>1421</v>
      </c>
      <c r="C905" s="29" t="s">
        <v>9</v>
      </c>
      <c r="D905" s="29" t="s">
        <v>1356</v>
      </c>
      <c r="E905" s="14">
        <v>142.78</v>
      </c>
      <c r="F905" s="4"/>
    </row>
    <row r="906">
      <c r="A906" s="52">
        <v>46170.0</v>
      </c>
      <c r="B906" s="55" t="s">
        <v>1423</v>
      </c>
      <c r="C906" s="29" t="s">
        <v>9</v>
      </c>
      <c r="D906" s="29" t="s">
        <v>1356</v>
      </c>
      <c r="E906" s="14">
        <v>20.78</v>
      </c>
      <c r="F906" s="4"/>
    </row>
    <row r="907">
      <c r="A907" s="52">
        <v>46170.0</v>
      </c>
      <c r="B907" s="55">
        <v>5.7157202E9</v>
      </c>
      <c r="C907" s="29" t="s">
        <v>9</v>
      </c>
      <c r="D907" s="29" t="s">
        <v>1356</v>
      </c>
      <c r="E907" s="14">
        <v>129.78</v>
      </c>
      <c r="F907" s="4"/>
    </row>
    <row r="908">
      <c r="A908" s="52">
        <v>46170.0</v>
      </c>
      <c r="B908" s="55" t="s">
        <v>1424</v>
      </c>
      <c r="C908" s="29" t="s">
        <v>9</v>
      </c>
      <c r="D908" s="29" t="s">
        <v>1356</v>
      </c>
      <c r="E908" s="14">
        <v>20.78</v>
      </c>
      <c r="F908" s="4"/>
    </row>
    <row r="909">
      <c r="A909" s="52">
        <v>46170.0</v>
      </c>
      <c r="B909" s="55" t="s">
        <v>1425</v>
      </c>
      <c r="C909" s="29" t="s">
        <v>9</v>
      </c>
      <c r="D909" s="29" t="s">
        <v>1356</v>
      </c>
      <c r="E909" s="14">
        <v>60.78</v>
      </c>
      <c r="F909" s="4"/>
    </row>
    <row r="910">
      <c r="A910" s="52">
        <v>46170.0</v>
      </c>
      <c r="B910" s="55" t="s">
        <v>1426</v>
      </c>
      <c r="C910" s="29" t="s">
        <v>9</v>
      </c>
      <c r="D910" s="29" t="s">
        <v>1356</v>
      </c>
      <c r="E910" s="14">
        <v>89.78</v>
      </c>
      <c r="F910" s="4"/>
    </row>
    <row r="911">
      <c r="A911" s="52">
        <v>46170.0</v>
      </c>
      <c r="B911" s="55" t="s">
        <v>1428</v>
      </c>
      <c r="C911" s="29" t="s">
        <v>9</v>
      </c>
      <c r="D911" s="29" t="s">
        <v>1356</v>
      </c>
      <c r="E911" s="14">
        <v>89.78</v>
      </c>
      <c r="F911" s="12">
        <v>3.0</v>
      </c>
    </row>
    <row r="912">
      <c r="A912" s="52">
        <v>46170.0</v>
      </c>
      <c r="B912" s="55" t="s">
        <v>1430</v>
      </c>
      <c r="C912" s="29" t="s">
        <v>9</v>
      </c>
      <c r="D912" s="29" t="s">
        <v>1356</v>
      </c>
      <c r="E912" s="14">
        <v>89.78</v>
      </c>
      <c r="F912" s="4"/>
    </row>
    <row r="913">
      <c r="A913" s="21"/>
      <c r="B913" s="21"/>
      <c r="C913" s="23"/>
      <c r="D913" s="23"/>
      <c r="E913" s="24"/>
      <c r="F913" s="24"/>
    </row>
    <row r="914">
      <c r="A914" s="52">
        <v>46174.0</v>
      </c>
      <c r="B914" s="55" t="s">
        <v>1431</v>
      </c>
      <c r="C914" s="29" t="s">
        <v>9</v>
      </c>
      <c r="D914" s="29" t="s">
        <v>1356</v>
      </c>
      <c r="E914" s="14">
        <v>20.78</v>
      </c>
      <c r="F914" s="4"/>
    </row>
    <row r="915">
      <c r="A915" s="52">
        <v>46174.0</v>
      </c>
      <c r="B915" s="55" t="s">
        <v>14</v>
      </c>
      <c r="C915" s="29" t="s">
        <v>9</v>
      </c>
      <c r="D915" s="29" t="s">
        <v>1356</v>
      </c>
      <c r="E915" s="14">
        <v>55.78</v>
      </c>
      <c r="F915" s="4"/>
    </row>
    <row r="916">
      <c r="A916" s="52">
        <v>46174.0</v>
      </c>
      <c r="B916" s="55">
        <v>1.7431000020123E13</v>
      </c>
      <c r="C916" s="29" t="s">
        <v>9</v>
      </c>
      <c r="D916" s="29" t="s">
        <v>1356</v>
      </c>
      <c r="E916" s="14">
        <v>89.78</v>
      </c>
      <c r="F916" s="12">
        <v>2.0</v>
      </c>
    </row>
    <row r="917">
      <c r="A917" s="52">
        <v>46174.0</v>
      </c>
      <c r="B917" s="55" t="s">
        <v>1433</v>
      </c>
      <c r="C917" s="29" t="s">
        <v>9</v>
      </c>
      <c r="D917" s="29" t="s">
        <v>1356</v>
      </c>
      <c r="E917" s="14">
        <v>20.78</v>
      </c>
      <c r="F917" s="12">
        <v>2.0</v>
      </c>
    </row>
    <row r="918">
      <c r="A918" s="52">
        <v>46174.0</v>
      </c>
      <c r="B918" s="55" t="s">
        <v>1434</v>
      </c>
      <c r="C918" s="29" t="s">
        <v>9</v>
      </c>
      <c r="D918" s="29" t="s">
        <v>1356</v>
      </c>
      <c r="E918" s="14">
        <v>20.78</v>
      </c>
      <c r="F918" s="4"/>
    </row>
    <row r="919">
      <c r="A919" s="52">
        <v>46174.0</v>
      </c>
      <c r="B919" s="55" t="s">
        <v>1435</v>
      </c>
      <c r="C919" s="29" t="s">
        <v>9</v>
      </c>
      <c r="D919" s="29" t="s">
        <v>1356</v>
      </c>
      <c r="E919" s="14">
        <v>10.78</v>
      </c>
      <c r="F919" s="4"/>
    </row>
    <row r="920">
      <c r="A920" s="52">
        <v>46174.0</v>
      </c>
      <c r="B920" s="55" t="s">
        <v>1436</v>
      </c>
      <c r="C920" s="29" t="s">
        <v>9</v>
      </c>
      <c r="D920" s="29" t="s">
        <v>1356</v>
      </c>
      <c r="E920" s="14">
        <v>18.78</v>
      </c>
      <c r="F920" s="4"/>
    </row>
    <row r="921">
      <c r="A921" s="52">
        <v>46174.0</v>
      </c>
      <c r="B921" s="55" t="s">
        <v>447</v>
      </c>
      <c r="C921" s="29" t="s">
        <v>9</v>
      </c>
      <c r="D921" s="29" t="s">
        <v>1356</v>
      </c>
      <c r="E921" s="14">
        <v>18.78</v>
      </c>
      <c r="F921" s="12">
        <v>6.0</v>
      </c>
    </row>
    <row r="922">
      <c r="A922" s="52">
        <v>46174.0</v>
      </c>
      <c r="B922" s="55" t="s">
        <v>114</v>
      </c>
      <c r="C922" s="29" t="s">
        <v>9</v>
      </c>
      <c r="D922" s="29" t="s">
        <v>1356</v>
      </c>
      <c r="E922" s="14">
        <v>13.78</v>
      </c>
      <c r="F922" s="4"/>
    </row>
    <row r="923">
      <c r="A923" s="52">
        <v>46174.0</v>
      </c>
      <c r="B923" s="55" t="s">
        <v>1329</v>
      </c>
      <c r="C923" s="29" t="s">
        <v>9</v>
      </c>
      <c r="D923" s="29" t="s">
        <v>1356</v>
      </c>
      <c r="E923" s="14">
        <v>15.78</v>
      </c>
      <c r="F923" s="4"/>
    </row>
    <row r="924">
      <c r="A924" s="52">
        <v>46174.0</v>
      </c>
      <c r="B924" s="55" t="s">
        <v>1438</v>
      </c>
      <c r="C924" s="29" t="s">
        <v>9</v>
      </c>
      <c r="D924" s="29" t="s">
        <v>1356</v>
      </c>
      <c r="E924" s="14">
        <v>50.78</v>
      </c>
      <c r="F924" s="4"/>
    </row>
    <row r="925">
      <c r="A925" s="52">
        <v>46174.0</v>
      </c>
      <c r="B925" s="55" t="s">
        <v>1440</v>
      </c>
      <c r="C925" s="29" t="s">
        <v>9</v>
      </c>
      <c r="D925" s="29" t="s">
        <v>1356</v>
      </c>
      <c r="E925" s="14">
        <v>10.78</v>
      </c>
      <c r="F925" s="12">
        <v>3.0</v>
      </c>
    </row>
    <row r="926">
      <c r="A926" s="52">
        <v>46174.0</v>
      </c>
      <c r="B926" s="55" t="s">
        <v>1333</v>
      </c>
      <c r="C926" s="29" t="s">
        <v>9</v>
      </c>
      <c r="D926" s="29" t="s">
        <v>1356</v>
      </c>
      <c r="E926" s="14">
        <v>11.78</v>
      </c>
      <c r="F926" s="4"/>
    </row>
    <row r="927">
      <c r="A927" s="52">
        <v>46174.0</v>
      </c>
      <c r="B927" s="55" t="s">
        <v>273</v>
      </c>
      <c r="C927" s="29" t="s">
        <v>9</v>
      </c>
      <c r="D927" s="29" t="s">
        <v>1356</v>
      </c>
      <c r="E927" s="14">
        <v>15.78</v>
      </c>
      <c r="F927" s="12">
        <v>3.0</v>
      </c>
    </row>
    <row r="928">
      <c r="A928" s="52">
        <v>46174.0</v>
      </c>
      <c r="B928" s="55" t="s">
        <v>1442</v>
      </c>
      <c r="C928" s="29" t="s">
        <v>9</v>
      </c>
      <c r="D928" s="29" t="s">
        <v>1356</v>
      </c>
      <c r="E928" s="14">
        <v>20.78</v>
      </c>
      <c r="F928" s="4"/>
    </row>
    <row r="929">
      <c r="A929" s="52">
        <v>46174.0</v>
      </c>
      <c r="B929" s="55" t="s">
        <v>442</v>
      </c>
      <c r="C929" s="29" t="s">
        <v>9</v>
      </c>
      <c r="D929" s="29" t="s">
        <v>1356</v>
      </c>
      <c r="E929" s="14">
        <v>15.78</v>
      </c>
      <c r="F929" s="4"/>
    </row>
    <row r="930">
      <c r="A930" s="52">
        <v>46174.0</v>
      </c>
      <c r="B930" s="55" t="s">
        <v>1444</v>
      </c>
      <c r="C930" s="29" t="s">
        <v>9</v>
      </c>
      <c r="D930" s="29" t="s">
        <v>1356</v>
      </c>
      <c r="E930" s="14">
        <v>20.78</v>
      </c>
      <c r="F930" s="4"/>
    </row>
    <row r="931">
      <c r="A931" s="52">
        <v>46174.0</v>
      </c>
      <c r="B931" s="55" t="s">
        <v>1336</v>
      </c>
      <c r="C931" s="29" t="s">
        <v>9</v>
      </c>
      <c r="D931" s="29" t="s">
        <v>1356</v>
      </c>
      <c r="E931" s="14">
        <v>15.78</v>
      </c>
      <c r="F931" s="4"/>
    </row>
    <row r="932">
      <c r="A932" s="52">
        <v>46174.0</v>
      </c>
      <c r="B932" s="55" t="s">
        <v>817</v>
      </c>
      <c r="C932" s="29" t="s">
        <v>9</v>
      </c>
      <c r="D932" s="29" t="s">
        <v>1356</v>
      </c>
      <c r="E932" s="14">
        <v>19.78</v>
      </c>
      <c r="F932" s="4"/>
    </row>
    <row r="933">
      <c r="A933" s="52">
        <v>46174.0</v>
      </c>
      <c r="B933" s="55" t="s">
        <v>281</v>
      </c>
      <c r="C933" s="29" t="s">
        <v>9</v>
      </c>
      <c r="D933" s="29" t="s">
        <v>1356</v>
      </c>
      <c r="E933" s="14">
        <v>19.78</v>
      </c>
      <c r="F933" s="4"/>
    </row>
    <row r="934">
      <c r="A934" s="52">
        <v>46174.0</v>
      </c>
      <c r="B934" s="55" t="s">
        <v>1447</v>
      </c>
      <c r="C934" s="29" t="s">
        <v>9</v>
      </c>
      <c r="D934" s="29" t="s">
        <v>1356</v>
      </c>
      <c r="E934" s="14">
        <v>20.78</v>
      </c>
      <c r="F934" s="4"/>
    </row>
    <row r="935">
      <c r="A935" s="52">
        <v>46174.0</v>
      </c>
      <c r="B935" s="55">
        <v>5.304505337E9</v>
      </c>
      <c r="C935" s="29" t="s">
        <v>9</v>
      </c>
      <c r="D935" s="29" t="s">
        <v>1356</v>
      </c>
      <c r="E935" s="14">
        <v>165.78</v>
      </c>
      <c r="F935" s="12">
        <v>2.0</v>
      </c>
    </row>
    <row r="936">
      <c r="A936" s="52">
        <v>46174.0</v>
      </c>
      <c r="B936" s="55" t="s">
        <v>1449</v>
      </c>
      <c r="C936" s="29" t="s">
        <v>9</v>
      </c>
      <c r="D936" s="29" t="s">
        <v>1356</v>
      </c>
      <c r="E936" s="14">
        <v>89.78</v>
      </c>
      <c r="F936" s="4"/>
    </row>
    <row r="937">
      <c r="A937" s="52">
        <v>46174.0</v>
      </c>
      <c r="B937" s="55" t="s">
        <v>1450</v>
      </c>
      <c r="C937" s="29" t="s">
        <v>9</v>
      </c>
      <c r="D937" s="29" t="s">
        <v>1356</v>
      </c>
      <c r="E937" s="14">
        <v>89.78</v>
      </c>
      <c r="F937" s="4"/>
    </row>
    <row r="938">
      <c r="A938" s="21"/>
      <c r="B938" s="21"/>
      <c r="C938" s="23"/>
      <c r="D938" s="23"/>
      <c r="E938" s="24"/>
      <c r="F938" s="24"/>
    </row>
    <row r="939">
      <c r="A939" s="52">
        <v>46176.0</v>
      </c>
      <c r="B939" s="55" t="s">
        <v>1452</v>
      </c>
      <c r="C939" s="29" t="s">
        <v>9</v>
      </c>
      <c r="D939" s="29" t="s">
        <v>1356</v>
      </c>
      <c r="E939" s="14">
        <v>186.78</v>
      </c>
      <c r="F939" s="4"/>
    </row>
    <row r="940">
      <c r="A940" s="52">
        <v>46176.0</v>
      </c>
      <c r="B940" s="55" t="s">
        <v>1454</v>
      </c>
      <c r="C940" s="29" t="s">
        <v>8</v>
      </c>
      <c r="D940" s="29" t="s">
        <v>1356</v>
      </c>
      <c r="E940" s="14">
        <v>70.78</v>
      </c>
      <c r="F940" s="4"/>
    </row>
    <row r="941">
      <c r="A941" s="52">
        <v>46176.0</v>
      </c>
      <c r="B941" s="55" t="s">
        <v>766</v>
      </c>
      <c r="C941" s="29" t="s">
        <v>8</v>
      </c>
      <c r="D941" s="29" t="s">
        <v>1356</v>
      </c>
      <c r="E941" s="14">
        <v>55.78</v>
      </c>
      <c r="F941" s="4"/>
    </row>
    <row r="942">
      <c r="A942" s="52">
        <v>46176.0</v>
      </c>
      <c r="B942" s="55" t="s">
        <v>85</v>
      </c>
      <c r="C942" s="29" t="s">
        <v>9</v>
      </c>
      <c r="D942" s="29" t="s">
        <v>1356</v>
      </c>
      <c r="E942" s="14">
        <v>99.78</v>
      </c>
      <c r="F942" s="4"/>
    </row>
    <row r="943">
      <c r="A943" s="52">
        <v>46176.0</v>
      </c>
      <c r="B943" s="55" t="s">
        <v>1457</v>
      </c>
      <c r="C943" s="29" t="s">
        <v>9</v>
      </c>
      <c r="D943" s="29" t="s">
        <v>1356</v>
      </c>
      <c r="E943" s="14">
        <v>20.78</v>
      </c>
      <c r="F943" s="4"/>
    </row>
    <row r="944">
      <c r="A944" s="52">
        <v>46176.0</v>
      </c>
      <c r="B944" s="55" t="s">
        <v>1459</v>
      </c>
      <c r="C944" s="29" t="s">
        <v>9</v>
      </c>
      <c r="D944" s="29" t="s">
        <v>1356</v>
      </c>
      <c r="E944" s="14">
        <v>29.78</v>
      </c>
      <c r="F944" s="4"/>
    </row>
    <row r="945">
      <c r="A945" s="52">
        <v>46176.0</v>
      </c>
      <c r="B945" s="55" t="s">
        <v>1460</v>
      </c>
      <c r="C945" s="29" t="s">
        <v>9</v>
      </c>
      <c r="D945" s="29" t="s">
        <v>1356</v>
      </c>
      <c r="E945" s="14">
        <v>55.78</v>
      </c>
      <c r="F945" s="4"/>
    </row>
    <row r="946">
      <c r="A946" s="52">
        <v>46176.0</v>
      </c>
      <c r="B946" s="55" t="s">
        <v>900</v>
      </c>
      <c r="C946" s="29" t="s">
        <v>9</v>
      </c>
      <c r="D946" s="29" t="s">
        <v>1356</v>
      </c>
      <c r="E946" s="14">
        <v>28.78</v>
      </c>
      <c r="F946" s="4"/>
    </row>
    <row r="947">
      <c r="A947" s="52">
        <v>46176.0</v>
      </c>
      <c r="B947" s="55" t="s">
        <v>1362</v>
      </c>
      <c r="C947" s="29" t="s">
        <v>9</v>
      </c>
      <c r="D947" s="29" t="s">
        <v>1356</v>
      </c>
      <c r="E947" s="14">
        <v>7.78</v>
      </c>
      <c r="F947" s="12">
        <v>2.0</v>
      </c>
    </row>
    <row r="948">
      <c r="A948" s="52">
        <v>46176.0</v>
      </c>
      <c r="B948" s="55" t="s">
        <v>1462</v>
      </c>
      <c r="C948" s="29" t="s">
        <v>9</v>
      </c>
      <c r="D948" s="29" t="s">
        <v>1356</v>
      </c>
      <c r="E948" s="14">
        <v>19.78</v>
      </c>
      <c r="F948" s="4"/>
    </row>
    <row r="949">
      <c r="A949" s="52">
        <v>46176.0</v>
      </c>
      <c r="B949" s="55" t="s">
        <v>1463</v>
      </c>
      <c r="C949" s="29" t="s">
        <v>9</v>
      </c>
      <c r="D949" s="29" t="s">
        <v>1356</v>
      </c>
      <c r="E949" s="14">
        <v>89.78</v>
      </c>
      <c r="F949" s="4"/>
    </row>
    <row r="950">
      <c r="A950" s="52">
        <v>46176.0</v>
      </c>
      <c r="B950" s="55" t="s">
        <v>10</v>
      </c>
      <c r="C950" s="29" t="s">
        <v>9</v>
      </c>
      <c r="D950" s="29" t="s">
        <v>1356</v>
      </c>
      <c r="E950" s="14">
        <v>89.78</v>
      </c>
      <c r="F950" s="4"/>
    </row>
    <row r="951">
      <c r="A951" s="52">
        <v>46176.0</v>
      </c>
      <c r="B951" s="55" t="s">
        <v>1466</v>
      </c>
      <c r="C951" s="29" t="s">
        <v>9</v>
      </c>
      <c r="D951" s="29" t="s">
        <v>1356</v>
      </c>
      <c r="E951" s="14">
        <v>32.78</v>
      </c>
      <c r="F951" s="4"/>
    </row>
    <row r="952">
      <c r="A952" s="52">
        <v>46176.0</v>
      </c>
      <c r="B952" s="55" t="s">
        <v>1468</v>
      </c>
      <c r="C952" s="29" t="s">
        <v>9</v>
      </c>
      <c r="D952" s="29" t="s">
        <v>1356</v>
      </c>
      <c r="E952" s="14">
        <v>15.78</v>
      </c>
      <c r="F952" s="4"/>
    </row>
    <row r="953">
      <c r="A953" s="52">
        <v>46176.0</v>
      </c>
      <c r="B953" s="55" t="s">
        <v>1470</v>
      </c>
      <c r="C953" s="29" t="s">
        <v>9</v>
      </c>
      <c r="D953" s="29" t="s">
        <v>1356</v>
      </c>
      <c r="E953" s="14">
        <v>75.78</v>
      </c>
      <c r="F953" s="4"/>
    </row>
    <row r="954">
      <c r="A954" s="52">
        <v>46176.0</v>
      </c>
      <c r="B954" s="55" t="s">
        <v>1457</v>
      </c>
      <c r="C954" s="29" t="s">
        <v>9</v>
      </c>
      <c r="D954" s="29" t="s">
        <v>1356</v>
      </c>
      <c r="E954" s="14">
        <v>20.78</v>
      </c>
      <c r="F954" s="4"/>
    </row>
    <row r="955">
      <c r="A955" s="52">
        <v>46176.0</v>
      </c>
      <c r="B955" s="55">
        <v>5.30452631E9</v>
      </c>
      <c r="C955" s="29" t="s">
        <v>9</v>
      </c>
      <c r="D955" s="29" t="s">
        <v>1356</v>
      </c>
      <c r="E955" s="14">
        <v>19.78</v>
      </c>
      <c r="F955" s="4"/>
    </row>
    <row r="956">
      <c r="A956" s="52">
        <v>46176.0</v>
      </c>
      <c r="B956" s="55" t="s">
        <v>1471</v>
      </c>
      <c r="C956" s="29" t="s">
        <v>9</v>
      </c>
      <c r="D956" s="29" t="s">
        <v>1356</v>
      </c>
      <c r="E956" s="14">
        <v>89.78</v>
      </c>
      <c r="F956" s="4"/>
    </row>
    <row r="957">
      <c r="A957" s="52">
        <v>46176.0</v>
      </c>
      <c r="B957" s="55" t="s">
        <v>1473</v>
      </c>
      <c r="C957" s="29" t="s">
        <v>9</v>
      </c>
      <c r="D957" s="29" t="s">
        <v>1356</v>
      </c>
      <c r="E957" s="14">
        <v>20.78</v>
      </c>
      <c r="F957" s="4"/>
    </row>
    <row r="958">
      <c r="A958" s="52">
        <v>46176.0</v>
      </c>
      <c r="B958" s="55">
        <v>5.304523152E9</v>
      </c>
      <c r="C958" s="29" t="s">
        <v>9</v>
      </c>
      <c r="D958" s="29" t="s">
        <v>1356</v>
      </c>
      <c r="E958" s="14">
        <v>5.78</v>
      </c>
      <c r="F958" s="12">
        <v>3.0</v>
      </c>
    </row>
    <row r="959">
      <c r="A959" s="21"/>
      <c r="B959" s="21"/>
      <c r="C959" s="23"/>
      <c r="D959" s="23"/>
      <c r="E959" s="24"/>
      <c r="F959" s="24"/>
    </row>
    <row r="960">
      <c r="A960" s="52">
        <v>46177.0</v>
      </c>
      <c r="B960" s="55" t="s">
        <v>1475</v>
      </c>
      <c r="C960" s="29" t="s">
        <v>9</v>
      </c>
      <c r="D960" s="29" t="s">
        <v>11</v>
      </c>
      <c r="E960" s="14">
        <v>20.93</v>
      </c>
      <c r="F960" s="4"/>
    </row>
    <row r="961">
      <c r="A961" s="52">
        <v>46177.0</v>
      </c>
      <c r="B961" s="55" t="s">
        <v>1476</v>
      </c>
      <c r="C961" s="29" t="s">
        <v>9</v>
      </c>
      <c r="D961" s="29" t="s">
        <v>11</v>
      </c>
      <c r="E961" s="14">
        <v>20.93</v>
      </c>
      <c r="F961" s="4"/>
    </row>
    <row r="962">
      <c r="A962" s="21"/>
      <c r="B962" s="21"/>
      <c r="C962" s="23"/>
      <c r="D962" s="23"/>
      <c r="E962" s="24"/>
      <c r="F962" s="24"/>
    </row>
    <row r="963">
      <c r="A963" s="52">
        <v>46178.0</v>
      </c>
      <c r="B963" s="55" t="s">
        <v>327</v>
      </c>
      <c r="C963" s="29" t="s">
        <v>9</v>
      </c>
      <c r="D963" s="29" t="s">
        <v>1356</v>
      </c>
      <c r="E963" s="14">
        <v>15.78</v>
      </c>
      <c r="F963" s="4"/>
    </row>
    <row r="964">
      <c r="A964" s="52">
        <v>46178.0</v>
      </c>
      <c r="B964" s="55" t="s">
        <v>1480</v>
      </c>
      <c r="C964" s="29" t="s">
        <v>9</v>
      </c>
      <c r="D964" s="29" t="s">
        <v>1356</v>
      </c>
      <c r="E964" s="14">
        <v>109.78</v>
      </c>
      <c r="F964" s="4"/>
    </row>
    <row r="965">
      <c r="A965" s="52">
        <v>46178.0</v>
      </c>
      <c r="B965" s="55" t="s">
        <v>602</v>
      </c>
      <c r="C965" s="29" t="s">
        <v>9</v>
      </c>
      <c r="D965" s="29" t="s">
        <v>1356</v>
      </c>
      <c r="E965" s="14">
        <v>80.78</v>
      </c>
      <c r="F965" s="12">
        <v>2.0</v>
      </c>
    </row>
    <row r="966">
      <c r="A966" s="52">
        <v>46178.0</v>
      </c>
      <c r="B966" s="55">
        <v>5.304533531E9</v>
      </c>
      <c r="C966" s="29" t="s">
        <v>9</v>
      </c>
      <c r="D966" s="29" t="s">
        <v>1356</v>
      </c>
      <c r="E966" s="14">
        <v>32.78</v>
      </c>
      <c r="F966" s="4"/>
    </row>
    <row r="967">
      <c r="A967" s="52">
        <v>46178.0</v>
      </c>
      <c r="B967" s="55" t="s">
        <v>1309</v>
      </c>
      <c r="C967" s="29" t="s">
        <v>9</v>
      </c>
      <c r="D967" s="29" t="s">
        <v>1356</v>
      </c>
      <c r="E967" s="14">
        <v>11.78</v>
      </c>
      <c r="F967" s="4"/>
    </row>
    <row r="968">
      <c r="A968" s="52">
        <v>46178.0</v>
      </c>
      <c r="B968" s="55" t="s">
        <v>1487</v>
      </c>
      <c r="C968" s="29" t="s">
        <v>9</v>
      </c>
      <c r="D968" s="29" t="s">
        <v>1356</v>
      </c>
      <c r="E968" s="14">
        <v>10.78</v>
      </c>
      <c r="F968" s="4"/>
    </row>
    <row r="969">
      <c r="A969" s="52">
        <v>46178.0</v>
      </c>
      <c r="B969" s="55" t="s">
        <v>857</v>
      </c>
      <c r="C969" s="29" t="s">
        <v>9</v>
      </c>
      <c r="D969" s="29" t="s">
        <v>1356</v>
      </c>
      <c r="E969" s="14">
        <v>25.78</v>
      </c>
      <c r="F969" s="4"/>
    </row>
    <row r="970">
      <c r="A970" s="52">
        <v>46178.0</v>
      </c>
      <c r="B970" s="55" t="s">
        <v>1491</v>
      </c>
      <c r="C970" s="29" t="s">
        <v>9</v>
      </c>
      <c r="D970" s="29" t="s">
        <v>1356</v>
      </c>
      <c r="E970" s="14">
        <v>109.78</v>
      </c>
      <c r="F970" s="4"/>
    </row>
    <row r="971">
      <c r="A971" s="52">
        <v>46178.0</v>
      </c>
      <c r="B971" s="55" t="s">
        <v>1342</v>
      </c>
      <c r="C971" s="29" t="s">
        <v>9</v>
      </c>
      <c r="D971" s="29" t="s">
        <v>1356</v>
      </c>
      <c r="E971" s="14">
        <v>20.78</v>
      </c>
      <c r="F971" s="4"/>
    </row>
    <row r="972">
      <c r="A972" s="52">
        <v>46178.0</v>
      </c>
      <c r="B972" s="55" t="s">
        <v>675</v>
      </c>
      <c r="C972" s="29" t="s">
        <v>9</v>
      </c>
      <c r="D972" s="29" t="s">
        <v>1356</v>
      </c>
      <c r="E972" s="14">
        <v>17.78</v>
      </c>
      <c r="F972" s="4"/>
    </row>
    <row r="973">
      <c r="A973" s="52">
        <v>46178.0</v>
      </c>
      <c r="B973" s="55" t="s">
        <v>1493</v>
      </c>
      <c r="C973" s="29" t="s">
        <v>9</v>
      </c>
      <c r="D973" s="29" t="s">
        <v>1356</v>
      </c>
      <c r="E973" s="14">
        <v>56.78</v>
      </c>
      <c r="F973" s="12">
        <v>4.0</v>
      </c>
    </row>
    <row r="974">
      <c r="A974" s="52">
        <v>46178.0</v>
      </c>
      <c r="B974" s="55" t="s">
        <v>1494</v>
      </c>
      <c r="C974" s="29" t="s">
        <v>9</v>
      </c>
      <c r="D974" s="29" t="s">
        <v>1356</v>
      </c>
      <c r="E974" s="14">
        <v>89.78</v>
      </c>
      <c r="F974" s="4"/>
    </row>
    <row r="975">
      <c r="A975" s="21"/>
      <c r="B975" s="21"/>
      <c r="C975" s="23"/>
      <c r="D975" s="23"/>
      <c r="E975" s="24"/>
      <c r="F975" s="24"/>
    </row>
    <row r="976">
      <c r="A976" s="52">
        <v>46182.0</v>
      </c>
      <c r="B976" s="55">
        <v>5.304505436E9</v>
      </c>
      <c r="C976" s="29" t="s">
        <v>9</v>
      </c>
      <c r="D976" s="29" t="s">
        <v>1356</v>
      </c>
      <c r="E976" s="14">
        <v>23.93</v>
      </c>
      <c r="F976" s="4"/>
    </row>
    <row r="977">
      <c r="A977" s="52">
        <v>46182.0</v>
      </c>
      <c r="B977" s="55" t="s">
        <v>1497</v>
      </c>
      <c r="C977" s="29" t="s">
        <v>9</v>
      </c>
      <c r="D977" s="29" t="s">
        <v>1356</v>
      </c>
      <c r="E977" s="14">
        <v>35.93</v>
      </c>
      <c r="F977" s="4"/>
    </row>
    <row r="978">
      <c r="A978" s="52">
        <v>46182.0</v>
      </c>
      <c r="B978" s="55">
        <v>2.43297608E8</v>
      </c>
      <c r="C978" s="29" t="s">
        <v>9</v>
      </c>
      <c r="D978" s="29" t="s">
        <v>1356</v>
      </c>
      <c r="E978" s="14">
        <v>55.93</v>
      </c>
      <c r="F978" s="12">
        <v>2.0</v>
      </c>
    </row>
    <row r="979">
      <c r="A979" s="21"/>
      <c r="B979" s="21"/>
      <c r="C979" s="23"/>
      <c r="D979" s="23"/>
      <c r="E979" s="24"/>
      <c r="F979" s="24"/>
    </row>
    <row r="980">
      <c r="A980" s="52">
        <v>46195.0</v>
      </c>
      <c r="B980" s="55" t="s">
        <v>1499</v>
      </c>
      <c r="C980" s="29" t="s">
        <v>9</v>
      </c>
      <c r="D980" s="29" t="s">
        <v>1356</v>
      </c>
      <c r="E980" s="14">
        <v>245.78</v>
      </c>
      <c r="F980" s="4"/>
    </row>
    <row r="981">
      <c r="A981" s="52">
        <v>46195.0</v>
      </c>
      <c r="B981" s="55" t="s">
        <v>1501</v>
      </c>
      <c r="C981" s="29" t="s">
        <v>9</v>
      </c>
      <c r="D981" s="29" t="s">
        <v>1356</v>
      </c>
      <c r="E981" s="14">
        <v>12.78</v>
      </c>
      <c r="F981" s="4"/>
    </row>
    <row r="982">
      <c r="A982" s="52">
        <v>46195.0</v>
      </c>
      <c r="B982" s="55" t="s">
        <v>1503</v>
      </c>
      <c r="C982" s="29" t="s">
        <v>9</v>
      </c>
      <c r="D982" s="29" t="s">
        <v>1356</v>
      </c>
      <c r="E982" s="14">
        <v>12.78</v>
      </c>
      <c r="F982" s="4"/>
    </row>
    <row r="983">
      <c r="A983" s="52">
        <v>46195.0</v>
      </c>
      <c r="B983" s="55" t="s">
        <v>1504</v>
      </c>
      <c r="C983" s="29" t="s">
        <v>9</v>
      </c>
      <c r="D983" s="29" t="s">
        <v>1356</v>
      </c>
      <c r="E983" s="14">
        <v>25.78</v>
      </c>
      <c r="F983" s="4"/>
    </row>
    <row r="984">
      <c r="A984" s="21"/>
      <c r="B984" s="21"/>
      <c r="C984" s="23"/>
      <c r="D984" s="23"/>
      <c r="E984" s="24"/>
      <c r="F984" s="24"/>
    </row>
    <row r="985">
      <c r="A985" s="52">
        <v>46197.0</v>
      </c>
      <c r="B985" s="55" t="s">
        <v>1506</v>
      </c>
      <c r="C985" s="29" t="s">
        <v>9</v>
      </c>
      <c r="D985" s="29" t="s">
        <v>11</v>
      </c>
      <c r="E985" s="14">
        <v>70.93</v>
      </c>
      <c r="F985" s="4"/>
    </row>
    <row r="986">
      <c r="A986" s="52">
        <v>46197.0</v>
      </c>
      <c r="B986" s="55" t="s">
        <v>1507</v>
      </c>
      <c r="C986" s="29" t="s">
        <v>9</v>
      </c>
      <c r="D986" s="29" t="s">
        <v>11</v>
      </c>
      <c r="E986" s="14">
        <v>30.93</v>
      </c>
      <c r="F986" s="4"/>
    </row>
    <row r="987">
      <c r="A987" s="52">
        <v>46197.0</v>
      </c>
      <c r="B987" s="55" t="s">
        <v>1509</v>
      </c>
      <c r="C987" s="29" t="s">
        <v>9</v>
      </c>
      <c r="D987" s="29" t="s">
        <v>11</v>
      </c>
      <c r="E987" s="14">
        <v>18.93</v>
      </c>
      <c r="F987" s="4"/>
    </row>
    <row r="988">
      <c r="A988" s="52">
        <v>46197.0</v>
      </c>
      <c r="B988" s="55">
        <v>5.303918851E9</v>
      </c>
      <c r="C988" s="29" t="s">
        <v>9</v>
      </c>
      <c r="D988" s="29" t="s">
        <v>11</v>
      </c>
      <c r="E988" s="14">
        <v>20.93</v>
      </c>
      <c r="F988" s="4"/>
    </row>
    <row r="989">
      <c r="A989" s="52">
        <v>46197.0</v>
      </c>
      <c r="B989" s="55" t="s">
        <v>1510</v>
      </c>
      <c r="C989" s="29" t="s">
        <v>9</v>
      </c>
      <c r="D989" s="29" t="s">
        <v>11</v>
      </c>
      <c r="E989" s="14">
        <v>20.93</v>
      </c>
      <c r="F989" s="4"/>
    </row>
    <row r="990">
      <c r="A990" s="52">
        <v>46197.0</v>
      </c>
      <c r="B990" s="55" t="s">
        <v>1424</v>
      </c>
      <c r="C990" s="29" t="s">
        <v>9</v>
      </c>
      <c r="D990" s="29" t="s">
        <v>11</v>
      </c>
      <c r="E990" s="14">
        <v>20.93</v>
      </c>
      <c r="F990" s="4"/>
    </row>
    <row r="991">
      <c r="A991" s="52">
        <v>46197.0</v>
      </c>
      <c r="B991" s="55" t="s">
        <v>1290</v>
      </c>
      <c r="C991" s="29" t="s">
        <v>9</v>
      </c>
      <c r="D991" s="29" t="s">
        <v>11</v>
      </c>
      <c r="E991" s="14">
        <v>10.93</v>
      </c>
      <c r="F991" s="4"/>
    </row>
    <row r="992">
      <c r="A992" s="21"/>
      <c r="B992" s="21"/>
      <c r="C992" s="23"/>
      <c r="D992" s="23"/>
      <c r="E992" s="24"/>
      <c r="F992" s="24"/>
    </row>
    <row r="993">
      <c r="A993" s="52">
        <v>46198.0</v>
      </c>
      <c r="B993" s="55" t="s">
        <v>1513</v>
      </c>
      <c r="C993" s="29" t="s">
        <v>9</v>
      </c>
      <c r="D993" s="29" t="s">
        <v>11</v>
      </c>
      <c r="E993" s="14">
        <v>20.93</v>
      </c>
      <c r="F993" s="4"/>
    </row>
    <row r="994">
      <c r="A994" s="52">
        <v>46198.0</v>
      </c>
      <c r="B994" s="55" t="s">
        <v>1514</v>
      </c>
      <c r="C994" s="29" t="s">
        <v>9</v>
      </c>
      <c r="D994" s="29" t="s">
        <v>11</v>
      </c>
      <c r="E994" s="14">
        <v>20.93</v>
      </c>
      <c r="F994" s="12">
        <v>2.0</v>
      </c>
    </row>
    <row r="995">
      <c r="A995" s="52">
        <v>46198.0</v>
      </c>
      <c r="B995" s="55" t="s">
        <v>1516</v>
      </c>
      <c r="C995" s="29" t="s">
        <v>9</v>
      </c>
      <c r="D995" s="29" t="s">
        <v>11</v>
      </c>
      <c r="E995" s="14">
        <v>12.93</v>
      </c>
      <c r="F995" s="4"/>
    </row>
    <row r="996">
      <c r="A996" s="52">
        <v>46198.0</v>
      </c>
      <c r="B996" s="55" t="s">
        <v>1518</v>
      </c>
      <c r="C996" s="29" t="s">
        <v>9</v>
      </c>
      <c r="D996" s="29" t="s">
        <v>11</v>
      </c>
      <c r="E996" s="14">
        <v>17.93</v>
      </c>
      <c r="F996" s="4"/>
    </row>
    <row r="997">
      <c r="A997" s="52">
        <v>46198.0</v>
      </c>
      <c r="B997" s="55" t="s">
        <v>1519</v>
      </c>
      <c r="C997" s="29" t="s">
        <v>9</v>
      </c>
      <c r="D997" s="29" t="s">
        <v>11</v>
      </c>
      <c r="E997" s="14">
        <v>173.93</v>
      </c>
      <c r="F997" s="4"/>
    </row>
    <row r="998">
      <c r="A998" s="52">
        <v>46198.0</v>
      </c>
      <c r="B998" s="55" t="s">
        <v>1521</v>
      </c>
      <c r="C998" s="29" t="s">
        <v>9</v>
      </c>
      <c r="D998" s="29" t="s">
        <v>11</v>
      </c>
      <c r="E998" s="14">
        <v>89.93</v>
      </c>
      <c r="F998" s="4"/>
    </row>
    <row r="999">
      <c r="A999" s="52">
        <v>46198.0</v>
      </c>
      <c r="B999" s="55" t="s">
        <v>1523</v>
      </c>
      <c r="C999" s="29" t="s">
        <v>9</v>
      </c>
      <c r="D999" s="29" t="s">
        <v>11</v>
      </c>
      <c r="E999" s="14">
        <v>120.93</v>
      </c>
      <c r="F999" s="4"/>
    </row>
    <row r="1000">
      <c r="A1000" s="52">
        <v>46198.0</v>
      </c>
      <c r="B1000" s="55" t="s">
        <v>1524</v>
      </c>
      <c r="C1000" s="29" t="s">
        <v>9</v>
      </c>
      <c r="D1000" s="29" t="s">
        <v>11</v>
      </c>
      <c r="E1000" s="14">
        <v>78.93</v>
      </c>
      <c r="F1000" s="4"/>
    </row>
    <row r="1001">
      <c r="A1001" s="52">
        <v>46198.0</v>
      </c>
      <c r="B1001" s="55" t="s">
        <v>1525</v>
      </c>
      <c r="C1001" s="29" t="s">
        <v>8</v>
      </c>
      <c r="D1001" s="29" t="s">
        <v>11</v>
      </c>
      <c r="E1001" s="14">
        <v>40.93</v>
      </c>
      <c r="F1001" s="4"/>
    </row>
    <row r="1002">
      <c r="A1002" s="52">
        <v>46198.0</v>
      </c>
      <c r="B1002" s="55" t="s">
        <v>1526</v>
      </c>
      <c r="C1002" s="29" t="s">
        <v>9</v>
      </c>
      <c r="D1002" s="29" t="s">
        <v>11</v>
      </c>
      <c r="E1002" s="14">
        <v>98.93</v>
      </c>
      <c r="F1002" s="4"/>
    </row>
    <row r="1003">
      <c r="A1003" s="52">
        <v>46198.0</v>
      </c>
      <c r="B1003" s="55" t="s">
        <v>1529</v>
      </c>
      <c r="C1003" s="29" t="s">
        <v>9</v>
      </c>
      <c r="D1003" s="29" t="s">
        <v>11</v>
      </c>
      <c r="E1003" s="14">
        <v>156.93</v>
      </c>
      <c r="F1003" s="4"/>
    </row>
    <row r="1004">
      <c r="A1004" s="52">
        <v>46198.0</v>
      </c>
      <c r="B1004" s="55" t="s">
        <v>502</v>
      </c>
      <c r="C1004" s="29" t="s">
        <v>9</v>
      </c>
      <c r="D1004" s="29" t="s">
        <v>11</v>
      </c>
      <c r="E1004" s="14">
        <v>50.93</v>
      </c>
      <c r="F1004" s="4"/>
    </row>
    <row r="1005">
      <c r="A1005" s="52">
        <v>46198.0</v>
      </c>
      <c r="B1005" s="55" t="s">
        <v>1351</v>
      </c>
      <c r="C1005" s="29" t="s">
        <v>9</v>
      </c>
      <c r="D1005" s="29" t="s">
        <v>11</v>
      </c>
      <c r="E1005" s="14">
        <v>63.93</v>
      </c>
      <c r="F1005" s="4"/>
    </row>
    <row r="1006">
      <c r="A1006" s="52">
        <v>46198.0</v>
      </c>
      <c r="B1006" s="55" t="s">
        <v>1533</v>
      </c>
      <c r="C1006" s="29" t="s">
        <v>9</v>
      </c>
      <c r="D1006" s="29" t="s">
        <v>11</v>
      </c>
      <c r="E1006" s="14">
        <v>95.93</v>
      </c>
      <c r="F1006" s="4"/>
    </row>
    <row r="1007">
      <c r="A1007" s="52">
        <v>46198.0</v>
      </c>
      <c r="B1007" s="55" t="s">
        <v>1535</v>
      </c>
      <c r="C1007" s="29" t="s">
        <v>9</v>
      </c>
      <c r="D1007" s="29" t="s">
        <v>11</v>
      </c>
      <c r="E1007" s="14">
        <v>69.93</v>
      </c>
      <c r="F1007" s="4"/>
    </row>
    <row r="1008">
      <c r="A1008" s="180"/>
      <c r="B1008" s="182"/>
      <c r="C1008" s="151"/>
      <c r="D1008" s="151"/>
      <c r="E1008" s="184"/>
      <c r="F1008" s="24"/>
    </row>
    <row r="1009">
      <c r="A1009" s="52">
        <v>46209.0</v>
      </c>
      <c r="B1009" s="55" t="s">
        <v>1537</v>
      </c>
      <c r="C1009" s="29" t="s">
        <v>9</v>
      </c>
      <c r="D1009" s="29" t="s">
        <v>11</v>
      </c>
      <c r="E1009" s="14">
        <v>36.5</v>
      </c>
      <c r="F1009" s="4"/>
    </row>
    <row r="1010">
      <c r="A1010" s="52">
        <v>46209.0</v>
      </c>
      <c r="B1010" s="55" t="s">
        <v>1294</v>
      </c>
      <c r="C1010" s="29" t="s">
        <v>9</v>
      </c>
      <c r="D1010" s="29" t="s">
        <v>11</v>
      </c>
      <c r="E1010" s="14">
        <v>11.95</v>
      </c>
      <c r="F1010" s="12">
        <v>42.0</v>
      </c>
    </row>
    <row r="1011">
      <c r="A1011" s="52">
        <v>46209.0</v>
      </c>
      <c r="B1011" s="55" t="s">
        <v>1331</v>
      </c>
      <c r="C1011" s="29" t="s">
        <v>9</v>
      </c>
      <c r="D1011" s="29" t="s">
        <v>11</v>
      </c>
      <c r="E1011" s="14">
        <v>11.93</v>
      </c>
      <c r="F1011" s="12">
        <v>13.0</v>
      </c>
    </row>
    <row r="1012">
      <c r="A1012" s="180"/>
      <c r="B1012" s="182"/>
      <c r="C1012" s="151"/>
      <c r="D1012" s="151"/>
      <c r="E1012" s="184"/>
      <c r="F1012" s="24"/>
    </row>
    <row r="1013">
      <c r="A1013" s="52">
        <v>46212.0</v>
      </c>
      <c r="B1013" s="55">
        <v>5.304519752E9</v>
      </c>
      <c r="C1013" s="29" t="s">
        <v>9</v>
      </c>
      <c r="D1013" s="29" t="s">
        <v>11</v>
      </c>
      <c r="E1013" s="14">
        <v>16.93</v>
      </c>
      <c r="F1013" s="4"/>
    </row>
    <row r="1014">
      <c r="A1014" s="52">
        <v>46212.0</v>
      </c>
      <c r="B1014" s="55">
        <v>5.30452631E9</v>
      </c>
      <c r="C1014" s="29" t="s">
        <v>9</v>
      </c>
      <c r="D1014" s="29" t="s">
        <v>11</v>
      </c>
      <c r="E1014" s="14">
        <v>20.93</v>
      </c>
      <c r="F1014" s="4"/>
    </row>
    <row r="1015">
      <c r="A1015" s="52">
        <v>46212.0</v>
      </c>
      <c r="B1015" s="55" t="s">
        <v>1542</v>
      </c>
      <c r="C1015" s="29" t="s">
        <v>9</v>
      </c>
      <c r="D1015" s="29" t="s">
        <v>11</v>
      </c>
      <c r="E1015" s="14">
        <v>89.93</v>
      </c>
      <c r="F1015" s="4"/>
    </row>
    <row r="1016">
      <c r="A1016" s="52">
        <v>46212.0</v>
      </c>
      <c r="B1016" s="55" t="s">
        <v>1544</v>
      </c>
      <c r="C1016" s="29" t="s">
        <v>9</v>
      </c>
      <c r="D1016" s="29" t="s">
        <v>11</v>
      </c>
      <c r="E1016" s="14">
        <v>29.93</v>
      </c>
      <c r="F1016" s="4"/>
    </row>
    <row r="1017">
      <c r="A1017" s="52">
        <v>46212.0</v>
      </c>
      <c r="B1017" s="55" t="s">
        <v>1545</v>
      </c>
      <c r="C1017" s="29" t="s">
        <v>9</v>
      </c>
      <c r="D1017" s="29" t="s">
        <v>11</v>
      </c>
      <c r="E1017" s="14">
        <v>2985.93</v>
      </c>
      <c r="F1017" s="4"/>
    </row>
    <row r="1018">
      <c r="A1018" s="180"/>
      <c r="B1018" s="182"/>
      <c r="C1018" s="23"/>
      <c r="D1018" s="23"/>
      <c r="E1018" s="184"/>
      <c r="F1018" s="24"/>
    </row>
    <row r="1019">
      <c r="A1019" s="52">
        <v>46213.0</v>
      </c>
      <c r="B1019" s="55" t="s">
        <v>809</v>
      </c>
      <c r="C1019" s="29" t="s">
        <v>9</v>
      </c>
      <c r="D1019" s="29" t="s">
        <v>11</v>
      </c>
      <c r="E1019" s="14">
        <v>30.93</v>
      </c>
      <c r="F1019" s="4"/>
    </row>
    <row r="1020">
      <c r="A1020" s="52">
        <v>46213.0</v>
      </c>
      <c r="B1020" s="55" t="s">
        <v>141</v>
      </c>
      <c r="C1020" s="29" t="s">
        <v>9</v>
      </c>
      <c r="D1020" s="29" t="s">
        <v>11</v>
      </c>
      <c r="E1020" s="14">
        <v>35.93</v>
      </c>
      <c r="F1020" s="4"/>
    </row>
    <row r="1021">
      <c r="A1021" s="52">
        <v>46213.0</v>
      </c>
      <c r="B1021" s="55" t="s">
        <v>217</v>
      </c>
      <c r="C1021" s="29" t="s">
        <v>9</v>
      </c>
      <c r="D1021" s="29" t="s">
        <v>11</v>
      </c>
      <c r="E1021" s="14">
        <v>9.93</v>
      </c>
      <c r="F1021" s="4"/>
    </row>
    <row r="1022">
      <c r="A1022" s="52">
        <v>46213.0</v>
      </c>
      <c r="B1022" s="55" t="s">
        <v>1550</v>
      </c>
      <c r="C1022" s="29" t="s">
        <v>9</v>
      </c>
      <c r="D1022" s="29" t="s">
        <v>11</v>
      </c>
      <c r="E1022" s="14">
        <v>27.93</v>
      </c>
      <c r="F1022" s="4"/>
    </row>
    <row r="1023">
      <c r="A1023" s="52">
        <v>46213.0</v>
      </c>
      <c r="B1023" s="55" t="s">
        <v>1552</v>
      </c>
      <c r="C1023" s="29" t="s">
        <v>9</v>
      </c>
      <c r="D1023" s="29" t="s">
        <v>11</v>
      </c>
      <c r="E1023" s="14">
        <v>19.93</v>
      </c>
      <c r="F1023" s="4"/>
    </row>
    <row r="1024">
      <c r="A1024" s="180"/>
      <c r="B1024" s="182"/>
      <c r="C1024" s="151"/>
      <c r="D1024" s="151"/>
      <c r="E1024" s="184"/>
      <c r="F1024" s="24"/>
    </row>
    <row r="1025">
      <c r="A1025" s="52">
        <v>46216.0</v>
      </c>
      <c r="B1025" s="55">
        <v>5.304530688E9</v>
      </c>
      <c r="C1025" s="29" t="s">
        <v>8</v>
      </c>
      <c r="D1025" s="29" t="s">
        <v>11</v>
      </c>
      <c r="E1025" s="14">
        <v>75.93</v>
      </c>
      <c r="F1025" s="4"/>
    </row>
    <row r="1026">
      <c r="A1026" s="180"/>
      <c r="B1026" s="182"/>
      <c r="C1026" s="151"/>
      <c r="D1026" s="151"/>
      <c r="E1026" s="184"/>
      <c r="F1026" s="24"/>
    </row>
    <row r="1027">
      <c r="A1027" s="52">
        <v>46218.0</v>
      </c>
      <c r="B1027" s="55" t="s">
        <v>469</v>
      </c>
      <c r="C1027" s="29" t="s">
        <v>8</v>
      </c>
      <c r="D1027" s="29" t="s">
        <v>11</v>
      </c>
      <c r="E1027" s="14">
        <v>50.93</v>
      </c>
      <c r="F1027" s="4"/>
    </row>
    <row r="1028">
      <c r="A1028" s="52">
        <v>46218.0</v>
      </c>
      <c r="B1028" s="55" t="s">
        <v>1558</v>
      </c>
      <c r="C1028" s="29" t="s">
        <v>9</v>
      </c>
      <c r="D1028" s="29" t="s">
        <v>11</v>
      </c>
      <c r="E1028" s="14">
        <v>89.78</v>
      </c>
      <c r="F1028" s="4"/>
    </row>
    <row r="1029">
      <c r="A1029" s="52">
        <v>46218.0</v>
      </c>
      <c r="B1029" s="55" t="s">
        <v>1560</v>
      </c>
      <c r="C1029" s="29" t="s">
        <v>9</v>
      </c>
      <c r="D1029" s="29" t="s">
        <v>11</v>
      </c>
      <c r="E1029" s="14">
        <v>129.93</v>
      </c>
      <c r="F1029" s="4"/>
    </row>
    <row r="1030">
      <c r="A1030" s="52">
        <v>46218.0</v>
      </c>
      <c r="B1030" s="55" t="s">
        <v>1562</v>
      </c>
      <c r="C1030" s="29" t="s">
        <v>9</v>
      </c>
      <c r="D1030" s="29" t="s">
        <v>11</v>
      </c>
      <c r="E1030" s="14">
        <v>96.93</v>
      </c>
      <c r="F1030" s="4"/>
    </row>
    <row r="1031">
      <c r="A1031" s="52">
        <v>46218.0</v>
      </c>
      <c r="B1031" s="55" t="s">
        <v>1563</v>
      </c>
      <c r="C1031" s="29" t="s">
        <v>9</v>
      </c>
      <c r="D1031" s="29" t="s">
        <v>11</v>
      </c>
      <c r="E1031" s="14">
        <v>139.93</v>
      </c>
      <c r="F1031" s="4"/>
    </row>
    <row r="1032">
      <c r="A1032" s="52">
        <v>46218.0</v>
      </c>
      <c r="B1032" s="55" t="s">
        <v>45</v>
      </c>
      <c r="C1032" s="29" t="s">
        <v>9</v>
      </c>
      <c r="D1032" s="29" t="s">
        <v>11</v>
      </c>
      <c r="E1032" s="14">
        <v>30.93</v>
      </c>
      <c r="F1032" s="4"/>
    </row>
    <row r="1033">
      <c r="A1033" s="52">
        <v>46218.0</v>
      </c>
      <c r="B1033" s="55" t="s">
        <v>1565</v>
      </c>
      <c r="C1033" s="29" t="s">
        <v>9</v>
      </c>
      <c r="D1033" s="29" t="s">
        <v>11</v>
      </c>
      <c r="E1033" s="14">
        <v>30.93</v>
      </c>
      <c r="F1033" s="4"/>
    </row>
    <row r="1034">
      <c r="A1034" s="52">
        <v>46218.0</v>
      </c>
      <c r="B1034" s="55" t="s">
        <v>1567</v>
      </c>
      <c r="C1034" s="29" t="s">
        <v>9</v>
      </c>
      <c r="D1034" s="29" t="s">
        <v>11</v>
      </c>
      <c r="E1034" s="14">
        <v>89.78</v>
      </c>
      <c r="F1034" s="4"/>
    </row>
    <row r="1035">
      <c r="A1035" s="180"/>
      <c r="B1035" s="182"/>
      <c r="C1035" s="151"/>
      <c r="D1035" s="151"/>
      <c r="E1035" s="184"/>
      <c r="F1035" s="24"/>
    </row>
    <row r="1036">
      <c r="A1036" s="52">
        <v>46219.0</v>
      </c>
      <c r="B1036" s="55" t="s">
        <v>1293</v>
      </c>
      <c r="C1036" s="29" t="s">
        <v>9</v>
      </c>
      <c r="D1036" s="29" t="s">
        <v>11</v>
      </c>
      <c r="E1036" s="14">
        <v>89.78</v>
      </c>
      <c r="F1036" s="4"/>
    </row>
    <row r="1037">
      <c r="A1037" s="52">
        <v>46219.0</v>
      </c>
      <c r="B1037" s="55" t="s">
        <v>320</v>
      </c>
      <c r="C1037" s="29" t="s">
        <v>9</v>
      </c>
      <c r="D1037" s="29" t="s">
        <v>11</v>
      </c>
      <c r="E1037" s="14">
        <v>19.93</v>
      </c>
      <c r="F1037" s="4"/>
    </row>
    <row r="1038">
      <c r="A1038" s="52">
        <v>46219.0</v>
      </c>
      <c r="B1038" s="55" t="s">
        <v>335</v>
      </c>
      <c r="C1038" s="29" t="s">
        <v>9</v>
      </c>
      <c r="D1038" s="29" t="s">
        <v>11</v>
      </c>
      <c r="E1038" s="14">
        <v>28.93</v>
      </c>
      <c r="F1038" s="4"/>
    </row>
    <row r="1039">
      <c r="A1039" s="52">
        <v>46219.0</v>
      </c>
      <c r="B1039" s="55" t="s">
        <v>281</v>
      </c>
      <c r="C1039" s="29" t="s">
        <v>9</v>
      </c>
      <c r="D1039" s="29" t="s">
        <v>11</v>
      </c>
      <c r="E1039" s="14">
        <v>10.93</v>
      </c>
      <c r="F1039" s="4"/>
    </row>
    <row r="1040">
      <c r="A1040" s="52">
        <v>46219.0</v>
      </c>
      <c r="B1040" s="55" t="s">
        <v>230</v>
      </c>
      <c r="C1040" s="29" t="s">
        <v>9</v>
      </c>
      <c r="D1040" s="29" t="s">
        <v>11</v>
      </c>
      <c r="E1040" s="14">
        <v>19.93</v>
      </c>
      <c r="F1040" s="4"/>
    </row>
    <row r="1041">
      <c r="A1041" s="52">
        <v>46219.0</v>
      </c>
      <c r="B1041" s="55" t="s">
        <v>344</v>
      </c>
      <c r="C1041" s="29" t="s">
        <v>9</v>
      </c>
      <c r="D1041" s="29" t="s">
        <v>11</v>
      </c>
      <c r="E1041" s="14">
        <v>9.93</v>
      </c>
      <c r="F1041" s="4"/>
    </row>
    <row r="1042">
      <c r="A1042" s="52">
        <v>46219.0</v>
      </c>
      <c r="B1042" s="55" t="s">
        <v>318</v>
      </c>
      <c r="C1042" s="29" t="s">
        <v>9</v>
      </c>
      <c r="D1042" s="29" t="s">
        <v>11</v>
      </c>
      <c r="E1042" s="14">
        <v>6.93</v>
      </c>
      <c r="F1042" s="4"/>
    </row>
    <row r="1043">
      <c r="A1043" s="52">
        <v>46219.0</v>
      </c>
      <c r="B1043" s="55" t="s">
        <v>1576</v>
      </c>
      <c r="C1043" s="29" t="s">
        <v>9</v>
      </c>
      <c r="D1043" s="29" t="s">
        <v>11</v>
      </c>
      <c r="E1043" s="14">
        <v>34.93</v>
      </c>
      <c r="F1043" s="4"/>
    </row>
    <row r="1044">
      <c r="A1044" s="52">
        <v>46219.0</v>
      </c>
      <c r="B1044" s="55" t="s">
        <v>1579</v>
      </c>
      <c r="C1044" s="29" t="s">
        <v>9</v>
      </c>
      <c r="D1044" s="29" t="s">
        <v>11</v>
      </c>
      <c r="E1044" s="14">
        <v>20.93</v>
      </c>
      <c r="F1044" s="4"/>
    </row>
    <row r="1045">
      <c r="A1045" s="52">
        <v>46219.0</v>
      </c>
      <c r="B1045" s="55" t="s">
        <v>1581</v>
      </c>
      <c r="C1045" s="29" t="s">
        <v>9</v>
      </c>
      <c r="D1045" s="29" t="s">
        <v>11</v>
      </c>
      <c r="E1045" s="14">
        <v>20.93</v>
      </c>
      <c r="F1045" s="4"/>
    </row>
    <row r="1046">
      <c r="A1046" s="52">
        <v>46219.0</v>
      </c>
      <c r="B1046" s="55" t="s">
        <v>1334</v>
      </c>
      <c r="C1046" s="29" t="s">
        <v>9</v>
      </c>
      <c r="D1046" s="29" t="s">
        <v>11</v>
      </c>
      <c r="E1046" s="14">
        <v>11.93</v>
      </c>
      <c r="F1046" s="4"/>
    </row>
    <row r="1047">
      <c r="A1047" s="180"/>
      <c r="B1047" s="182"/>
      <c r="C1047" s="151"/>
      <c r="D1047" s="151"/>
      <c r="E1047" s="184"/>
      <c r="F1047" s="24"/>
    </row>
    <row r="1048">
      <c r="A1048" s="52">
        <v>46220.0</v>
      </c>
      <c r="B1048" s="55" t="s">
        <v>694</v>
      </c>
      <c r="C1048" s="29" t="s">
        <v>9</v>
      </c>
      <c r="D1048" s="29" t="s">
        <v>11</v>
      </c>
      <c r="E1048" s="14">
        <v>19.93</v>
      </c>
      <c r="F1048" s="4"/>
    </row>
    <row r="1049">
      <c r="A1049" s="52">
        <v>46220.0</v>
      </c>
      <c r="B1049" s="55" t="s">
        <v>1584</v>
      </c>
      <c r="C1049" s="29" t="s">
        <v>9</v>
      </c>
      <c r="D1049" s="29" t="s">
        <v>11</v>
      </c>
      <c r="E1049" s="14">
        <v>9.93</v>
      </c>
      <c r="F1049" s="4"/>
    </row>
    <row r="1050">
      <c r="A1050" s="52">
        <v>46220.0</v>
      </c>
      <c r="B1050" s="55" t="s">
        <v>1267</v>
      </c>
      <c r="C1050" s="29" t="s">
        <v>9</v>
      </c>
      <c r="D1050" s="29" t="s">
        <v>11</v>
      </c>
      <c r="E1050" s="14">
        <v>30.93</v>
      </c>
      <c r="F1050" s="4"/>
    </row>
    <row r="1051">
      <c r="A1051" s="52">
        <v>46220.0</v>
      </c>
      <c r="B1051" s="55" t="s">
        <v>1586</v>
      </c>
      <c r="C1051" s="29" t="s">
        <v>9</v>
      </c>
      <c r="D1051" s="29" t="s">
        <v>11</v>
      </c>
      <c r="E1051" s="14">
        <v>19.93</v>
      </c>
      <c r="F1051" s="4"/>
    </row>
    <row r="1052">
      <c r="A1052" s="52">
        <v>46220.0</v>
      </c>
      <c r="B1052" s="55" t="s">
        <v>141</v>
      </c>
      <c r="C1052" s="29" t="s">
        <v>9</v>
      </c>
      <c r="D1052" s="29" t="s">
        <v>11</v>
      </c>
      <c r="E1052" s="14">
        <v>35.93</v>
      </c>
      <c r="F1052" s="4"/>
    </row>
    <row r="1053">
      <c r="A1053" s="52">
        <v>46220.0</v>
      </c>
      <c r="B1053" s="55" t="s">
        <v>1588</v>
      </c>
      <c r="C1053" s="29" t="s">
        <v>9</v>
      </c>
      <c r="D1053" s="29" t="s">
        <v>11</v>
      </c>
      <c r="E1053" s="14">
        <v>23.93</v>
      </c>
      <c r="F1053" s="4"/>
    </row>
    <row r="1054">
      <c r="A1054" s="52">
        <v>46220.0</v>
      </c>
      <c r="B1054" s="55" t="s">
        <v>1591</v>
      </c>
      <c r="C1054" s="29" t="s">
        <v>9</v>
      </c>
      <c r="D1054" s="29" t="s">
        <v>11</v>
      </c>
      <c r="E1054" s="14">
        <v>13.93</v>
      </c>
      <c r="F1054" s="4"/>
    </row>
    <row r="1055">
      <c r="A1055" s="52">
        <v>46220.0</v>
      </c>
      <c r="B1055" s="55" t="s">
        <v>217</v>
      </c>
      <c r="C1055" s="29" t="s">
        <v>8</v>
      </c>
      <c r="D1055" s="29" t="s">
        <v>11</v>
      </c>
      <c r="E1055" s="14">
        <v>9.93</v>
      </c>
      <c r="F1055" s="4"/>
    </row>
    <row r="1056">
      <c r="A1056" s="52">
        <v>46220.0</v>
      </c>
      <c r="B1056" s="55" t="s">
        <v>1594</v>
      </c>
      <c r="C1056" s="29" t="s">
        <v>9</v>
      </c>
      <c r="D1056" s="29" t="s">
        <v>11</v>
      </c>
      <c r="E1056" s="14">
        <v>23.93</v>
      </c>
      <c r="F1056" s="4"/>
    </row>
    <row r="1057">
      <c r="A1057" s="52">
        <v>46220.0</v>
      </c>
      <c r="B1057" s="55" t="s">
        <v>1596</v>
      </c>
      <c r="C1057" s="29" t="s">
        <v>9</v>
      </c>
      <c r="D1057" s="29" t="s">
        <v>11</v>
      </c>
      <c r="E1057" s="14">
        <v>89.78</v>
      </c>
      <c r="F1057" s="4"/>
    </row>
    <row r="1058">
      <c r="A1058" s="52">
        <v>46220.0</v>
      </c>
      <c r="B1058" s="55" t="s">
        <v>1597</v>
      </c>
      <c r="C1058" s="29" t="s">
        <v>9</v>
      </c>
      <c r="D1058" s="29" t="s">
        <v>11</v>
      </c>
      <c r="E1058" s="14">
        <v>12.93</v>
      </c>
      <c r="F1058" s="4"/>
    </row>
    <row r="1059">
      <c r="A1059" s="52">
        <v>46220.0</v>
      </c>
      <c r="B1059" s="55" t="s">
        <v>742</v>
      </c>
      <c r="C1059" s="29" t="s">
        <v>9</v>
      </c>
      <c r="D1059" s="29" t="s">
        <v>11</v>
      </c>
      <c r="E1059" s="14">
        <v>13.93</v>
      </c>
      <c r="F1059" s="4"/>
    </row>
    <row r="1060">
      <c r="A1060" s="52">
        <v>46220.0</v>
      </c>
      <c r="B1060" s="55" t="s">
        <v>1600</v>
      </c>
      <c r="C1060" s="29" t="s">
        <v>9</v>
      </c>
      <c r="D1060" s="29" t="s">
        <v>11</v>
      </c>
      <c r="E1060" s="14">
        <v>12.93</v>
      </c>
      <c r="F1060" s="4"/>
    </row>
    <row r="1061">
      <c r="A1061" s="180"/>
      <c r="B1061" s="182"/>
      <c r="C1061" s="151"/>
      <c r="D1061" s="151"/>
      <c r="E1061" s="184"/>
      <c r="F1061" s="24"/>
    </row>
    <row r="1062">
      <c r="A1062" s="52">
        <v>46224.0</v>
      </c>
      <c r="B1062" s="55" t="s">
        <v>19</v>
      </c>
      <c r="C1062" s="29" t="s">
        <v>9</v>
      </c>
      <c r="D1062" s="29" t="s">
        <v>11</v>
      </c>
      <c r="E1062" s="14">
        <v>89.93</v>
      </c>
      <c r="F1062" s="4"/>
    </row>
    <row r="1063">
      <c r="A1063" s="52">
        <v>46224.0</v>
      </c>
      <c r="B1063" s="55" t="s">
        <v>1604</v>
      </c>
      <c r="C1063" s="29" t="s">
        <v>9</v>
      </c>
      <c r="D1063" s="29" t="s">
        <v>11</v>
      </c>
      <c r="E1063" s="14">
        <v>212.93</v>
      </c>
      <c r="F1063" s="4"/>
    </row>
    <row r="1064">
      <c r="A1064" s="52">
        <v>46224.0</v>
      </c>
      <c r="B1064" s="55" t="s">
        <v>1375</v>
      </c>
      <c r="C1064" s="29" t="s">
        <v>9</v>
      </c>
      <c r="D1064" s="29" t="s">
        <v>11</v>
      </c>
      <c r="E1064" s="14">
        <v>16.93</v>
      </c>
      <c r="F1064" s="4"/>
    </row>
    <row r="1065">
      <c r="A1065" s="52">
        <v>46224.0</v>
      </c>
      <c r="B1065" s="55" t="s">
        <v>1608</v>
      </c>
      <c r="C1065" s="29" t="s">
        <v>9</v>
      </c>
      <c r="D1065" s="29" t="s">
        <v>11</v>
      </c>
      <c r="E1065" s="14">
        <v>100.93</v>
      </c>
      <c r="F1065" s="4"/>
    </row>
    <row r="1066">
      <c r="A1066" s="52">
        <v>46224.0</v>
      </c>
      <c r="B1066" s="55" t="s">
        <v>1453</v>
      </c>
      <c r="C1066" s="29" t="s">
        <v>9</v>
      </c>
      <c r="D1066" s="29" t="s">
        <v>11</v>
      </c>
      <c r="E1066" s="14">
        <v>79.93</v>
      </c>
      <c r="F1066" s="4"/>
    </row>
    <row r="1067">
      <c r="A1067" s="52">
        <v>46224.0</v>
      </c>
      <c r="B1067" s="55" t="s">
        <v>1318</v>
      </c>
      <c r="C1067" s="29" t="s">
        <v>9</v>
      </c>
      <c r="D1067" s="29" t="s">
        <v>11</v>
      </c>
      <c r="E1067" s="14">
        <v>11.93</v>
      </c>
      <c r="F1067" s="4"/>
    </row>
    <row r="1068">
      <c r="A1068" s="52">
        <v>46224.0</v>
      </c>
      <c r="B1068" s="55" t="s">
        <v>1612</v>
      </c>
      <c r="C1068" s="29" t="s">
        <v>9</v>
      </c>
      <c r="D1068" s="29" t="s">
        <v>11</v>
      </c>
      <c r="E1068" s="14">
        <v>56.93</v>
      </c>
      <c r="F1068" s="4"/>
    </row>
    <row r="1069">
      <c r="A1069" s="52">
        <v>46224.0</v>
      </c>
      <c r="B1069" s="55" t="s">
        <v>1614</v>
      </c>
      <c r="C1069" s="29" t="s">
        <v>9</v>
      </c>
      <c r="D1069" s="29" t="s">
        <v>11</v>
      </c>
      <c r="E1069" s="14">
        <v>45.93</v>
      </c>
      <c r="F1069" s="4"/>
    </row>
    <row r="1070">
      <c r="A1070" s="52">
        <v>46224.0</v>
      </c>
      <c r="B1070" s="55" t="s">
        <v>1616</v>
      </c>
      <c r="C1070" s="29" t="s">
        <v>9</v>
      </c>
      <c r="D1070" s="29" t="s">
        <v>11</v>
      </c>
      <c r="E1070" s="14">
        <v>60.93</v>
      </c>
      <c r="F1070" s="4"/>
    </row>
    <row r="1071">
      <c r="A1071" s="52">
        <v>46224.0</v>
      </c>
      <c r="B1071" s="55" t="s">
        <v>1619</v>
      </c>
      <c r="C1071" s="29" t="s">
        <v>9</v>
      </c>
      <c r="D1071" s="29" t="s">
        <v>11</v>
      </c>
      <c r="E1071" s="14">
        <v>45.93</v>
      </c>
      <c r="F1071" s="4"/>
    </row>
    <row r="1072">
      <c r="A1072" s="180"/>
      <c r="B1072" s="182"/>
      <c r="C1072" s="151"/>
      <c r="D1072" s="151"/>
      <c r="E1072" s="184"/>
      <c r="F1072" s="24"/>
    </row>
    <row r="1073">
      <c r="A1073" s="52">
        <v>46225.0</v>
      </c>
      <c r="B1073" s="55" t="s">
        <v>1335</v>
      </c>
      <c r="C1073" s="29" t="s">
        <v>9</v>
      </c>
      <c r="D1073" s="29" t="s">
        <v>11</v>
      </c>
      <c r="E1073" s="14">
        <v>16.93</v>
      </c>
      <c r="F1073" s="12">
        <v>14.0</v>
      </c>
    </row>
    <row r="1074">
      <c r="A1074" s="52">
        <v>46225.0</v>
      </c>
      <c r="B1074" s="55" t="s">
        <v>1473</v>
      </c>
      <c r="C1074" s="29" t="s">
        <v>9</v>
      </c>
      <c r="D1074" s="29" t="s">
        <v>11</v>
      </c>
      <c r="E1074" s="14">
        <v>20.93</v>
      </c>
      <c r="F1074" s="4"/>
    </row>
    <row r="1075">
      <c r="A1075" s="52">
        <v>46225.0</v>
      </c>
      <c r="B1075" s="55" t="s">
        <v>1624</v>
      </c>
      <c r="C1075" s="29" t="s">
        <v>9</v>
      </c>
      <c r="D1075" s="29" t="s">
        <v>11</v>
      </c>
      <c r="E1075" s="14">
        <v>20.93</v>
      </c>
      <c r="F1075" s="4"/>
    </row>
    <row r="1076">
      <c r="A1076" s="52">
        <v>46225.0</v>
      </c>
      <c r="B1076" s="55" t="s">
        <v>1361</v>
      </c>
      <c r="C1076" s="29" t="s">
        <v>9</v>
      </c>
      <c r="D1076" s="29" t="s">
        <v>11</v>
      </c>
      <c r="E1076" s="14">
        <v>10.93</v>
      </c>
      <c r="F1076" s="4"/>
    </row>
    <row r="1077">
      <c r="A1077" s="52">
        <v>46225.0</v>
      </c>
      <c r="B1077" s="55" t="s">
        <v>1627</v>
      </c>
      <c r="C1077" s="29" t="s">
        <v>9</v>
      </c>
      <c r="D1077" s="29" t="s">
        <v>11</v>
      </c>
      <c r="E1077" s="14">
        <v>12.93</v>
      </c>
      <c r="F1077" s="4"/>
    </row>
    <row r="1078">
      <c r="A1078" s="52">
        <v>46225.0</v>
      </c>
      <c r="B1078" s="55" t="s">
        <v>1238</v>
      </c>
      <c r="C1078" s="29" t="s">
        <v>9</v>
      </c>
      <c r="D1078" s="29" t="s">
        <v>11</v>
      </c>
      <c r="E1078" s="14">
        <v>20.93</v>
      </c>
      <c r="F1078" s="12">
        <v>2.0</v>
      </c>
    </row>
    <row r="1079">
      <c r="A1079" s="52">
        <v>46225.0</v>
      </c>
      <c r="B1079" s="55" t="s">
        <v>643</v>
      </c>
      <c r="C1079" s="29" t="s">
        <v>9</v>
      </c>
      <c r="D1079" s="29" t="s">
        <v>11</v>
      </c>
      <c r="E1079" s="14">
        <v>12.93</v>
      </c>
      <c r="F1079" s="12">
        <v>2.0</v>
      </c>
    </row>
    <row r="1080">
      <c r="A1080" s="52">
        <v>46225.0</v>
      </c>
      <c r="B1080" s="55" t="s">
        <v>180</v>
      </c>
      <c r="C1080" s="29" t="s">
        <v>9</v>
      </c>
      <c r="D1080" s="29" t="s">
        <v>11</v>
      </c>
      <c r="E1080" s="14">
        <v>45.93</v>
      </c>
      <c r="F1080" s="12">
        <v>4.0</v>
      </c>
    </row>
    <row r="1081">
      <c r="A1081" s="52">
        <v>46225.0</v>
      </c>
      <c r="B1081" s="55" t="s">
        <v>192</v>
      </c>
      <c r="C1081" s="29" t="s">
        <v>9</v>
      </c>
      <c r="D1081" s="29" t="s">
        <v>11</v>
      </c>
      <c r="E1081" s="14">
        <v>85.97</v>
      </c>
      <c r="F1081" s="12">
        <v>3.0</v>
      </c>
    </row>
    <row r="1082">
      <c r="A1082" s="52">
        <v>46225.0</v>
      </c>
      <c r="B1082" s="55" t="s">
        <v>1633</v>
      </c>
      <c r="C1082" s="29" t="s">
        <v>9</v>
      </c>
      <c r="D1082" s="29" t="s">
        <v>11</v>
      </c>
      <c r="E1082" s="14">
        <v>32.93</v>
      </c>
      <c r="F1082" s="12">
        <v>4.0</v>
      </c>
    </row>
    <row r="1083">
      <c r="A1083" s="52">
        <v>46225.0</v>
      </c>
      <c r="B1083" s="55" t="s">
        <v>1016</v>
      </c>
      <c r="C1083" s="29" t="s">
        <v>9</v>
      </c>
      <c r="D1083" s="29" t="s">
        <v>11</v>
      </c>
      <c r="E1083" s="14">
        <v>30.93</v>
      </c>
      <c r="F1083" s="12">
        <v>6.0</v>
      </c>
    </row>
    <row r="1084">
      <c r="A1084" s="52">
        <v>46225.0</v>
      </c>
      <c r="B1084" s="55" t="s">
        <v>1635</v>
      </c>
      <c r="C1084" s="29" t="s">
        <v>9</v>
      </c>
      <c r="D1084" s="29" t="s">
        <v>11</v>
      </c>
      <c r="E1084" s="14">
        <v>70.93</v>
      </c>
      <c r="F1084" s="4"/>
    </row>
    <row r="1085">
      <c r="A1085" s="52">
        <v>46225.0</v>
      </c>
      <c r="B1085" s="55" t="s">
        <v>1637</v>
      </c>
      <c r="C1085" s="29" t="s">
        <v>9</v>
      </c>
      <c r="D1085" s="29" t="s">
        <v>11</v>
      </c>
      <c r="E1085" s="14">
        <v>22.93</v>
      </c>
      <c r="F1085" s="4"/>
    </row>
    <row r="1086">
      <c r="A1086" s="52">
        <v>46225.0</v>
      </c>
      <c r="B1086" s="55" t="s">
        <v>1639</v>
      </c>
      <c r="C1086" s="29" t="s">
        <v>9</v>
      </c>
      <c r="D1086" s="29" t="s">
        <v>11</v>
      </c>
      <c r="E1086" s="14">
        <v>22.93</v>
      </c>
      <c r="F1086" s="4"/>
    </row>
    <row r="1087">
      <c r="A1087" s="180"/>
      <c r="B1087" s="182"/>
      <c r="C1087" s="151"/>
      <c r="D1087" s="151"/>
      <c r="E1087" s="184"/>
      <c r="F1087" s="24"/>
    </row>
    <row r="1088">
      <c r="A1088" s="52">
        <v>46231.0</v>
      </c>
      <c r="B1088" s="55" t="s">
        <v>1642</v>
      </c>
      <c r="C1088" s="29" t="s">
        <v>8</v>
      </c>
      <c r="D1088" s="29" t="s">
        <v>11</v>
      </c>
      <c r="E1088" s="14">
        <v>19.93</v>
      </c>
      <c r="F1088" s="4"/>
    </row>
    <row r="1089">
      <c r="A1089" s="52">
        <v>46231.0</v>
      </c>
      <c r="B1089" s="55" t="s">
        <v>1644</v>
      </c>
      <c r="C1089" s="29" t="s">
        <v>8</v>
      </c>
      <c r="D1089" s="29" t="s">
        <v>11</v>
      </c>
      <c r="E1089" s="14">
        <v>21.93</v>
      </c>
      <c r="F1089" s="4"/>
    </row>
    <row r="1090">
      <c r="A1090" s="52">
        <v>46231.0</v>
      </c>
      <c r="B1090" s="55" t="s">
        <v>1646</v>
      </c>
      <c r="C1090" s="29" t="s">
        <v>8</v>
      </c>
      <c r="D1090" s="29" t="s">
        <v>11</v>
      </c>
      <c r="E1090" s="14">
        <v>35.93</v>
      </c>
      <c r="F1090" s="12">
        <v>2.0</v>
      </c>
    </row>
    <row r="1091">
      <c r="A1091" s="52">
        <v>46231.0</v>
      </c>
      <c r="B1091" s="55" t="s">
        <v>1648</v>
      </c>
      <c r="C1091" s="29" t="s">
        <v>8</v>
      </c>
      <c r="D1091" s="29" t="s">
        <v>11</v>
      </c>
      <c r="E1091" s="14">
        <v>10.93</v>
      </c>
      <c r="F1091" s="12">
        <v>4.0</v>
      </c>
    </row>
    <row r="1092">
      <c r="A1092" s="52">
        <v>46231.0</v>
      </c>
      <c r="B1092" s="55" t="s">
        <v>1649</v>
      </c>
      <c r="C1092" s="29" t="s">
        <v>8</v>
      </c>
      <c r="D1092" s="29" t="s">
        <v>11</v>
      </c>
      <c r="E1092" s="14">
        <v>10.93</v>
      </c>
      <c r="F1092" s="4"/>
    </row>
    <row r="1093">
      <c r="A1093" s="52">
        <v>46231.0</v>
      </c>
      <c r="B1093" s="55" t="s">
        <v>1292</v>
      </c>
      <c r="C1093" s="29" t="s">
        <v>8</v>
      </c>
      <c r="D1093" s="29" t="s">
        <v>11</v>
      </c>
      <c r="E1093" s="14">
        <v>10.93</v>
      </c>
      <c r="F1093" s="4"/>
    </row>
    <row r="1094">
      <c r="A1094" s="52">
        <v>46231.0</v>
      </c>
      <c r="B1094" s="55" t="s">
        <v>1652</v>
      </c>
      <c r="C1094" s="29" t="s">
        <v>8</v>
      </c>
      <c r="D1094" s="29" t="s">
        <v>11</v>
      </c>
      <c r="E1094" s="14">
        <v>89.78</v>
      </c>
      <c r="F1094" s="4"/>
    </row>
    <row r="1095">
      <c r="A1095" s="180"/>
      <c r="B1095" s="182"/>
      <c r="C1095" s="151"/>
      <c r="D1095" s="151"/>
      <c r="E1095" s="184"/>
      <c r="F1095" s="24"/>
    </row>
    <row r="1096">
      <c r="A1096" s="52">
        <v>46232.0</v>
      </c>
      <c r="B1096" s="55" t="s">
        <v>1655</v>
      </c>
      <c r="C1096" s="29" t="s">
        <v>8</v>
      </c>
      <c r="D1096" s="29" t="s">
        <v>11</v>
      </c>
      <c r="E1096" s="14">
        <v>59.93</v>
      </c>
      <c r="F1096" s="4"/>
    </row>
    <row r="1097">
      <c r="A1097" s="52">
        <v>46232.0</v>
      </c>
      <c r="B1097" s="55" t="s">
        <v>616</v>
      </c>
      <c r="C1097" s="29" t="s">
        <v>8</v>
      </c>
      <c r="D1097" s="29" t="s">
        <v>11</v>
      </c>
      <c r="E1097" s="14">
        <v>25.93</v>
      </c>
      <c r="F1097" s="12" t="s">
        <v>1658</v>
      </c>
    </row>
    <row r="1098">
      <c r="A1098" s="52">
        <v>46232.0</v>
      </c>
      <c r="B1098" s="55" t="s">
        <v>1660</v>
      </c>
      <c r="C1098" s="29" t="s">
        <v>8</v>
      </c>
      <c r="D1098" s="29" t="s">
        <v>11</v>
      </c>
      <c r="E1098" s="14">
        <v>10.93</v>
      </c>
      <c r="F1098" s="4"/>
    </row>
    <row r="1099">
      <c r="A1099" s="52">
        <v>46232.0</v>
      </c>
      <c r="B1099" s="55" t="s">
        <v>1661</v>
      </c>
      <c r="C1099" s="29" t="s">
        <v>8</v>
      </c>
      <c r="D1099" s="29" t="s">
        <v>11</v>
      </c>
      <c r="E1099" s="14">
        <v>89.78</v>
      </c>
      <c r="F1099" s="4"/>
    </row>
    <row r="1100">
      <c r="A1100" s="52">
        <v>46232.0</v>
      </c>
      <c r="B1100" s="55" t="s">
        <v>1567</v>
      </c>
      <c r="C1100" s="29" t="s">
        <v>8</v>
      </c>
      <c r="D1100" s="29" t="s">
        <v>11</v>
      </c>
      <c r="E1100" s="14">
        <v>89.78</v>
      </c>
      <c r="F1100" s="4"/>
    </row>
    <row r="1101">
      <c r="A1101" s="52">
        <v>46232.0</v>
      </c>
      <c r="B1101" s="55" t="s">
        <v>49</v>
      </c>
      <c r="C1101" s="29" t="s">
        <v>8</v>
      </c>
      <c r="D1101" s="29" t="s">
        <v>11</v>
      </c>
      <c r="E1101" s="14">
        <v>79.93</v>
      </c>
      <c r="F1101" s="4"/>
    </row>
    <row r="1102">
      <c r="A1102" s="52">
        <v>46232.0</v>
      </c>
      <c r="B1102" s="55" t="s">
        <v>1322</v>
      </c>
      <c r="C1102" s="29" t="s">
        <v>8</v>
      </c>
      <c r="D1102" s="29" t="s">
        <v>11</v>
      </c>
      <c r="E1102" s="14">
        <v>65.93</v>
      </c>
      <c r="F1102" s="4"/>
    </row>
    <row r="1103">
      <c r="A1103" s="52">
        <v>46232.0</v>
      </c>
      <c r="B1103" s="55" t="s">
        <v>568</v>
      </c>
      <c r="C1103" s="29" t="s">
        <v>8</v>
      </c>
      <c r="D1103" s="29" t="s">
        <v>11</v>
      </c>
      <c r="E1103" s="14">
        <v>19.93</v>
      </c>
      <c r="F1103" s="4"/>
    </row>
    <row r="1104">
      <c r="A1104" s="180"/>
      <c r="B1104" s="182"/>
      <c r="C1104" s="151"/>
      <c r="D1104" s="151"/>
      <c r="E1104" s="184"/>
      <c r="F1104" s="24"/>
    </row>
    <row r="1105">
      <c r="A1105" s="52">
        <v>46233.0</v>
      </c>
      <c r="B1105" s="55" t="s">
        <v>1669</v>
      </c>
      <c r="C1105" s="29" t="s">
        <v>9</v>
      </c>
      <c r="D1105" s="29" t="s">
        <v>11</v>
      </c>
      <c r="E1105" s="14">
        <v>12.93</v>
      </c>
      <c r="F1105" s="12">
        <v>12.0</v>
      </c>
    </row>
    <row r="1106">
      <c r="A1106" s="52">
        <v>46233.0</v>
      </c>
      <c r="B1106" s="55" t="s">
        <v>1672</v>
      </c>
      <c r="C1106" s="29" t="s">
        <v>9</v>
      </c>
      <c r="D1106" s="29" t="s">
        <v>11</v>
      </c>
      <c r="E1106" s="14">
        <v>15.93</v>
      </c>
      <c r="F1106" s="4"/>
    </row>
    <row r="1107">
      <c r="A1107" s="52">
        <v>46233.0</v>
      </c>
      <c r="B1107" s="55" t="s">
        <v>1675</v>
      </c>
      <c r="C1107" s="29" t="s">
        <v>9</v>
      </c>
      <c r="D1107" s="29" t="s">
        <v>11</v>
      </c>
      <c r="E1107" s="14">
        <v>20.93</v>
      </c>
      <c r="F1107" s="4"/>
    </row>
    <row r="1108">
      <c r="A1108" s="52">
        <v>46233.0</v>
      </c>
      <c r="B1108" s="55" t="s">
        <v>1678</v>
      </c>
      <c r="C1108" s="29" t="s">
        <v>9</v>
      </c>
      <c r="D1108" s="29" t="s">
        <v>11</v>
      </c>
      <c r="E1108" s="14">
        <v>20.93</v>
      </c>
      <c r="F1108" s="12">
        <v>3.0</v>
      </c>
    </row>
    <row r="1109">
      <c r="A1109" s="52">
        <v>46233.0</v>
      </c>
      <c r="B1109" s="55" t="s">
        <v>1681</v>
      </c>
      <c r="C1109" s="29" t="s">
        <v>9</v>
      </c>
      <c r="D1109" s="29" t="s">
        <v>11</v>
      </c>
      <c r="E1109" s="14">
        <v>20.93</v>
      </c>
      <c r="F1109" s="4"/>
    </row>
    <row r="1110">
      <c r="A1110" s="52">
        <v>46233.0</v>
      </c>
      <c r="B1110" s="55" t="s">
        <v>1684</v>
      </c>
      <c r="C1110" s="29" t="s">
        <v>9</v>
      </c>
      <c r="D1110" s="29" t="s">
        <v>11</v>
      </c>
      <c r="E1110" s="14">
        <v>20.93</v>
      </c>
      <c r="F1110" s="12">
        <v>3.0</v>
      </c>
    </row>
    <row r="1111">
      <c r="A1111" s="52">
        <v>46233.0</v>
      </c>
      <c r="B1111" s="55" t="s">
        <v>1685</v>
      </c>
      <c r="C1111" s="29" t="s">
        <v>9</v>
      </c>
      <c r="D1111" s="29" t="s">
        <v>11</v>
      </c>
      <c r="E1111" s="14">
        <v>20.93</v>
      </c>
      <c r="F1111" s="4"/>
    </row>
    <row r="1112">
      <c r="A1112" s="52">
        <v>46233.0</v>
      </c>
      <c r="B1112" s="55" t="s">
        <v>1688</v>
      </c>
      <c r="C1112" s="29" t="s">
        <v>9</v>
      </c>
      <c r="D1112" s="29" t="s">
        <v>11</v>
      </c>
      <c r="E1112" s="14">
        <v>14.93</v>
      </c>
      <c r="F1112" s="4"/>
    </row>
    <row r="1113">
      <c r="A1113" s="52">
        <v>46233.0</v>
      </c>
      <c r="B1113" s="55" t="s">
        <v>1689</v>
      </c>
      <c r="C1113" s="29" t="s">
        <v>9</v>
      </c>
      <c r="D1113" s="29" t="s">
        <v>11</v>
      </c>
      <c r="E1113" s="14">
        <v>40.93</v>
      </c>
      <c r="F1113" s="4"/>
    </row>
    <row r="1114">
      <c r="A1114" s="52">
        <v>46233.0</v>
      </c>
      <c r="B1114" s="55" t="s">
        <v>1691</v>
      </c>
      <c r="C1114" s="29" t="s">
        <v>9</v>
      </c>
      <c r="D1114" s="29" t="s">
        <v>11</v>
      </c>
      <c r="E1114" s="14">
        <v>45.93</v>
      </c>
      <c r="F1114" s="4"/>
    </row>
    <row r="1115">
      <c r="A1115" s="52">
        <v>46233.0</v>
      </c>
      <c r="B1115" s="55" t="s">
        <v>1694</v>
      </c>
      <c r="C1115" s="29" t="s">
        <v>9</v>
      </c>
      <c r="D1115" s="29" t="s">
        <v>11</v>
      </c>
      <c r="E1115" s="14">
        <v>20.93</v>
      </c>
      <c r="F1115" s="4"/>
    </row>
    <row r="1116">
      <c r="A1116" s="52">
        <v>46233.0</v>
      </c>
      <c r="B1116" s="55" t="s">
        <v>666</v>
      </c>
      <c r="C1116" s="29" t="s">
        <v>9</v>
      </c>
      <c r="D1116" s="29" t="s">
        <v>11</v>
      </c>
      <c r="E1116" s="14">
        <v>20.93</v>
      </c>
      <c r="F1116" s="4"/>
    </row>
    <row r="1117">
      <c r="A1117" s="52">
        <v>46233.0</v>
      </c>
      <c r="B1117" s="55" t="s">
        <v>1699</v>
      </c>
      <c r="C1117" s="29" t="s">
        <v>9</v>
      </c>
      <c r="D1117" s="29" t="s">
        <v>11</v>
      </c>
      <c r="E1117" s="14">
        <v>25.93</v>
      </c>
      <c r="F1117" s="4"/>
    </row>
    <row r="1118">
      <c r="A1118" s="52">
        <v>46233.0</v>
      </c>
      <c r="B1118" s="55" t="s">
        <v>1701</v>
      </c>
      <c r="C1118" s="29" t="s">
        <v>9</v>
      </c>
      <c r="D1118" s="29" t="s">
        <v>11</v>
      </c>
      <c r="E1118" s="14">
        <v>35.93</v>
      </c>
      <c r="F1118" s="4"/>
    </row>
    <row r="1119">
      <c r="A1119" s="52">
        <v>46233.0</v>
      </c>
      <c r="B1119" s="55" t="s">
        <v>1379</v>
      </c>
      <c r="C1119" s="29" t="s">
        <v>9</v>
      </c>
      <c r="D1119" s="29" t="s">
        <v>11</v>
      </c>
      <c r="E1119" s="14">
        <v>75.93</v>
      </c>
      <c r="F1119" s="4"/>
    </row>
    <row r="1120">
      <c r="A1120" s="52">
        <v>46233.0</v>
      </c>
      <c r="B1120" s="55" t="s">
        <v>1703</v>
      </c>
      <c r="C1120" s="29" t="s">
        <v>9</v>
      </c>
      <c r="D1120" s="29" t="s">
        <v>11</v>
      </c>
      <c r="E1120" s="14">
        <v>25.93</v>
      </c>
      <c r="F1120" s="4"/>
    </row>
    <row r="1121">
      <c r="A1121" s="52">
        <v>46233.0</v>
      </c>
      <c r="B1121" s="55" t="s">
        <v>223</v>
      </c>
      <c r="C1121" s="29" t="s">
        <v>9</v>
      </c>
      <c r="D1121" s="29" t="s">
        <v>11</v>
      </c>
      <c r="E1121" s="14">
        <v>20.93</v>
      </c>
      <c r="F1121" s="12">
        <v>2.0</v>
      </c>
    </row>
    <row r="1122">
      <c r="A1122" s="52">
        <v>46233.0</v>
      </c>
      <c r="B1122" s="55" t="s">
        <v>206</v>
      </c>
      <c r="C1122" s="29" t="s">
        <v>9</v>
      </c>
      <c r="D1122" s="29" t="s">
        <v>11</v>
      </c>
      <c r="E1122" s="14">
        <v>15.93</v>
      </c>
      <c r="F1122" s="4"/>
    </row>
    <row r="1123">
      <c r="A1123" s="180"/>
      <c r="B1123" s="182"/>
      <c r="C1123" s="151"/>
      <c r="D1123" s="151"/>
      <c r="E1123" s="184"/>
      <c r="F1123" s="24"/>
    </row>
    <row r="1124">
      <c r="A1124" s="52">
        <v>46234.0</v>
      </c>
      <c r="B1124" s="55" t="s">
        <v>966</v>
      </c>
      <c r="C1124" s="29" t="s">
        <v>9</v>
      </c>
      <c r="D1124" s="29" t="s">
        <v>11</v>
      </c>
      <c r="E1124" s="14">
        <v>139.93</v>
      </c>
      <c r="F1124" s="4"/>
    </row>
    <row r="1125">
      <c r="A1125" s="52">
        <v>46234.0</v>
      </c>
      <c r="B1125" s="55" t="s">
        <v>44</v>
      </c>
      <c r="C1125" s="29" t="s">
        <v>9</v>
      </c>
      <c r="D1125" s="29" t="s">
        <v>11</v>
      </c>
      <c r="E1125" s="14">
        <v>20.93</v>
      </c>
      <c r="F1125" s="4"/>
    </row>
    <row r="1126">
      <c r="A1126" s="52">
        <v>46234.0</v>
      </c>
      <c r="B1126" s="55" t="s">
        <v>1712</v>
      </c>
      <c r="C1126" s="29" t="s">
        <v>9</v>
      </c>
      <c r="D1126" s="29" t="s">
        <v>11</v>
      </c>
      <c r="E1126" s="14">
        <v>98.93</v>
      </c>
      <c r="F1126" s="4"/>
    </row>
    <row r="1127">
      <c r="A1127" s="52">
        <v>46234.0</v>
      </c>
      <c r="B1127" s="55" t="s">
        <v>874</v>
      </c>
      <c r="C1127" s="29" t="s">
        <v>9</v>
      </c>
      <c r="D1127" s="29" t="s">
        <v>11</v>
      </c>
      <c r="E1127" s="14">
        <v>19.93</v>
      </c>
      <c r="F1127" s="4"/>
    </row>
    <row r="1128">
      <c r="A1128" s="52">
        <v>46234.0</v>
      </c>
      <c r="B1128" s="55" t="s">
        <v>1716</v>
      </c>
      <c r="C1128" s="29" t="s">
        <v>9</v>
      </c>
      <c r="D1128" s="29" t="s">
        <v>11</v>
      </c>
      <c r="E1128" s="14">
        <v>95.93</v>
      </c>
      <c r="F1128" s="4"/>
    </row>
    <row r="1129">
      <c r="A1129" s="180"/>
      <c r="B1129" s="182"/>
      <c r="C1129" s="151"/>
      <c r="D1129" s="151"/>
      <c r="E1129" s="184"/>
      <c r="F1129" s="24"/>
    </row>
    <row r="1130">
      <c r="A1130" s="52">
        <v>46239.0</v>
      </c>
      <c r="B1130" s="55" t="s">
        <v>1440</v>
      </c>
      <c r="C1130" s="29" t="s">
        <v>9</v>
      </c>
      <c r="D1130" s="29" t="s">
        <v>11</v>
      </c>
      <c r="E1130" s="14">
        <v>10.93</v>
      </c>
      <c r="F1130" s="4"/>
    </row>
    <row r="1131">
      <c r="A1131" s="52">
        <v>46239.0</v>
      </c>
      <c r="B1131" s="55" t="s">
        <v>1363</v>
      </c>
      <c r="C1131" s="29" t="s">
        <v>9</v>
      </c>
      <c r="D1131" s="29" t="s">
        <v>11</v>
      </c>
      <c r="E1131" s="14">
        <v>20.93</v>
      </c>
      <c r="F1131" s="12">
        <v>5.0</v>
      </c>
    </row>
    <row r="1132">
      <c r="A1132" s="52">
        <v>46239.0</v>
      </c>
      <c r="B1132" s="55" t="s">
        <v>209</v>
      </c>
      <c r="C1132" s="29" t="s">
        <v>9</v>
      </c>
      <c r="D1132" s="29" t="s">
        <v>11</v>
      </c>
      <c r="E1132" s="14">
        <v>7.93</v>
      </c>
      <c r="F1132" s="4"/>
    </row>
    <row r="1133">
      <c r="A1133" s="52">
        <v>46239.0</v>
      </c>
      <c r="B1133" s="55" t="s">
        <v>1368</v>
      </c>
      <c r="C1133" s="29" t="s">
        <v>9</v>
      </c>
      <c r="D1133" s="29" t="s">
        <v>11</v>
      </c>
      <c r="E1133" s="14">
        <v>20.93</v>
      </c>
      <c r="F1133" s="4"/>
    </row>
    <row r="1134">
      <c r="A1134" s="52">
        <v>46239.0</v>
      </c>
      <c r="B1134" s="55" t="s">
        <v>1341</v>
      </c>
      <c r="C1134" s="29" t="s">
        <v>9</v>
      </c>
      <c r="D1134" s="29" t="s">
        <v>11</v>
      </c>
      <c r="E1134" s="14">
        <v>75.93</v>
      </c>
      <c r="F1134" s="12">
        <v>2.0</v>
      </c>
    </row>
    <row r="1135">
      <c r="A1135" s="52">
        <v>46239.0</v>
      </c>
      <c r="B1135" s="55" t="s">
        <v>1435</v>
      </c>
      <c r="C1135" s="29" t="s">
        <v>9</v>
      </c>
      <c r="D1135" s="29" t="s">
        <v>11</v>
      </c>
      <c r="E1135" s="14">
        <v>10.93</v>
      </c>
      <c r="F1135" s="12">
        <v>6.0</v>
      </c>
    </row>
    <row r="1136">
      <c r="A1136" s="52">
        <v>46239.0</v>
      </c>
      <c r="B1136" s="55" t="s">
        <v>1430</v>
      </c>
      <c r="C1136" s="29" t="s">
        <v>9</v>
      </c>
      <c r="D1136" s="29" t="s">
        <v>12</v>
      </c>
      <c r="E1136" s="14">
        <v>10.97</v>
      </c>
      <c r="F1136" s="4"/>
    </row>
    <row r="1137">
      <c r="A1137" s="52">
        <v>46239.0</v>
      </c>
      <c r="B1137" s="55" t="s">
        <v>1436</v>
      </c>
      <c r="C1137" s="29" t="s">
        <v>9</v>
      </c>
      <c r="D1137" s="29" t="s">
        <v>11</v>
      </c>
      <c r="E1137" s="14">
        <v>18.93</v>
      </c>
      <c r="F1137" s="12">
        <v>3.0</v>
      </c>
    </row>
    <row r="1138">
      <c r="A1138" s="52">
        <v>46239.0</v>
      </c>
      <c r="B1138" s="55" t="s">
        <v>1329</v>
      </c>
      <c r="C1138" s="29" t="s">
        <v>9</v>
      </c>
      <c r="D1138" s="29" t="s">
        <v>11</v>
      </c>
      <c r="E1138" s="14">
        <v>13.93</v>
      </c>
      <c r="F1138" s="12">
        <v>16.0</v>
      </c>
    </row>
    <row r="1139">
      <c r="A1139" s="52">
        <v>46239.0</v>
      </c>
      <c r="B1139" s="55" t="s">
        <v>1440</v>
      </c>
      <c r="C1139" s="29" t="s">
        <v>9</v>
      </c>
      <c r="D1139" s="29" t="s">
        <v>11</v>
      </c>
      <c r="E1139" s="14">
        <v>11.97</v>
      </c>
      <c r="F1139" s="12">
        <v>11.0</v>
      </c>
    </row>
    <row r="1140">
      <c r="A1140" s="180"/>
      <c r="B1140" s="182"/>
      <c r="C1140" s="151"/>
      <c r="D1140" s="151"/>
      <c r="E1140" s="184"/>
      <c r="F1140" s="24"/>
    </row>
    <row r="1141">
      <c r="A1141" s="52">
        <v>46240.0</v>
      </c>
      <c r="B1141" s="55" t="s">
        <v>1333</v>
      </c>
      <c r="C1141" s="29" t="s">
        <v>9</v>
      </c>
      <c r="D1141" s="29" t="s">
        <v>12</v>
      </c>
      <c r="E1141" s="14">
        <v>11.97</v>
      </c>
      <c r="F1141" s="12">
        <v>3.0</v>
      </c>
    </row>
    <row r="1142">
      <c r="A1142" s="52">
        <v>46240.0</v>
      </c>
      <c r="B1142" s="55" t="s">
        <v>273</v>
      </c>
      <c r="C1142" s="29" t="s">
        <v>9</v>
      </c>
      <c r="D1142" s="29" t="s">
        <v>11</v>
      </c>
      <c r="E1142" s="14">
        <v>10.93</v>
      </c>
      <c r="F1142" s="12">
        <v>12.0</v>
      </c>
    </row>
    <row r="1143">
      <c r="A1143" s="52">
        <v>46240.0</v>
      </c>
      <c r="B1143" s="55" t="s">
        <v>1442</v>
      </c>
      <c r="C1143" s="29" t="s">
        <v>9</v>
      </c>
      <c r="D1143" s="29" t="s">
        <v>11</v>
      </c>
      <c r="E1143" s="14">
        <v>22.93</v>
      </c>
      <c r="F1143" s="12">
        <v>2.0</v>
      </c>
    </row>
    <row r="1144">
      <c r="A1144" s="52">
        <v>46240.0</v>
      </c>
      <c r="B1144" s="55" t="s">
        <v>442</v>
      </c>
      <c r="C1144" s="29" t="s">
        <v>9</v>
      </c>
      <c r="D1144" s="29" t="s">
        <v>11</v>
      </c>
      <c r="E1144" s="14">
        <v>15.93</v>
      </c>
      <c r="F1144" s="4"/>
    </row>
    <row r="1145">
      <c r="A1145" s="52">
        <v>46240.0</v>
      </c>
      <c r="B1145" s="55" t="s">
        <v>1336</v>
      </c>
      <c r="C1145" s="29" t="s">
        <v>9</v>
      </c>
      <c r="D1145" s="29" t="s">
        <v>11</v>
      </c>
      <c r="E1145" s="14">
        <v>4.93</v>
      </c>
      <c r="F1145" s="12">
        <v>13.0</v>
      </c>
    </row>
    <row r="1146">
      <c r="A1146" s="52">
        <v>46240.0</v>
      </c>
      <c r="B1146" s="55" t="s">
        <v>872</v>
      </c>
      <c r="C1146" s="29" t="s">
        <v>9</v>
      </c>
      <c r="D1146" s="29" t="s">
        <v>1356</v>
      </c>
      <c r="E1146" s="14">
        <v>50.78</v>
      </c>
      <c r="F1146" s="4"/>
    </row>
    <row r="1147">
      <c r="A1147" s="52">
        <v>46240.0</v>
      </c>
      <c r="B1147" s="55" t="s">
        <v>568</v>
      </c>
      <c r="C1147" s="29" t="s">
        <v>9</v>
      </c>
      <c r="D1147" s="29" t="s">
        <v>1356</v>
      </c>
      <c r="E1147" s="14">
        <v>20.78</v>
      </c>
      <c r="F1147" s="4"/>
    </row>
    <row r="1148">
      <c r="A1148" s="52">
        <v>46240.0</v>
      </c>
      <c r="B1148" s="55" t="s">
        <v>1737</v>
      </c>
      <c r="C1148" s="29" t="s">
        <v>9</v>
      </c>
      <c r="D1148" s="29" t="s">
        <v>1356</v>
      </c>
      <c r="E1148" s="14">
        <v>45.78</v>
      </c>
      <c r="F1148" s="4"/>
    </row>
    <row r="1149">
      <c r="A1149" s="52">
        <v>46240.0</v>
      </c>
      <c r="B1149" s="55" t="s">
        <v>1739</v>
      </c>
      <c r="C1149" s="29" t="s">
        <v>8</v>
      </c>
      <c r="D1149" s="29" t="s">
        <v>1356</v>
      </c>
      <c r="E1149" s="14">
        <v>32.78</v>
      </c>
      <c r="F1149" s="4"/>
    </row>
    <row r="1150">
      <c r="A1150" s="52">
        <v>46240.0</v>
      </c>
      <c r="B1150" s="55" t="s">
        <v>847</v>
      </c>
      <c r="C1150" s="29" t="s">
        <v>9</v>
      </c>
      <c r="D1150" s="29" t="s">
        <v>1356</v>
      </c>
      <c r="E1150" s="14">
        <v>32.78</v>
      </c>
      <c r="F1150" s="4"/>
    </row>
    <row r="1151">
      <c r="A1151" s="52">
        <v>46240.0</v>
      </c>
      <c r="B1151" s="55" t="s">
        <v>23</v>
      </c>
      <c r="C1151" s="29" t="s">
        <v>9</v>
      </c>
      <c r="D1151" s="29" t="s">
        <v>1356</v>
      </c>
      <c r="E1151" s="14">
        <v>20.78</v>
      </c>
      <c r="F1151" s="4"/>
    </row>
    <row r="1152">
      <c r="A1152" s="52">
        <v>46240.0</v>
      </c>
      <c r="B1152" s="55" t="s">
        <v>1744</v>
      </c>
      <c r="C1152" s="29" t="s">
        <v>9</v>
      </c>
      <c r="D1152" s="29" t="s">
        <v>1356</v>
      </c>
      <c r="E1152" s="14">
        <v>42.78</v>
      </c>
      <c r="F1152" s="4"/>
    </row>
    <row r="1153">
      <c r="A1153" s="52">
        <v>46240.0</v>
      </c>
      <c r="B1153" s="55" t="s">
        <v>1746</v>
      </c>
      <c r="C1153" s="29" t="s">
        <v>9</v>
      </c>
      <c r="D1153" s="29" t="s">
        <v>1356</v>
      </c>
      <c r="E1153" s="14">
        <v>25.78</v>
      </c>
      <c r="F1153" s="4"/>
    </row>
    <row r="1154">
      <c r="A1154" s="52">
        <v>46240.0</v>
      </c>
      <c r="B1154" s="55">
        <v>2.43297613E8</v>
      </c>
      <c r="C1154" s="29" t="s">
        <v>9</v>
      </c>
      <c r="D1154" s="29" t="s">
        <v>1356</v>
      </c>
      <c r="E1154" s="14">
        <v>38.78</v>
      </c>
      <c r="F1154" s="4"/>
    </row>
    <row r="1155">
      <c r="A1155" s="52">
        <v>46240.0</v>
      </c>
      <c r="B1155" s="55" t="s">
        <v>1749</v>
      </c>
      <c r="C1155" s="29" t="s">
        <v>9</v>
      </c>
      <c r="D1155" s="29" t="s">
        <v>1356</v>
      </c>
      <c r="E1155" s="14">
        <v>95.78</v>
      </c>
      <c r="F1155" s="4"/>
    </row>
    <row r="1156">
      <c r="A1156" s="52">
        <v>46240.0</v>
      </c>
      <c r="B1156" s="55" t="s">
        <v>1751</v>
      </c>
      <c r="C1156" s="29" t="s">
        <v>9</v>
      </c>
      <c r="D1156" s="29" t="s">
        <v>1356</v>
      </c>
      <c r="E1156" s="14">
        <v>36.78</v>
      </c>
      <c r="F1156" s="4"/>
    </row>
    <row r="1157">
      <c r="A1157" s="52">
        <v>46240.0</v>
      </c>
      <c r="B1157" s="55" t="s">
        <v>1752</v>
      </c>
      <c r="C1157" s="29" t="s">
        <v>9</v>
      </c>
      <c r="D1157" s="29" t="s">
        <v>1356</v>
      </c>
      <c r="E1157" s="14">
        <v>75.78</v>
      </c>
      <c r="F1157" s="4"/>
    </row>
    <row r="1158">
      <c r="A1158" s="52">
        <v>46240.0</v>
      </c>
      <c r="B1158" s="55" t="s">
        <v>1753</v>
      </c>
      <c r="C1158" s="29" t="s">
        <v>9</v>
      </c>
      <c r="D1158" s="29" t="s">
        <v>1356</v>
      </c>
      <c r="E1158" s="14">
        <v>52.78</v>
      </c>
      <c r="F1158" s="4"/>
    </row>
    <row r="1159">
      <c r="A1159" s="180"/>
      <c r="B1159" s="182"/>
      <c r="C1159" s="151"/>
      <c r="D1159" s="151"/>
      <c r="E1159" s="184"/>
      <c r="F1159" s="24"/>
    </row>
    <row r="1160">
      <c r="A1160" s="52">
        <v>46241.0</v>
      </c>
      <c r="B1160" s="55" t="s">
        <v>1756</v>
      </c>
      <c r="C1160" s="29" t="s">
        <v>9</v>
      </c>
      <c r="D1160" s="29" t="s">
        <v>1356</v>
      </c>
      <c r="E1160" s="14">
        <v>25.78</v>
      </c>
      <c r="F1160" s="4"/>
    </row>
    <row r="1161">
      <c r="A1161" s="52">
        <v>46241.0</v>
      </c>
      <c r="B1161" s="55" t="s">
        <v>1757</v>
      </c>
      <c r="C1161" s="29" t="s">
        <v>9</v>
      </c>
      <c r="D1161" s="29" t="s">
        <v>1356</v>
      </c>
      <c r="E1161" s="14">
        <v>145.78</v>
      </c>
      <c r="F1161" s="4"/>
    </row>
    <row r="1162">
      <c r="A1162" s="52">
        <v>46241.0</v>
      </c>
      <c r="B1162" s="55" t="s">
        <v>1759</v>
      </c>
      <c r="C1162" s="29" t="s">
        <v>9</v>
      </c>
      <c r="D1162" s="29" t="s">
        <v>1356</v>
      </c>
      <c r="E1162" s="14">
        <v>160.78</v>
      </c>
      <c r="F1162" s="4"/>
    </row>
    <row r="1163">
      <c r="A1163" s="52">
        <v>46241.0</v>
      </c>
      <c r="B1163" s="55" t="s">
        <v>1760</v>
      </c>
      <c r="C1163" s="29" t="s">
        <v>9</v>
      </c>
      <c r="D1163" s="29" t="s">
        <v>1356</v>
      </c>
      <c r="E1163" s="14">
        <v>60.78</v>
      </c>
      <c r="F1163" s="4"/>
    </row>
    <row r="1164">
      <c r="A1164" s="52">
        <v>46241.0</v>
      </c>
      <c r="B1164" s="55">
        <v>1.1001011002469E13</v>
      </c>
      <c r="C1164" s="29" t="s">
        <v>9</v>
      </c>
      <c r="D1164" s="29" t="s">
        <v>1356</v>
      </c>
      <c r="E1164" s="14">
        <v>90.78</v>
      </c>
      <c r="F1164" s="4"/>
    </row>
    <row r="1165">
      <c r="A1165" s="52">
        <v>46241.0</v>
      </c>
      <c r="B1165" s="55" t="s">
        <v>816</v>
      </c>
      <c r="C1165" s="29" t="s">
        <v>9</v>
      </c>
      <c r="D1165" s="29" t="s">
        <v>1356</v>
      </c>
      <c r="E1165" s="14">
        <v>139.78</v>
      </c>
      <c r="F1165" s="4"/>
    </row>
    <row r="1166">
      <c r="A1166" s="52">
        <v>46241.0</v>
      </c>
      <c r="B1166" s="55" t="s">
        <v>921</v>
      </c>
      <c r="C1166" s="29" t="s">
        <v>9</v>
      </c>
      <c r="D1166" s="29" t="s">
        <v>1356</v>
      </c>
      <c r="E1166" s="14">
        <v>139.78</v>
      </c>
      <c r="F1166" s="4"/>
    </row>
    <row r="1167">
      <c r="A1167" s="52">
        <v>46241.0</v>
      </c>
      <c r="B1167" s="55" t="s">
        <v>1765</v>
      </c>
      <c r="C1167" s="29" t="s">
        <v>9</v>
      </c>
      <c r="D1167" s="29" t="s">
        <v>1356</v>
      </c>
      <c r="E1167" s="14">
        <v>98.78</v>
      </c>
      <c r="F1167" s="4"/>
    </row>
    <row r="1168">
      <c r="A1168" s="52">
        <v>46241.0</v>
      </c>
      <c r="B1168" s="55" t="s">
        <v>1767</v>
      </c>
      <c r="C1168" s="29" t="s">
        <v>9</v>
      </c>
      <c r="D1168" s="29" t="s">
        <v>1356</v>
      </c>
      <c r="E1168" s="14">
        <v>60.78</v>
      </c>
      <c r="F1168" s="4"/>
    </row>
    <row r="1169">
      <c r="A1169" s="52">
        <v>46241.0</v>
      </c>
      <c r="B1169" s="55">
        <v>1.1101010010152E13</v>
      </c>
      <c r="C1169" s="29" t="s">
        <v>9</v>
      </c>
      <c r="D1169" s="29" t="s">
        <v>1356</v>
      </c>
      <c r="E1169" s="14">
        <v>149.78</v>
      </c>
      <c r="F1169" s="4"/>
    </row>
    <row r="1170">
      <c r="A1170" s="52">
        <v>46241.0</v>
      </c>
      <c r="B1170" s="55" t="s">
        <v>278</v>
      </c>
      <c r="C1170" s="29" t="s">
        <v>8</v>
      </c>
      <c r="D1170" s="29" t="s">
        <v>1356</v>
      </c>
      <c r="E1170" s="14">
        <v>55.78</v>
      </c>
      <c r="F1170" s="4"/>
    </row>
    <row r="1171">
      <c r="A1171" s="52">
        <v>46241.0</v>
      </c>
      <c r="B1171" s="55" t="s">
        <v>1771</v>
      </c>
      <c r="C1171" s="29" t="s">
        <v>9</v>
      </c>
      <c r="D1171" s="29" t="s">
        <v>1356</v>
      </c>
      <c r="E1171" s="14">
        <v>145.78</v>
      </c>
      <c r="F1171" s="4"/>
    </row>
    <row r="1172">
      <c r="A1172" s="52">
        <v>46241.0</v>
      </c>
      <c r="B1172" s="55" t="s">
        <v>1774</v>
      </c>
      <c r="C1172" s="29" t="s">
        <v>9</v>
      </c>
      <c r="D1172" s="29" t="s">
        <v>1356</v>
      </c>
      <c r="E1172" s="14">
        <v>154.78</v>
      </c>
      <c r="F1172" s="4"/>
    </row>
    <row r="1173">
      <c r="A1173" s="52">
        <v>46241.0</v>
      </c>
      <c r="B1173" s="55" t="s">
        <v>23</v>
      </c>
      <c r="C1173" s="29" t="s">
        <v>9</v>
      </c>
      <c r="D1173" s="29" t="s">
        <v>1356</v>
      </c>
      <c r="E1173" s="14">
        <v>20.78</v>
      </c>
      <c r="F1173" s="4"/>
    </row>
    <row r="1174">
      <c r="A1174" s="52">
        <v>46241.0</v>
      </c>
      <c r="B1174" s="55" t="s">
        <v>1400</v>
      </c>
      <c r="C1174" s="29" t="s">
        <v>8</v>
      </c>
      <c r="D1174" s="29" t="s">
        <v>1356</v>
      </c>
      <c r="E1174" s="14">
        <v>89.78</v>
      </c>
      <c r="F1174" s="4"/>
    </row>
    <row r="1175">
      <c r="A1175" s="180"/>
      <c r="B1175" s="182"/>
      <c r="C1175" s="151"/>
      <c r="D1175" s="151"/>
      <c r="E1175" s="184"/>
      <c r="F1175" s="24"/>
    </row>
    <row r="1176">
      <c r="A1176" s="52">
        <v>46244.0</v>
      </c>
      <c r="B1176" s="55" t="s">
        <v>1779</v>
      </c>
      <c r="C1176" s="29" t="s">
        <v>8</v>
      </c>
      <c r="D1176" s="29" t="s">
        <v>1356</v>
      </c>
      <c r="E1176" s="14">
        <v>77.78</v>
      </c>
      <c r="F1176" s="4"/>
    </row>
    <row r="1177">
      <c r="A1177" s="52">
        <v>46244.0</v>
      </c>
      <c r="B1177" s="55" t="s">
        <v>1781</v>
      </c>
      <c r="C1177" s="29" t="s">
        <v>9</v>
      </c>
      <c r="D1177" s="29" t="s">
        <v>1356</v>
      </c>
      <c r="E1177" s="14">
        <v>38.78</v>
      </c>
      <c r="F1177" s="4"/>
    </row>
    <row r="1178">
      <c r="A1178" s="52">
        <v>46244.0</v>
      </c>
      <c r="B1178" s="55" t="s">
        <v>1783</v>
      </c>
      <c r="C1178" s="29" t="s">
        <v>9</v>
      </c>
      <c r="D1178" s="29" t="s">
        <v>1356</v>
      </c>
      <c r="E1178" s="14">
        <v>40.78</v>
      </c>
      <c r="F1178" s="4"/>
    </row>
    <row r="1179">
      <c r="A1179" s="52">
        <v>46244.0</v>
      </c>
      <c r="B1179" s="55">
        <v>1.7131000011665E13</v>
      </c>
      <c r="C1179" s="29" t="s">
        <v>9</v>
      </c>
      <c r="D1179" s="29" t="s">
        <v>1356</v>
      </c>
      <c r="E1179" s="14">
        <v>82.78</v>
      </c>
      <c r="F1179" s="4"/>
    </row>
    <row r="1180">
      <c r="A1180" s="52">
        <v>46244.0</v>
      </c>
      <c r="B1180" s="55" t="s">
        <v>1787</v>
      </c>
      <c r="C1180" s="29" t="s">
        <v>9</v>
      </c>
      <c r="D1180" s="29" t="s">
        <v>1356</v>
      </c>
      <c r="E1180" s="14">
        <v>32.78</v>
      </c>
      <c r="F1180" s="4"/>
    </row>
    <row r="1181">
      <c r="A1181" s="52">
        <v>46244.0</v>
      </c>
      <c r="B1181" s="55" t="s">
        <v>1237</v>
      </c>
      <c r="C1181" s="29" t="s">
        <v>9</v>
      </c>
      <c r="D1181" s="29" t="s">
        <v>1356</v>
      </c>
      <c r="E1181" s="14">
        <v>60.78</v>
      </c>
      <c r="F1181" s="4"/>
    </row>
    <row r="1182">
      <c r="A1182" s="52">
        <v>46244.0</v>
      </c>
      <c r="B1182" s="55" t="s">
        <v>722</v>
      </c>
      <c r="C1182" s="29" t="s">
        <v>9</v>
      </c>
      <c r="D1182" s="29" t="s">
        <v>1356</v>
      </c>
      <c r="E1182" s="14">
        <v>50.78</v>
      </c>
      <c r="F1182" s="4"/>
    </row>
    <row r="1183">
      <c r="A1183" s="52">
        <v>46244.0</v>
      </c>
      <c r="B1183" s="55" t="s">
        <v>1791</v>
      </c>
      <c r="C1183" s="29" t="s">
        <v>9</v>
      </c>
      <c r="D1183" s="29" t="s">
        <v>1356</v>
      </c>
      <c r="E1183" s="14">
        <v>189.78</v>
      </c>
      <c r="F1183" s="4"/>
    </row>
    <row r="1184">
      <c r="A1184" s="52">
        <v>46244.0</v>
      </c>
      <c r="B1184" s="55" t="s">
        <v>1792</v>
      </c>
      <c r="C1184" s="29" t="s">
        <v>9</v>
      </c>
      <c r="D1184" s="29" t="s">
        <v>1356</v>
      </c>
      <c r="E1184" s="14">
        <v>115.78</v>
      </c>
      <c r="F1184" s="4"/>
    </row>
    <row r="1185">
      <c r="A1185" s="52">
        <v>46244.0</v>
      </c>
      <c r="B1185" s="55" t="s">
        <v>1794</v>
      </c>
      <c r="C1185" s="29" t="s">
        <v>9</v>
      </c>
      <c r="D1185" s="29" t="s">
        <v>1356</v>
      </c>
      <c r="E1185" s="14">
        <v>35.78</v>
      </c>
      <c r="F1185" s="4"/>
    </row>
    <row r="1186">
      <c r="A1186" s="52">
        <v>46244.0</v>
      </c>
      <c r="B1186" s="55" t="s">
        <v>1797</v>
      </c>
      <c r="C1186" s="29" t="s">
        <v>9</v>
      </c>
      <c r="D1186" s="29" t="s">
        <v>1356</v>
      </c>
      <c r="E1186" s="14">
        <v>25.78</v>
      </c>
      <c r="F1186" s="4"/>
    </row>
    <row r="1187">
      <c r="A1187" s="52">
        <v>46244.0</v>
      </c>
      <c r="B1187" s="55" t="s">
        <v>1799</v>
      </c>
      <c r="C1187" s="29" t="s">
        <v>9</v>
      </c>
      <c r="D1187" s="29" t="s">
        <v>1356</v>
      </c>
      <c r="E1187" s="14">
        <v>35.78</v>
      </c>
      <c r="F1187" s="4"/>
    </row>
    <row r="1188">
      <c r="A1188" s="52">
        <v>46244.0</v>
      </c>
      <c r="B1188" s="55" t="s">
        <v>1801</v>
      </c>
      <c r="C1188" s="29" t="s">
        <v>9</v>
      </c>
      <c r="D1188" s="29" t="s">
        <v>1356</v>
      </c>
      <c r="E1188" s="14">
        <v>130.78</v>
      </c>
      <c r="F1188" s="4"/>
    </row>
    <row r="1189">
      <c r="A1189" s="52">
        <v>46244.0</v>
      </c>
      <c r="B1189" s="55" t="s">
        <v>776</v>
      </c>
      <c r="C1189" s="29" t="s">
        <v>9</v>
      </c>
      <c r="D1189" s="29" t="s">
        <v>1356</v>
      </c>
      <c r="E1189" s="14">
        <v>50.78</v>
      </c>
      <c r="F1189" s="4"/>
    </row>
    <row r="1190">
      <c r="A1190" s="52">
        <v>46244.0</v>
      </c>
      <c r="B1190" s="55" t="s">
        <v>1802</v>
      </c>
      <c r="C1190" s="29" t="s">
        <v>9</v>
      </c>
      <c r="D1190" s="29" t="s">
        <v>1356</v>
      </c>
      <c r="E1190" s="14">
        <v>50.78</v>
      </c>
      <c r="F1190" s="4"/>
    </row>
    <row r="1191">
      <c r="A1191" s="52">
        <v>46244.0</v>
      </c>
      <c r="B1191" s="55" t="s">
        <v>1350</v>
      </c>
      <c r="C1191" s="29" t="s">
        <v>9</v>
      </c>
      <c r="D1191" s="29" t="s">
        <v>1356</v>
      </c>
      <c r="E1191" s="14">
        <v>42.78</v>
      </c>
      <c r="F1191" s="4"/>
    </row>
    <row r="1192">
      <c r="A1192" s="52">
        <v>46244.0</v>
      </c>
      <c r="B1192" s="55" t="s">
        <v>1348</v>
      </c>
      <c r="C1192" s="29" t="s">
        <v>9</v>
      </c>
      <c r="D1192" s="29" t="s">
        <v>1356</v>
      </c>
      <c r="E1192" s="14">
        <v>55.78</v>
      </c>
      <c r="F1192" s="4"/>
    </row>
    <row r="1193">
      <c r="A1193" s="52">
        <v>46244.0</v>
      </c>
      <c r="B1193" s="55" t="s">
        <v>1806</v>
      </c>
      <c r="C1193" s="29" t="s">
        <v>9</v>
      </c>
      <c r="D1193" s="29" t="s">
        <v>1356</v>
      </c>
      <c r="E1193" s="14">
        <v>25.78</v>
      </c>
      <c r="F1193" s="4"/>
    </row>
    <row r="1194">
      <c r="A1194" s="180"/>
      <c r="B1194" s="182"/>
      <c r="C1194" s="151"/>
      <c r="D1194" s="151"/>
      <c r="E1194" s="184"/>
      <c r="F1194" s="24"/>
    </row>
    <row r="1195">
      <c r="A1195" s="52">
        <v>46244.0</v>
      </c>
      <c r="B1195" s="55" t="s">
        <v>1809</v>
      </c>
      <c r="C1195" s="29" t="s">
        <v>9</v>
      </c>
      <c r="D1195" s="29" t="s">
        <v>1356</v>
      </c>
      <c r="E1195" s="14">
        <v>45.78</v>
      </c>
      <c r="F1195" s="4"/>
    </row>
    <row r="1196">
      <c r="A1196" s="52">
        <v>46244.0</v>
      </c>
      <c r="B1196" s="55">
        <v>1.7431000001476E13</v>
      </c>
      <c r="C1196" s="29" t="s">
        <v>9</v>
      </c>
      <c r="D1196" s="29" t="s">
        <v>1356</v>
      </c>
      <c r="E1196" s="14">
        <v>70.78</v>
      </c>
      <c r="F1196" s="4"/>
    </row>
    <row r="1197">
      <c r="A1197" s="52">
        <v>46244.0</v>
      </c>
      <c r="B1197" s="55" t="s">
        <v>1812</v>
      </c>
      <c r="C1197" s="29" t="s">
        <v>9</v>
      </c>
      <c r="D1197" s="29" t="s">
        <v>1356</v>
      </c>
      <c r="E1197" s="14">
        <v>21.78</v>
      </c>
      <c r="F1197" s="4"/>
    </row>
    <row r="1198">
      <c r="A1198" s="52">
        <v>46244.0</v>
      </c>
      <c r="B1198" s="55" t="s">
        <v>488</v>
      </c>
      <c r="C1198" s="29" t="s">
        <v>9</v>
      </c>
      <c r="D1198" s="29" t="s">
        <v>1356</v>
      </c>
      <c r="E1198" s="14">
        <v>55.78</v>
      </c>
      <c r="F1198" s="4"/>
    </row>
    <row r="1199">
      <c r="A1199" s="52">
        <v>46244.0</v>
      </c>
      <c r="B1199" s="55" t="s">
        <v>1816</v>
      </c>
      <c r="C1199" s="29" t="s">
        <v>9</v>
      </c>
      <c r="D1199" s="29" t="s">
        <v>1356</v>
      </c>
      <c r="E1199" s="14">
        <v>75.78</v>
      </c>
      <c r="F1199" s="4"/>
    </row>
    <row r="1200">
      <c r="A1200" s="52">
        <v>46244.0</v>
      </c>
      <c r="B1200" s="55" t="s">
        <v>412</v>
      </c>
      <c r="C1200" s="29" t="s">
        <v>9</v>
      </c>
      <c r="D1200" s="29" t="s">
        <v>1356</v>
      </c>
      <c r="E1200" s="14">
        <v>30.78</v>
      </c>
      <c r="F1200" s="4"/>
    </row>
    <row r="1201">
      <c r="A1201" s="52">
        <v>46244.0</v>
      </c>
      <c r="B1201" s="55" t="s">
        <v>1818</v>
      </c>
      <c r="C1201" s="29" t="s">
        <v>9</v>
      </c>
      <c r="D1201" s="29" t="s">
        <v>1356</v>
      </c>
      <c r="E1201" s="14">
        <v>30.78</v>
      </c>
      <c r="F1201" s="4"/>
    </row>
    <row r="1202">
      <c r="A1202" s="52">
        <v>46244.0</v>
      </c>
      <c r="B1202" s="55" t="s">
        <v>1821</v>
      </c>
      <c r="C1202" s="29" t="s">
        <v>9</v>
      </c>
      <c r="D1202" s="29" t="s">
        <v>1356</v>
      </c>
      <c r="E1202" s="14">
        <v>35.78</v>
      </c>
      <c r="F1202" s="4"/>
    </row>
    <row r="1203">
      <c r="A1203" s="52">
        <v>46244.0</v>
      </c>
      <c r="B1203" s="55" t="s">
        <v>1822</v>
      </c>
      <c r="C1203" s="29" t="s">
        <v>9</v>
      </c>
      <c r="D1203" s="29" t="s">
        <v>1356</v>
      </c>
      <c r="E1203" s="14">
        <v>25.78</v>
      </c>
      <c r="F1203" s="4"/>
    </row>
    <row r="1204">
      <c r="A1204" s="52">
        <v>46244.0</v>
      </c>
      <c r="B1204" s="55" t="s">
        <v>831</v>
      </c>
      <c r="C1204" s="29" t="s">
        <v>9</v>
      </c>
      <c r="D1204" s="29" t="s">
        <v>1356</v>
      </c>
      <c r="E1204" s="14">
        <v>25.78</v>
      </c>
      <c r="F1204" s="4"/>
    </row>
    <row r="1205">
      <c r="A1205" s="52">
        <v>46244.0</v>
      </c>
      <c r="B1205" s="55" t="s">
        <v>1824</v>
      </c>
      <c r="C1205" s="29" t="s">
        <v>9</v>
      </c>
      <c r="D1205" s="29" t="s">
        <v>1356</v>
      </c>
      <c r="E1205" s="14">
        <v>28.78</v>
      </c>
      <c r="F1205" s="4"/>
    </row>
    <row r="1206">
      <c r="A1206" s="52">
        <v>46244.0</v>
      </c>
      <c r="B1206" s="55" t="s">
        <v>1826</v>
      </c>
      <c r="C1206" s="29" t="s">
        <v>9</v>
      </c>
      <c r="D1206" s="29" t="s">
        <v>1356</v>
      </c>
      <c r="E1206" s="14">
        <v>40.78</v>
      </c>
      <c r="F1206" s="4"/>
    </row>
    <row r="1207">
      <c r="A1207" s="52">
        <v>46244.0</v>
      </c>
      <c r="B1207" s="55" t="s">
        <v>730</v>
      </c>
      <c r="C1207" s="29" t="s">
        <v>9</v>
      </c>
      <c r="D1207" s="29" t="s">
        <v>1356</v>
      </c>
      <c r="E1207" s="14">
        <v>25.78</v>
      </c>
      <c r="F1207" s="4"/>
    </row>
    <row r="1208">
      <c r="A1208" s="52">
        <v>46244.0</v>
      </c>
      <c r="B1208" s="55" t="s">
        <v>1828</v>
      </c>
      <c r="C1208" s="29" t="s">
        <v>9</v>
      </c>
      <c r="D1208" s="29" t="s">
        <v>1356</v>
      </c>
      <c r="E1208" s="14">
        <v>219.78</v>
      </c>
      <c r="F1208" s="4"/>
    </row>
    <row r="1209">
      <c r="A1209" s="52">
        <v>46244.0</v>
      </c>
      <c r="B1209" s="55" t="s">
        <v>1829</v>
      </c>
      <c r="C1209" s="29" t="s">
        <v>9</v>
      </c>
      <c r="D1209" s="29" t="s">
        <v>1356</v>
      </c>
      <c r="E1209" s="14">
        <v>196.78</v>
      </c>
      <c r="F1209" s="4"/>
    </row>
    <row r="1210">
      <c r="A1210" s="180"/>
      <c r="B1210" s="182"/>
      <c r="C1210" s="151"/>
      <c r="D1210" s="151"/>
      <c r="E1210" s="184"/>
      <c r="F1210" s="24"/>
    </row>
    <row r="1211">
      <c r="A1211" s="52"/>
      <c r="B1211" s="55"/>
      <c r="C1211" s="29"/>
      <c r="D1211" s="29"/>
      <c r="E1211" s="14"/>
      <c r="F1211" s="4"/>
    </row>
    <row r="1212">
      <c r="A1212" s="52"/>
      <c r="B1212" s="55"/>
      <c r="C1212" s="29"/>
      <c r="D1212" s="29"/>
      <c r="E1212" s="14"/>
      <c r="F1212" s="4"/>
    </row>
    <row r="1213">
      <c r="A1213" s="52"/>
      <c r="B1213" s="55"/>
      <c r="C1213" s="29"/>
      <c r="D1213" s="29"/>
      <c r="E1213" s="14"/>
      <c r="F1213" s="4"/>
    </row>
    <row r="1214">
      <c r="A1214" s="52"/>
      <c r="B1214" s="55"/>
      <c r="C1214" s="29"/>
      <c r="D1214" s="29"/>
      <c r="E1214" s="14"/>
      <c r="F1214" s="4"/>
    </row>
    <row r="1215">
      <c r="A1215" s="52"/>
      <c r="B1215" s="55"/>
      <c r="C1215" s="29"/>
      <c r="D1215" s="29"/>
      <c r="E1215" s="14"/>
      <c r="F1215" s="4"/>
    </row>
    <row r="1216">
      <c r="A1216" s="52"/>
      <c r="B1216" s="55"/>
      <c r="C1216" s="29"/>
      <c r="D1216" s="29"/>
      <c r="E1216" s="14"/>
      <c r="F1216" s="4"/>
    </row>
    <row r="1217">
      <c r="A1217" s="52"/>
      <c r="B1217" s="55"/>
      <c r="C1217" s="29"/>
      <c r="D1217" s="29"/>
      <c r="E1217" s="14"/>
      <c r="F1217" s="4"/>
    </row>
    <row r="1218">
      <c r="A1218" s="52"/>
      <c r="B1218" s="55"/>
      <c r="C1218" s="29"/>
      <c r="D1218" s="29"/>
      <c r="E1218" s="14"/>
      <c r="F1218" s="4"/>
    </row>
    <row r="1219">
      <c r="A1219" s="52"/>
      <c r="B1219" s="55"/>
      <c r="C1219" s="29"/>
      <c r="D1219" s="29"/>
      <c r="E1219" s="14"/>
      <c r="F1219" s="4"/>
    </row>
    <row r="1220">
      <c r="A1220" s="52"/>
      <c r="B1220" s="55"/>
      <c r="C1220" s="29"/>
      <c r="D1220" s="29"/>
      <c r="E1220" s="14"/>
      <c r="F1220" s="4"/>
    </row>
    <row r="1221">
      <c r="A1221" s="52"/>
      <c r="B1221" s="55"/>
      <c r="C1221" s="29"/>
      <c r="D1221" s="29"/>
      <c r="E1221" s="14"/>
      <c r="F1221" s="4"/>
    </row>
    <row r="1222">
      <c r="A1222" s="52"/>
      <c r="B1222" s="55"/>
      <c r="C1222" s="29"/>
      <c r="D1222" s="29"/>
      <c r="E1222" s="14"/>
      <c r="F1222" s="4"/>
    </row>
    <row r="1223">
      <c r="A1223" s="52"/>
      <c r="B1223" s="55"/>
      <c r="C1223" s="29"/>
      <c r="D1223" s="29"/>
      <c r="E1223" s="14"/>
      <c r="F1223" s="4"/>
    </row>
    <row r="1224">
      <c r="A1224" s="52"/>
      <c r="B1224" s="55"/>
      <c r="C1224" s="29"/>
      <c r="D1224" s="29"/>
      <c r="E1224" s="14"/>
      <c r="F1224" s="4"/>
    </row>
    <row r="1225">
      <c r="A1225" s="52"/>
      <c r="B1225" s="55"/>
      <c r="C1225" s="29"/>
      <c r="D1225" s="29"/>
      <c r="E1225" s="14"/>
      <c r="F1225" s="4"/>
    </row>
    <row r="1226">
      <c r="A1226" s="52"/>
      <c r="B1226" s="55"/>
      <c r="C1226" s="29"/>
      <c r="D1226" s="29"/>
      <c r="E1226" s="14"/>
      <c r="F1226" s="4"/>
    </row>
    <row r="1227">
      <c r="A1227" s="52"/>
      <c r="B1227" s="55"/>
      <c r="C1227" s="29"/>
      <c r="D1227" s="29"/>
      <c r="E1227" s="14"/>
      <c r="F1227" s="4"/>
    </row>
    <row r="1228">
      <c r="A1228" s="52"/>
      <c r="B1228" s="55"/>
      <c r="C1228" s="29"/>
      <c r="D1228" s="29"/>
      <c r="E1228" s="14"/>
      <c r="F1228" s="4"/>
    </row>
    <row r="1229">
      <c r="A1229" s="52"/>
      <c r="B1229" s="55"/>
      <c r="C1229" s="29"/>
      <c r="D1229" s="29"/>
      <c r="E1229" s="14"/>
      <c r="F1229" s="4"/>
    </row>
    <row r="1230">
      <c r="A1230" s="52"/>
      <c r="B1230" s="55"/>
      <c r="C1230" s="29"/>
      <c r="D1230" s="29"/>
      <c r="E1230" s="14"/>
      <c r="F1230" s="4"/>
    </row>
    <row r="1231">
      <c r="A1231" s="52"/>
      <c r="B1231" s="55"/>
      <c r="C1231" s="29"/>
      <c r="D1231" s="29"/>
      <c r="E1231" s="14"/>
      <c r="F1231" s="4"/>
    </row>
    <row r="1232">
      <c r="A1232" s="52"/>
      <c r="B1232" s="55"/>
      <c r="C1232" s="29"/>
      <c r="D1232" s="29"/>
      <c r="E1232" s="14"/>
      <c r="F1232" s="4"/>
    </row>
    <row r="1233">
      <c r="A1233" s="52"/>
      <c r="B1233" s="55"/>
      <c r="C1233" s="29"/>
      <c r="D1233" s="29"/>
      <c r="E1233" s="14"/>
      <c r="F1233" s="4"/>
    </row>
    <row r="1234">
      <c r="A1234" s="52"/>
      <c r="B1234" s="55"/>
      <c r="C1234" s="29"/>
      <c r="D1234" s="29"/>
      <c r="E1234" s="14"/>
      <c r="F1234" s="4"/>
    </row>
    <row r="1235">
      <c r="A1235" s="52"/>
      <c r="B1235" s="55"/>
      <c r="C1235" s="29"/>
      <c r="D1235" s="29"/>
      <c r="E1235" s="14"/>
      <c r="F1235" s="4"/>
    </row>
    <row r="1236">
      <c r="A1236" s="52"/>
      <c r="B1236" s="55"/>
      <c r="C1236" s="29"/>
      <c r="D1236" s="29"/>
      <c r="E1236" s="14"/>
      <c r="F1236" s="4"/>
    </row>
    <row r="1237">
      <c r="A1237" s="52"/>
      <c r="B1237" s="55"/>
      <c r="C1237" s="29"/>
      <c r="D1237" s="29"/>
      <c r="E1237" s="14"/>
      <c r="F1237" s="4"/>
    </row>
    <row r="1238">
      <c r="A1238" s="52"/>
      <c r="B1238" s="55"/>
      <c r="C1238" s="29"/>
      <c r="D1238" s="29"/>
      <c r="E1238" s="14"/>
      <c r="F1238" s="4"/>
    </row>
    <row r="1239">
      <c r="A1239" s="52"/>
      <c r="B1239" s="55"/>
      <c r="C1239" s="29"/>
      <c r="D1239" s="29"/>
      <c r="E1239" s="14"/>
      <c r="F1239" s="4"/>
    </row>
    <row r="1240">
      <c r="A1240" s="52"/>
      <c r="B1240" s="55"/>
      <c r="C1240" s="29"/>
      <c r="D1240" s="29"/>
      <c r="E1240" s="14"/>
      <c r="F1240" s="4"/>
    </row>
    <row r="1241">
      <c r="A1241" s="52"/>
      <c r="B1241" s="55"/>
      <c r="C1241" s="29"/>
      <c r="D1241" s="29"/>
      <c r="E1241" s="14"/>
      <c r="F1241" s="4"/>
    </row>
    <row r="1242">
      <c r="A1242" s="52"/>
      <c r="B1242" s="55"/>
      <c r="C1242" s="29"/>
      <c r="D1242" s="29"/>
      <c r="E1242" s="14"/>
      <c r="F1242" s="4"/>
    </row>
    <row r="1243">
      <c r="A1243" s="52"/>
      <c r="B1243" s="55"/>
      <c r="C1243" s="29"/>
      <c r="D1243" s="29"/>
      <c r="E1243" s="14"/>
      <c r="F1243" s="4"/>
    </row>
    <row r="1244">
      <c r="A1244" s="52"/>
      <c r="B1244" s="55"/>
      <c r="C1244" s="29"/>
      <c r="D1244" s="29"/>
      <c r="E1244" s="14"/>
      <c r="F1244" s="4"/>
    </row>
    <row r="1245">
      <c r="A1245" s="52"/>
      <c r="B1245" s="55"/>
      <c r="C1245" s="29"/>
      <c r="D1245" s="29"/>
      <c r="E1245" s="14"/>
      <c r="F1245" s="4"/>
    </row>
    <row r="1246">
      <c r="A1246" s="52"/>
      <c r="B1246" s="55"/>
      <c r="C1246" s="29"/>
      <c r="D1246" s="29"/>
      <c r="E1246" s="14"/>
      <c r="F1246" s="4"/>
    </row>
    <row r="1247">
      <c r="A1247" s="52"/>
      <c r="B1247" s="55"/>
      <c r="C1247" s="29"/>
      <c r="D1247" s="29"/>
      <c r="E1247" s="14"/>
      <c r="F1247" s="4"/>
    </row>
    <row r="1248">
      <c r="A1248" s="52"/>
      <c r="B1248" s="55"/>
      <c r="C1248" s="29"/>
      <c r="D1248" s="29"/>
      <c r="E1248" s="14"/>
      <c r="F1248" s="4"/>
    </row>
    <row r="1249">
      <c r="A1249" s="52"/>
      <c r="B1249" s="55"/>
      <c r="C1249" s="29"/>
      <c r="D1249" s="29"/>
      <c r="E1249" s="14"/>
      <c r="F1249" s="4"/>
    </row>
    <row r="1250">
      <c r="A1250" s="52"/>
      <c r="B1250" s="55"/>
      <c r="C1250" s="29"/>
      <c r="D1250" s="29"/>
      <c r="E1250" s="14"/>
      <c r="F1250" s="4"/>
    </row>
    <row r="1251">
      <c r="A1251" s="52"/>
      <c r="B1251" s="55"/>
      <c r="C1251" s="29"/>
      <c r="D1251" s="29"/>
      <c r="E1251" s="14"/>
      <c r="F1251" s="4"/>
    </row>
    <row r="1252">
      <c r="A1252" s="52"/>
      <c r="B1252" s="55"/>
      <c r="C1252" s="29"/>
      <c r="D1252" s="29"/>
      <c r="E1252" s="14"/>
      <c r="F1252" s="4"/>
    </row>
    <row r="1253">
      <c r="A1253" s="52"/>
      <c r="B1253" s="55"/>
      <c r="C1253" s="29"/>
      <c r="D1253" s="29"/>
      <c r="E1253" s="14"/>
      <c r="F1253" s="4"/>
    </row>
    <row r="1254">
      <c r="A1254" s="52"/>
      <c r="B1254" s="55"/>
      <c r="C1254" s="29"/>
      <c r="D1254" s="29"/>
      <c r="E1254" s="14"/>
      <c r="F1254" s="4"/>
    </row>
    <row r="1255">
      <c r="A1255" s="52"/>
      <c r="B1255" s="55"/>
      <c r="C1255" s="29"/>
      <c r="D1255" s="29"/>
      <c r="E1255" s="14"/>
      <c r="F1255" s="4"/>
    </row>
    <row r="1256">
      <c r="A1256" s="52"/>
      <c r="B1256" s="55"/>
      <c r="C1256" s="29"/>
      <c r="D1256" s="29"/>
      <c r="E1256" s="14"/>
      <c r="F1256" s="4"/>
    </row>
    <row r="1257">
      <c r="A1257" s="52"/>
      <c r="B1257" s="55"/>
      <c r="C1257" s="29"/>
      <c r="D1257" s="29"/>
      <c r="E1257" s="14"/>
      <c r="F1257" s="4"/>
    </row>
    <row r="1258">
      <c r="A1258" s="52"/>
      <c r="B1258" s="55"/>
      <c r="C1258" s="29"/>
      <c r="D1258" s="29"/>
      <c r="E1258" s="14"/>
      <c r="F1258" s="4"/>
    </row>
    <row r="1259">
      <c r="A1259" s="52"/>
      <c r="B1259" s="55"/>
      <c r="C1259" s="29"/>
      <c r="D1259" s="29"/>
      <c r="E1259" s="14"/>
      <c r="F1259" s="4"/>
    </row>
    <row r="1260">
      <c r="A1260" s="52"/>
      <c r="B1260" s="55"/>
      <c r="C1260" s="29"/>
      <c r="D1260" s="29"/>
      <c r="E1260" s="14"/>
      <c r="F1260" s="4"/>
    </row>
    <row r="1261">
      <c r="A1261" s="52"/>
      <c r="B1261" s="55"/>
      <c r="C1261" s="29"/>
      <c r="D1261" s="29"/>
      <c r="E1261" s="14"/>
      <c r="F1261" s="4"/>
    </row>
    <row r="1262">
      <c r="A1262" s="52"/>
      <c r="B1262" s="55"/>
      <c r="C1262" s="29"/>
      <c r="D1262" s="29"/>
      <c r="E1262" s="14"/>
      <c r="F1262" s="4"/>
    </row>
    <row r="1263">
      <c r="A1263" s="52"/>
      <c r="B1263" s="55"/>
      <c r="C1263" s="29"/>
      <c r="D1263" s="29"/>
      <c r="E1263" s="14"/>
      <c r="F1263" s="4"/>
    </row>
    <row r="1264">
      <c r="A1264" s="52"/>
      <c r="B1264" s="55"/>
      <c r="C1264" s="29"/>
      <c r="D1264" s="29"/>
      <c r="E1264" s="14"/>
      <c r="F1264" s="4"/>
    </row>
    <row r="1265">
      <c r="A1265" s="52"/>
      <c r="B1265" s="55"/>
      <c r="C1265" s="29"/>
      <c r="D1265" s="29"/>
      <c r="E1265" s="14"/>
      <c r="F1265" s="4"/>
    </row>
    <row r="1266">
      <c r="A1266" s="52"/>
      <c r="B1266" s="55"/>
      <c r="C1266" s="29"/>
      <c r="D1266" s="29"/>
      <c r="E1266" s="14"/>
      <c r="F1266" s="4"/>
    </row>
    <row r="1267">
      <c r="A1267" s="52"/>
      <c r="B1267" s="55"/>
      <c r="C1267" s="29"/>
      <c r="D1267" s="29"/>
      <c r="E1267" s="14"/>
      <c r="F1267" s="4"/>
    </row>
    <row r="1268">
      <c r="A1268" s="52"/>
      <c r="B1268" s="55"/>
      <c r="C1268" s="29"/>
      <c r="D1268" s="29"/>
      <c r="E1268" s="14"/>
      <c r="F1268" s="4"/>
    </row>
    <row r="1269">
      <c r="A1269" s="52"/>
      <c r="B1269" s="55"/>
      <c r="C1269" s="29"/>
      <c r="D1269" s="29"/>
      <c r="E1269" s="14"/>
      <c r="F1269" s="4"/>
    </row>
    <row r="1270">
      <c r="A1270" s="52"/>
      <c r="B1270" s="55"/>
      <c r="C1270" s="29"/>
      <c r="D1270" s="29"/>
      <c r="E1270" s="14"/>
      <c r="F1270" s="4"/>
    </row>
    <row r="1271">
      <c r="A1271" s="52"/>
      <c r="B1271" s="55"/>
      <c r="C1271" s="29"/>
      <c r="D1271" s="29"/>
      <c r="E1271" s="14"/>
      <c r="F1271" s="4"/>
    </row>
    <row r="1272">
      <c r="A1272" s="52"/>
      <c r="B1272" s="55"/>
      <c r="C1272" s="29"/>
      <c r="D1272" s="29"/>
      <c r="E1272" s="14"/>
      <c r="F1272" s="4"/>
    </row>
    <row r="1273">
      <c r="A1273" s="52"/>
      <c r="B1273" s="55"/>
      <c r="C1273" s="29"/>
      <c r="D1273" s="29"/>
      <c r="E1273" s="14"/>
      <c r="F1273" s="4"/>
    </row>
    <row r="1274">
      <c r="A1274" s="52"/>
      <c r="B1274" s="55"/>
      <c r="C1274" s="29"/>
      <c r="D1274" s="29"/>
      <c r="E1274" s="14"/>
      <c r="F1274" s="4"/>
    </row>
    <row r="1275">
      <c r="A1275" s="52"/>
      <c r="B1275" s="55"/>
      <c r="C1275" s="29"/>
      <c r="D1275" s="29"/>
      <c r="E1275" s="14"/>
      <c r="F1275" s="4"/>
    </row>
    <row r="1276">
      <c r="A1276" s="52"/>
      <c r="B1276" s="55"/>
      <c r="C1276" s="29"/>
      <c r="D1276" s="29"/>
      <c r="E1276" s="14"/>
      <c r="F1276" s="4"/>
    </row>
    <row r="1277">
      <c r="A1277" s="52"/>
      <c r="B1277" s="55"/>
      <c r="C1277" s="29"/>
      <c r="D1277" s="29"/>
      <c r="E1277" s="14"/>
      <c r="F1277" s="4"/>
    </row>
    <row r="1278">
      <c r="A1278" s="52"/>
      <c r="B1278" s="55"/>
      <c r="C1278" s="29"/>
      <c r="D1278" s="29"/>
      <c r="E1278" s="14"/>
      <c r="F1278" s="4"/>
    </row>
    <row r="1279">
      <c r="A1279" s="52"/>
      <c r="B1279" s="55"/>
      <c r="C1279" s="29"/>
      <c r="D1279" s="29"/>
      <c r="E1279" s="14"/>
      <c r="F1279" s="4"/>
    </row>
    <row r="1280">
      <c r="A1280" s="52"/>
      <c r="B1280" s="55"/>
      <c r="C1280" s="29"/>
      <c r="D1280" s="29"/>
      <c r="E1280" s="14"/>
      <c r="F1280" s="4"/>
    </row>
    <row r="1281">
      <c r="A1281" s="52"/>
      <c r="B1281" s="55"/>
      <c r="C1281" s="29"/>
      <c r="D1281" s="29"/>
      <c r="E1281" s="14"/>
      <c r="F1281" s="4"/>
    </row>
    <row r="1282">
      <c r="A1282" s="52"/>
      <c r="B1282" s="55"/>
      <c r="C1282" s="29"/>
      <c r="D1282" s="29"/>
      <c r="E1282" s="14"/>
      <c r="F1282" s="4"/>
    </row>
    <row r="1283">
      <c r="A1283" s="52"/>
      <c r="B1283" s="55"/>
      <c r="C1283" s="29"/>
      <c r="D1283" s="29"/>
      <c r="E1283" s="14"/>
      <c r="F1283" s="4"/>
    </row>
    <row r="1284">
      <c r="A1284" s="52"/>
      <c r="B1284" s="55"/>
      <c r="C1284" s="29"/>
      <c r="D1284" s="29"/>
      <c r="E1284" s="14"/>
      <c r="F1284" s="4"/>
    </row>
    <row r="1285">
      <c r="A1285" s="52"/>
      <c r="B1285" s="55"/>
      <c r="C1285" s="29"/>
      <c r="D1285" s="29"/>
      <c r="E1285" s="14"/>
      <c r="F1285" s="4"/>
    </row>
    <row r="1286">
      <c r="A1286" s="52"/>
      <c r="B1286" s="55"/>
      <c r="C1286" s="29"/>
      <c r="D1286" s="29"/>
      <c r="E1286" s="14"/>
      <c r="F1286" s="4"/>
    </row>
    <row r="1287">
      <c r="A1287" s="52"/>
      <c r="B1287" s="55"/>
      <c r="C1287" s="29"/>
      <c r="D1287" s="29"/>
      <c r="E1287" s="14"/>
      <c r="F1287" s="4"/>
    </row>
    <row r="1288">
      <c r="A1288" s="52"/>
      <c r="B1288" s="55"/>
      <c r="C1288" s="29"/>
      <c r="D1288" s="29"/>
      <c r="E1288" s="14"/>
      <c r="F1288" s="4"/>
    </row>
    <row r="1289">
      <c r="A1289" s="52"/>
      <c r="B1289" s="55"/>
      <c r="C1289" s="29"/>
      <c r="D1289" s="29"/>
      <c r="E1289" s="14"/>
      <c r="F1289" s="4"/>
    </row>
    <row r="1290">
      <c r="A1290" s="52"/>
      <c r="B1290" s="55"/>
      <c r="C1290" s="29"/>
      <c r="D1290" s="29"/>
      <c r="E1290" s="14"/>
      <c r="F1290" s="4"/>
    </row>
    <row r="1291">
      <c r="A1291" s="52"/>
      <c r="B1291" s="55"/>
      <c r="C1291" s="29"/>
      <c r="D1291" s="29"/>
      <c r="E1291" s="14"/>
      <c r="F1291" s="4"/>
    </row>
    <row r="1292">
      <c r="A1292" s="52"/>
      <c r="B1292" s="55"/>
      <c r="C1292" s="29"/>
      <c r="D1292" s="29"/>
      <c r="E1292" s="14"/>
      <c r="F1292" s="4"/>
    </row>
    <row r="1293">
      <c r="A1293" s="52"/>
      <c r="B1293" s="55"/>
      <c r="C1293" s="29"/>
      <c r="D1293" s="29"/>
      <c r="E1293" s="14"/>
      <c r="F1293" s="4"/>
    </row>
    <row r="1294">
      <c r="A1294" s="52"/>
      <c r="B1294" s="55"/>
      <c r="C1294" s="29"/>
      <c r="D1294" s="29"/>
      <c r="E1294" s="14"/>
      <c r="F1294" s="4"/>
    </row>
    <row r="1295">
      <c r="A1295" s="52"/>
      <c r="B1295" s="55"/>
      <c r="C1295" s="29"/>
      <c r="D1295" s="29"/>
      <c r="E1295" s="14"/>
      <c r="F1295" s="4"/>
    </row>
    <row r="1296">
      <c r="A1296" s="52"/>
      <c r="B1296" s="55"/>
      <c r="C1296" s="29"/>
      <c r="D1296" s="29"/>
      <c r="E1296" s="14"/>
      <c r="F1296" s="4"/>
    </row>
    <row r="1297">
      <c r="A1297" s="52"/>
      <c r="B1297" s="55"/>
      <c r="C1297" s="29"/>
      <c r="D1297" s="29"/>
      <c r="E1297" s="14"/>
      <c r="F1297" s="4"/>
    </row>
    <row r="1298">
      <c r="A1298" s="52"/>
      <c r="B1298" s="55"/>
      <c r="C1298" s="29"/>
      <c r="D1298" s="29"/>
      <c r="E1298" s="14"/>
      <c r="F1298" s="4"/>
    </row>
    <row r="1299">
      <c r="A1299" s="52"/>
      <c r="B1299" s="55"/>
      <c r="C1299" s="29"/>
      <c r="D1299" s="29"/>
      <c r="E1299" s="14"/>
      <c r="F1299" s="4"/>
    </row>
    <row r="1300">
      <c r="A1300" s="52"/>
      <c r="B1300" s="55"/>
      <c r="C1300" s="29"/>
      <c r="D1300" s="29"/>
      <c r="E1300" s="14"/>
      <c r="F1300" s="4"/>
    </row>
    <row r="1301">
      <c r="A1301" s="52"/>
      <c r="B1301" s="55"/>
      <c r="C1301" s="29"/>
      <c r="D1301" s="29"/>
      <c r="E1301" s="14"/>
      <c r="F1301" s="4"/>
    </row>
    <row r="1302">
      <c r="A1302" s="52"/>
      <c r="B1302" s="55"/>
      <c r="C1302" s="29"/>
      <c r="D1302" s="29"/>
      <c r="E1302" s="14"/>
      <c r="F1302" s="4"/>
    </row>
    <row r="1303">
      <c r="A1303" s="52"/>
      <c r="B1303" s="55"/>
      <c r="C1303" s="29"/>
      <c r="D1303" s="29"/>
      <c r="E1303" s="14"/>
      <c r="F1303" s="4"/>
    </row>
    <row r="1304">
      <c r="A1304" s="52"/>
      <c r="B1304" s="55"/>
      <c r="C1304" s="29"/>
      <c r="D1304" s="29"/>
      <c r="E1304" s="14"/>
      <c r="F1304" s="4"/>
    </row>
    <row r="1305">
      <c r="A1305" s="52"/>
      <c r="B1305" s="55"/>
      <c r="C1305" s="29"/>
      <c r="D1305" s="29"/>
      <c r="E1305" s="14"/>
      <c r="F1305" s="4"/>
    </row>
    <row r="1306">
      <c r="A1306" s="52"/>
      <c r="B1306" s="55"/>
      <c r="C1306" s="29"/>
      <c r="D1306" s="29"/>
      <c r="E1306" s="14"/>
      <c r="F1306" s="4"/>
    </row>
    <row r="1307">
      <c r="A1307" s="52"/>
      <c r="B1307" s="55"/>
      <c r="C1307" s="29"/>
      <c r="D1307" s="29"/>
      <c r="E1307" s="14"/>
      <c r="F1307" s="4"/>
    </row>
    <row r="1308">
      <c r="A1308" s="52"/>
      <c r="B1308" s="55"/>
      <c r="C1308" s="29"/>
      <c r="D1308" s="29"/>
      <c r="E1308" s="14"/>
      <c r="F1308" s="4"/>
    </row>
    <row r="1309">
      <c r="A1309" s="52"/>
      <c r="B1309" s="55"/>
      <c r="C1309" s="29"/>
      <c r="D1309" s="29"/>
      <c r="E1309" s="14"/>
      <c r="F1309" s="4"/>
    </row>
    <row r="1310">
      <c r="A1310" s="52"/>
      <c r="B1310" s="55"/>
      <c r="C1310" s="29"/>
      <c r="D1310" s="29"/>
      <c r="E1310" s="14"/>
      <c r="F1310" s="4"/>
    </row>
    <row r="1311">
      <c r="A1311" s="52"/>
      <c r="B1311" s="55"/>
      <c r="C1311" s="29"/>
      <c r="D1311" s="29"/>
      <c r="E1311" s="14"/>
      <c r="F1311" s="4"/>
    </row>
    <row r="1312">
      <c r="A1312" s="52"/>
      <c r="B1312" s="55"/>
      <c r="C1312" s="29"/>
      <c r="D1312" s="29"/>
      <c r="E1312" s="14"/>
      <c r="F1312" s="4"/>
    </row>
    <row r="1313">
      <c r="A1313" s="52"/>
      <c r="B1313" s="55"/>
      <c r="C1313" s="29"/>
      <c r="D1313" s="29"/>
      <c r="E1313" s="14"/>
      <c r="F1313" s="4"/>
    </row>
    <row r="1314">
      <c r="A1314" s="52"/>
      <c r="B1314" s="55"/>
      <c r="C1314" s="29"/>
      <c r="D1314" s="29"/>
      <c r="E1314" s="14"/>
      <c r="F1314" s="4"/>
    </row>
    <row r="1315">
      <c r="A1315" s="52"/>
      <c r="B1315" s="55"/>
      <c r="C1315" s="29"/>
      <c r="D1315" s="29"/>
      <c r="E1315" s="14"/>
      <c r="F1315" s="4"/>
    </row>
    <row r="1316">
      <c r="A1316" s="52"/>
      <c r="B1316" s="55"/>
      <c r="C1316" s="29"/>
      <c r="D1316" s="29"/>
      <c r="E1316" s="14"/>
      <c r="F1316" s="4"/>
    </row>
    <row r="1317">
      <c r="A1317" s="52"/>
      <c r="B1317" s="55"/>
      <c r="C1317" s="29"/>
      <c r="D1317" s="29"/>
      <c r="E1317" s="14"/>
      <c r="F1317" s="4"/>
    </row>
    <row r="1318">
      <c r="A1318" s="52"/>
      <c r="B1318" s="55"/>
      <c r="C1318" s="29"/>
      <c r="D1318" s="29"/>
      <c r="E1318" s="14"/>
      <c r="F1318" s="4"/>
    </row>
    <row r="1319">
      <c r="A1319" s="52"/>
      <c r="B1319" s="55"/>
      <c r="C1319" s="29"/>
      <c r="D1319" s="29"/>
      <c r="E1319" s="14"/>
      <c r="F1319" s="4"/>
    </row>
    <row r="1320">
      <c r="A1320" s="52"/>
      <c r="B1320" s="55"/>
      <c r="C1320" s="29"/>
      <c r="D1320" s="29"/>
      <c r="E1320" s="14"/>
      <c r="F1320" s="4"/>
    </row>
    <row r="1321">
      <c r="A1321" s="52"/>
      <c r="B1321" s="55"/>
      <c r="C1321" s="29"/>
      <c r="D1321" s="29"/>
      <c r="E1321" s="14"/>
      <c r="F1321" s="4"/>
    </row>
    <row r="1322">
      <c r="A1322" s="52"/>
      <c r="B1322" s="55"/>
      <c r="C1322" s="29"/>
      <c r="D1322" s="29"/>
      <c r="E1322" s="14"/>
      <c r="F1322" s="4"/>
    </row>
    <row r="1323">
      <c r="A1323" s="52"/>
      <c r="B1323" s="55"/>
      <c r="C1323" s="29"/>
      <c r="D1323" s="29"/>
      <c r="E1323" s="14"/>
      <c r="F1323" s="4"/>
    </row>
    <row r="1324">
      <c r="A1324" s="52"/>
      <c r="B1324" s="55"/>
      <c r="C1324" s="29"/>
      <c r="D1324" s="29"/>
      <c r="E1324" s="14"/>
      <c r="F1324" s="4"/>
    </row>
    <row r="1325">
      <c r="A1325" s="52"/>
      <c r="B1325" s="55"/>
      <c r="C1325" s="29"/>
      <c r="D1325" s="29"/>
      <c r="E1325" s="14"/>
      <c r="F1325" s="4"/>
    </row>
    <row r="1326">
      <c r="A1326" s="52"/>
      <c r="B1326" s="55"/>
      <c r="C1326" s="29"/>
      <c r="D1326" s="29"/>
      <c r="E1326" s="14"/>
      <c r="F1326" s="4"/>
    </row>
    <row r="1327">
      <c r="A1327" s="52"/>
      <c r="B1327" s="55"/>
      <c r="C1327" s="29"/>
      <c r="D1327" s="29"/>
      <c r="E1327" s="14"/>
      <c r="F1327" s="4"/>
    </row>
    <row r="1328">
      <c r="A1328" s="52"/>
      <c r="B1328" s="55"/>
      <c r="C1328" s="29"/>
      <c r="D1328" s="29"/>
      <c r="E1328" s="14"/>
      <c r="F1328" s="4"/>
    </row>
    <row r="1329">
      <c r="A1329" s="52"/>
      <c r="B1329" s="55"/>
      <c r="C1329" s="29"/>
      <c r="D1329" s="29"/>
      <c r="E1329" s="14"/>
      <c r="F1329" s="4"/>
    </row>
    <row r="1330">
      <c r="A1330" s="52"/>
      <c r="B1330" s="55"/>
      <c r="C1330" s="29"/>
      <c r="D1330" s="29"/>
      <c r="E1330" s="14"/>
      <c r="F1330" s="4"/>
    </row>
    <row r="1331">
      <c r="A1331" s="52"/>
      <c r="B1331" s="55"/>
      <c r="C1331" s="29"/>
      <c r="D1331" s="29"/>
      <c r="E1331" s="14"/>
      <c r="F1331" s="4"/>
    </row>
    <row r="1332">
      <c r="A1332" s="52"/>
      <c r="B1332" s="55"/>
      <c r="C1332" s="29"/>
      <c r="D1332" s="29"/>
      <c r="E1332" s="14"/>
      <c r="F1332" s="4"/>
    </row>
    <row r="1333">
      <c r="A1333" s="52"/>
      <c r="B1333" s="55"/>
      <c r="C1333" s="29"/>
      <c r="D1333" s="29"/>
      <c r="E1333" s="14"/>
      <c r="F1333" s="4"/>
    </row>
    <row r="1334">
      <c r="A1334" s="52"/>
      <c r="B1334" s="55"/>
      <c r="C1334" s="29"/>
      <c r="D1334" s="29"/>
      <c r="E1334" s="14"/>
      <c r="F1334" s="4"/>
    </row>
    <row r="1335">
      <c r="A1335" s="52"/>
      <c r="B1335" s="55"/>
      <c r="C1335" s="29"/>
      <c r="D1335" s="29"/>
      <c r="E1335" s="14"/>
      <c r="F1335" s="4"/>
    </row>
    <row r="1336">
      <c r="A1336" s="52"/>
      <c r="B1336" s="55"/>
      <c r="C1336" s="29"/>
      <c r="D1336" s="29"/>
      <c r="E1336" s="14"/>
      <c r="F1336" s="4"/>
    </row>
    <row r="1337">
      <c r="A1337" s="52"/>
      <c r="B1337" s="55"/>
      <c r="C1337" s="29"/>
      <c r="D1337" s="29"/>
      <c r="E1337" s="14"/>
      <c r="F1337" s="4"/>
    </row>
    <row r="1338">
      <c r="A1338" s="52"/>
      <c r="B1338" s="55"/>
      <c r="C1338" s="29"/>
      <c r="D1338" s="29"/>
      <c r="E1338" s="14"/>
      <c r="F1338" s="4"/>
    </row>
    <row r="1339">
      <c r="A1339" s="52"/>
      <c r="B1339" s="55"/>
      <c r="C1339" s="29"/>
      <c r="D1339" s="29"/>
      <c r="E1339" s="14"/>
      <c r="F1339" s="4"/>
    </row>
    <row r="1340">
      <c r="A1340" s="52"/>
      <c r="B1340" s="55"/>
      <c r="C1340" s="29"/>
      <c r="D1340" s="29"/>
      <c r="E1340" s="14"/>
      <c r="F1340" s="4"/>
    </row>
    <row r="1341">
      <c r="A1341" s="52"/>
      <c r="B1341" s="55"/>
      <c r="C1341" s="29"/>
      <c r="D1341" s="29"/>
      <c r="E1341" s="14"/>
      <c r="F1341" s="4"/>
    </row>
    <row r="1342">
      <c r="A1342" s="52"/>
      <c r="B1342" s="55"/>
      <c r="C1342" s="29"/>
      <c r="D1342" s="29"/>
      <c r="E1342" s="14"/>
      <c r="F1342" s="4"/>
    </row>
    <row r="1343">
      <c r="A1343" s="52"/>
      <c r="B1343" s="55"/>
      <c r="C1343" s="29"/>
      <c r="D1343" s="29"/>
      <c r="E1343" s="14"/>
      <c r="F1343" s="4"/>
    </row>
    <row r="1344">
      <c r="A1344" s="52"/>
      <c r="B1344" s="55"/>
      <c r="C1344" s="29"/>
      <c r="D1344" s="29"/>
      <c r="E1344" s="14"/>
      <c r="F1344" s="4"/>
    </row>
    <row r="1345">
      <c r="A1345" s="52"/>
      <c r="B1345" s="55"/>
      <c r="C1345" s="29"/>
      <c r="D1345" s="29"/>
      <c r="E1345" s="14"/>
      <c r="F1345" s="4"/>
    </row>
    <row r="1346">
      <c r="A1346" s="52"/>
      <c r="B1346" s="55"/>
      <c r="C1346" s="29"/>
      <c r="D1346" s="29"/>
      <c r="E1346" s="14"/>
      <c r="F1346" s="4"/>
    </row>
    <row r="1347">
      <c r="A1347" s="52"/>
      <c r="B1347" s="55"/>
      <c r="C1347" s="29"/>
      <c r="D1347" s="29"/>
      <c r="E1347" s="14"/>
      <c r="F1347" s="4"/>
    </row>
    <row r="1348">
      <c r="A1348" s="52"/>
      <c r="B1348" s="55"/>
      <c r="C1348" s="29"/>
      <c r="D1348" s="29"/>
      <c r="E1348" s="14"/>
      <c r="F1348" s="4"/>
    </row>
    <row r="1349">
      <c r="A1349" s="52"/>
      <c r="B1349" s="55"/>
      <c r="C1349" s="29"/>
      <c r="D1349" s="29"/>
      <c r="E1349" s="14"/>
      <c r="F1349" s="4"/>
    </row>
    <row r="1350">
      <c r="A1350" s="52"/>
      <c r="B1350" s="55"/>
      <c r="C1350" s="29"/>
      <c r="D1350" s="29"/>
      <c r="E1350" s="14"/>
      <c r="F1350" s="4"/>
    </row>
    <row r="1351">
      <c r="A1351" s="52"/>
      <c r="B1351" s="55"/>
      <c r="C1351" s="29"/>
      <c r="D1351" s="29"/>
      <c r="E1351" s="14"/>
      <c r="F1351" s="4"/>
    </row>
    <row r="1352">
      <c r="A1352" s="52"/>
      <c r="B1352" s="55"/>
      <c r="C1352" s="29"/>
      <c r="D1352" s="29"/>
      <c r="E1352" s="14"/>
      <c r="F1352" s="4"/>
    </row>
    <row r="1353">
      <c r="A1353" s="52"/>
      <c r="B1353" s="55"/>
      <c r="C1353" s="29"/>
      <c r="D1353" s="29"/>
      <c r="E1353" s="14"/>
      <c r="F1353" s="4"/>
    </row>
    <row r="1354">
      <c r="A1354" s="52"/>
      <c r="B1354" s="55"/>
      <c r="C1354" s="29"/>
      <c r="D1354" s="29"/>
      <c r="E1354" s="14"/>
      <c r="F1354" s="4"/>
    </row>
    <row r="1355">
      <c r="A1355" s="52"/>
      <c r="B1355" s="55"/>
      <c r="C1355" s="29"/>
      <c r="D1355" s="29"/>
      <c r="E1355" s="14"/>
      <c r="F1355" s="4"/>
    </row>
    <row r="1356">
      <c r="A1356" s="52"/>
      <c r="B1356" s="55"/>
      <c r="C1356" s="29"/>
      <c r="D1356" s="29"/>
      <c r="E1356" s="14"/>
      <c r="F1356" s="4"/>
    </row>
    <row r="1357">
      <c r="A1357" s="52"/>
      <c r="B1357" s="55"/>
      <c r="C1357" s="29"/>
      <c r="D1357" s="29"/>
      <c r="E1357" s="14"/>
      <c r="F1357" s="4"/>
    </row>
    <row r="1358">
      <c r="A1358" s="52"/>
      <c r="B1358" s="55"/>
      <c r="C1358" s="29"/>
      <c r="D1358" s="29"/>
      <c r="E1358" s="14"/>
      <c r="F1358" s="4"/>
    </row>
    <row r="1359">
      <c r="A1359" s="52"/>
      <c r="B1359" s="55"/>
      <c r="C1359" s="29"/>
      <c r="D1359" s="29"/>
      <c r="E1359" s="14"/>
      <c r="F1359" s="4"/>
    </row>
    <row r="1360">
      <c r="A1360" s="52"/>
      <c r="B1360" s="55"/>
      <c r="C1360" s="29"/>
      <c r="D1360" s="29"/>
      <c r="E1360" s="14"/>
      <c r="F1360" s="4"/>
    </row>
    <row r="1361">
      <c r="A1361" s="52"/>
      <c r="B1361" s="55"/>
      <c r="C1361" s="29"/>
      <c r="D1361" s="29"/>
      <c r="E1361" s="14"/>
      <c r="F1361" s="4"/>
    </row>
    <row r="1362">
      <c r="A1362" s="52"/>
      <c r="B1362" s="55"/>
      <c r="C1362" s="29"/>
      <c r="D1362" s="29"/>
      <c r="E1362" s="14"/>
      <c r="F1362" s="4"/>
    </row>
    <row r="1363">
      <c r="A1363" s="52"/>
      <c r="B1363" s="55"/>
      <c r="C1363" s="29"/>
      <c r="D1363" s="29"/>
      <c r="E1363" s="14"/>
      <c r="F1363" s="4"/>
    </row>
    <row r="1364">
      <c r="A1364" s="52"/>
      <c r="B1364" s="55"/>
      <c r="C1364" s="29"/>
      <c r="D1364" s="29"/>
      <c r="E1364" s="14"/>
      <c r="F1364" s="4"/>
    </row>
    <row r="1365">
      <c r="A1365" s="52"/>
      <c r="B1365" s="55"/>
      <c r="C1365" s="29"/>
      <c r="D1365" s="29"/>
      <c r="E1365" s="14"/>
      <c r="F1365" s="4"/>
    </row>
    <row r="1366">
      <c r="A1366" s="52"/>
      <c r="B1366" s="55"/>
      <c r="C1366" s="29"/>
      <c r="D1366" s="29"/>
      <c r="E1366" s="14"/>
      <c r="F1366" s="4"/>
    </row>
    <row r="1367">
      <c r="A1367" s="52"/>
      <c r="B1367" s="55"/>
      <c r="C1367" s="29"/>
      <c r="D1367" s="29"/>
      <c r="E1367" s="14"/>
      <c r="F1367" s="4"/>
    </row>
    <row r="1368">
      <c r="A1368" s="52"/>
      <c r="B1368" s="55"/>
      <c r="C1368" s="29"/>
      <c r="D1368" s="29"/>
      <c r="E1368" s="14"/>
      <c r="F1368" s="4"/>
    </row>
    <row r="1369">
      <c r="A1369" s="52"/>
      <c r="B1369" s="55"/>
      <c r="C1369" s="29"/>
      <c r="D1369" s="29"/>
      <c r="E1369" s="14"/>
      <c r="F1369" s="4"/>
    </row>
    <row r="1370">
      <c r="A1370" s="52"/>
      <c r="B1370" s="55"/>
      <c r="C1370" s="29"/>
      <c r="D1370" s="29"/>
      <c r="E1370" s="14"/>
      <c r="F1370" s="4"/>
    </row>
    <row r="1371">
      <c r="A1371" s="52"/>
      <c r="B1371" s="55"/>
      <c r="C1371" s="29"/>
      <c r="D1371" s="29"/>
      <c r="E1371" s="14"/>
      <c r="F1371" s="4"/>
    </row>
    <row r="1372">
      <c r="A1372" s="52"/>
      <c r="B1372" s="55"/>
      <c r="C1372" s="29"/>
      <c r="D1372" s="29"/>
      <c r="E1372" s="14"/>
      <c r="F1372" s="4"/>
    </row>
    <row r="1373">
      <c r="A1373" s="52"/>
      <c r="B1373" s="55"/>
      <c r="C1373" s="29"/>
      <c r="D1373" s="29"/>
      <c r="E1373" s="14"/>
      <c r="F1373" s="4"/>
    </row>
    <row r="1374">
      <c r="A1374" s="52"/>
      <c r="B1374" s="55"/>
      <c r="C1374" s="29"/>
      <c r="D1374" s="29"/>
      <c r="E1374" s="14"/>
      <c r="F1374" s="4"/>
    </row>
    <row r="1375">
      <c r="A1375" s="52"/>
      <c r="B1375" s="55"/>
      <c r="C1375" s="29"/>
      <c r="D1375" s="29"/>
      <c r="E1375" s="14"/>
      <c r="F1375" s="4"/>
    </row>
    <row r="1376">
      <c r="A1376" s="52"/>
      <c r="B1376" s="55"/>
      <c r="C1376" s="29"/>
      <c r="D1376" s="29"/>
      <c r="E1376" s="14"/>
      <c r="F1376" s="4"/>
    </row>
    <row r="1377">
      <c r="A1377" s="52"/>
      <c r="B1377" s="55"/>
      <c r="C1377" s="29"/>
      <c r="D1377" s="29"/>
      <c r="E1377" s="14"/>
      <c r="F1377" s="4"/>
    </row>
    <row r="1378">
      <c r="A1378" s="52"/>
      <c r="B1378" s="55"/>
      <c r="C1378" s="29"/>
      <c r="D1378" s="29"/>
      <c r="E1378" s="14"/>
      <c r="F1378" s="4"/>
    </row>
    <row r="1379">
      <c r="A1379" s="52"/>
      <c r="B1379" s="55"/>
      <c r="C1379" s="29"/>
      <c r="D1379" s="29"/>
      <c r="E1379" s="14"/>
      <c r="F1379" s="4"/>
    </row>
    <row r="1380">
      <c r="A1380" s="52"/>
      <c r="B1380" s="55"/>
      <c r="C1380" s="29"/>
      <c r="D1380" s="29"/>
      <c r="E1380" s="14"/>
      <c r="F1380" s="4"/>
    </row>
    <row r="1381">
      <c r="A1381" s="52"/>
      <c r="B1381" s="55"/>
      <c r="C1381" s="29"/>
      <c r="D1381" s="29"/>
      <c r="E1381" s="14"/>
      <c r="F1381" s="4"/>
    </row>
    <row r="1382">
      <c r="A1382" s="52"/>
      <c r="B1382" s="55"/>
      <c r="C1382" s="29"/>
      <c r="D1382" s="29"/>
      <c r="E1382" s="14"/>
      <c r="F1382" s="4"/>
    </row>
    <row r="1383">
      <c r="A1383" s="52"/>
      <c r="B1383" s="55"/>
      <c r="C1383" s="29"/>
      <c r="D1383" s="29"/>
      <c r="E1383" s="14"/>
      <c r="F1383" s="4"/>
    </row>
    <row r="1384">
      <c r="A1384" s="52"/>
      <c r="B1384" s="55"/>
      <c r="C1384" s="29"/>
      <c r="D1384" s="29"/>
      <c r="E1384" s="14"/>
      <c r="F1384" s="4"/>
    </row>
    <row r="1385">
      <c r="A1385" s="52"/>
      <c r="B1385" s="55"/>
      <c r="C1385" s="29"/>
      <c r="D1385" s="29"/>
      <c r="E1385" s="14"/>
      <c r="F1385" s="4"/>
    </row>
    <row r="1386">
      <c r="A1386" s="52"/>
      <c r="B1386" s="55"/>
      <c r="C1386" s="29"/>
      <c r="D1386" s="29"/>
      <c r="E1386" s="14"/>
      <c r="F1386" s="4"/>
    </row>
    <row r="1387">
      <c r="A1387" s="52"/>
      <c r="B1387" s="55"/>
      <c r="C1387" s="29"/>
      <c r="D1387" s="29"/>
      <c r="E1387" s="14"/>
      <c r="F1387" s="4"/>
    </row>
    <row r="1388">
      <c r="A1388" s="52"/>
      <c r="B1388" s="55"/>
      <c r="C1388" s="29"/>
      <c r="D1388" s="29"/>
      <c r="E1388" s="14"/>
      <c r="F1388" s="4"/>
    </row>
    <row r="1389">
      <c r="A1389" s="52"/>
      <c r="B1389" s="55"/>
      <c r="C1389" s="29"/>
      <c r="D1389" s="29"/>
      <c r="E1389" s="14"/>
      <c r="F1389" s="4"/>
    </row>
    <row r="1390">
      <c r="A1390" s="52"/>
      <c r="B1390" s="55"/>
      <c r="C1390" s="29"/>
      <c r="D1390" s="29"/>
      <c r="E1390" s="14"/>
      <c r="F1390" s="4"/>
    </row>
    <row r="1391">
      <c r="A1391" s="52"/>
      <c r="B1391" s="55"/>
      <c r="C1391" s="29"/>
      <c r="D1391" s="29"/>
      <c r="E1391" s="14"/>
      <c r="F1391" s="4"/>
    </row>
    <row r="1392">
      <c r="A1392" s="52"/>
      <c r="B1392" s="55"/>
      <c r="C1392" s="29"/>
      <c r="D1392" s="29"/>
      <c r="E1392" s="14"/>
      <c r="F1392" s="4"/>
    </row>
    <row r="1393">
      <c r="A1393" s="52"/>
      <c r="B1393" s="55"/>
      <c r="C1393" s="29"/>
      <c r="D1393" s="29"/>
      <c r="E1393" s="14"/>
      <c r="F1393" s="4"/>
    </row>
    <row r="1394">
      <c r="A1394" s="52"/>
      <c r="B1394" s="55"/>
      <c r="C1394" s="29"/>
      <c r="D1394" s="29"/>
      <c r="E1394" s="14"/>
      <c r="F1394" s="4"/>
    </row>
    <row r="1395">
      <c r="A1395" s="52"/>
      <c r="B1395" s="55"/>
      <c r="C1395" s="29"/>
      <c r="D1395" s="29"/>
      <c r="E1395" s="14"/>
      <c r="F1395" s="4"/>
    </row>
    <row r="1396">
      <c r="A1396" s="52"/>
      <c r="B1396" s="55"/>
      <c r="C1396" s="29"/>
      <c r="D1396" s="29"/>
      <c r="E1396" s="14"/>
      <c r="F1396" s="4"/>
    </row>
    <row r="1397">
      <c r="A1397" s="52"/>
      <c r="B1397" s="55"/>
      <c r="C1397" s="29"/>
      <c r="D1397" s="29"/>
      <c r="E1397" s="14"/>
      <c r="F1397" s="4"/>
    </row>
    <row r="1398">
      <c r="A1398" s="52"/>
      <c r="B1398" s="55"/>
      <c r="C1398" s="29"/>
      <c r="D1398" s="29"/>
      <c r="E1398" s="14"/>
      <c r="F1398" s="4"/>
    </row>
    <row r="1399">
      <c r="A1399" s="52"/>
      <c r="B1399" s="55"/>
      <c r="C1399" s="29"/>
      <c r="D1399" s="29"/>
      <c r="E1399" s="14"/>
      <c r="F1399" s="4"/>
    </row>
    <row r="1400">
      <c r="A1400" s="52"/>
      <c r="B1400" s="55"/>
      <c r="C1400" s="29"/>
      <c r="D1400" s="29"/>
      <c r="E1400" s="14"/>
      <c r="F1400" s="4"/>
    </row>
    <row r="1401">
      <c r="A1401" s="52"/>
      <c r="B1401" s="55"/>
      <c r="C1401" s="29"/>
      <c r="D1401" s="29"/>
      <c r="E1401" s="14"/>
      <c r="F1401" s="4"/>
    </row>
    <row r="1402">
      <c r="A1402" s="52"/>
      <c r="B1402" s="55"/>
      <c r="C1402" s="29"/>
      <c r="D1402" s="29"/>
      <c r="E1402" s="14"/>
      <c r="F1402" s="4"/>
    </row>
    <row r="1403">
      <c r="A1403" s="52"/>
      <c r="B1403" s="55"/>
      <c r="C1403" s="29"/>
      <c r="D1403" s="29"/>
      <c r="E1403" s="14"/>
      <c r="F1403" s="4"/>
    </row>
    <row r="1404">
      <c r="A1404" s="52"/>
      <c r="B1404" s="55"/>
      <c r="C1404" s="29"/>
      <c r="D1404" s="29"/>
      <c r="E1404" s="14"/>
      <c r="F1404" s="4"/>
    </row>
    <row r="1405">
      <c r="A1405" s="52"/>
      <c r="B1405" s="55"/>
      <c r="C1405" s="29"/>
      <c r="D1405" s="29"/>
      <c r="E1405" s="14"/>
      <c r="F1405" s="4"/>
    </row>
    <row r="1406">
      <c r="A1406" s="52"/>
      <c r="B1406" s="55"/>
      <c r="C1406" s="29"/>
      <c r="D1406" s="29"/>
      <c r="E1406" s="14"/>
      <c r="F1406" s="4"/>
    </row>
    <row r="1407">
      <c r="A1407" s="52"/>
      <c r="B1407" s="55"/>
      <c r="C1407" s="29"/>
      <c r="D1407" s="29"/>
      <c r="E1407" s="14"/>
      <c r="F1407" s="4"/>
    </row>
    <row r="1408">
      <c r="A1408" s="52"/>
      <c r="B1408" s="55"/>
      <c r="C1408" s="29"/>
      <c r="D1408" s="29"/>
      <c r="E1408" s="14"/>
      <c r="F1408" s="4"/>
    </row>
    <row r="1409">
      <c r="A1409" s="52"/>
      <c r="B1409" s="55"/>
      <c r="C1409" s="29"/>
      <c r="D1409" s="29"/>
      <c r="E1409" s="14"/>
      <c r="F1409" s="4"/>
    </row>
    <row r="1410">
      <c r="A1410" s="52"/>
      <c r="B1410" s="55"/>
      <c r="C1410" s="29"/>
      <c r="D1410" s="29"/>
      <c r="E1410" s="14"/>
      <c r="F1410" s="4"/>
    </row>
    <row r="1411">
      <c r="A1411" s="52"/>
      <c r="B1411" s="55"/>
      <c r="C1411" s="29"/>
      <c r="D1411" s="29"/>
      <c r="E1411" s="14"/>
      <c r="F1411" s="4"/>
    </row>
    <row r="1412">
      <c r="A1412" s="52"/>
      <c r="B1412" s="55"/>
      <c r="C1412" s="29"/>
      <c r="D1412" s="29"/>
      <c r="E1412" s="14"/>
      <c r="F1412" s="4"/>
    </row>
    <row r="1413">
      <c r="A1413" s="52"/>
      <c r="B1413" s="55"/>
      <c r="C1413" s="29"/>
      <c r="D1413" s="29"/>
      <c r="E1413" s="14"/>
      <c r="F1413" s="4"/>
    </row>
    <row r="1414">
      <c r="A1414" s="52"/>
      <c r="B1414" s="55"/>
      <c r="C1414" s="29"/>
      <c r="D1414" s="29"/>
      <c r="E1414" s="14"/>
      <c r="F1414" s="4"/>
    </row>
    <row r="1415">
      <c r="A1415" s="52"/>
      <c r="B1415" s="55"/>
      <c r="C1415" s="29"/>
      <c r="D1415" s="29"/>
      <c r="E1415" s="14"/>
      <c r="F1415" s="4"/>
    </row>
    <row r="1416">
      <c r="A1416" s="52"/>
      <c r="B1416" s="55"/>
      <c r="C1416" s="29"/>
      <c r="D1416" s="29"/>
      <c r="E1416" s="14"/>
      <c r="F1416" s="4"/>
    </row>
    <row r="1417">
      <c r="A1417" s="52"/>
      <c r="B1417" s="55"/>
      <c r="C1417" s="29"/>
      <c r="D1417" s="29"/>
      <c r="E1417" s="14"/>
      <c r="F1417" s="4"/>
    </row>
    <row r="1418">
      <c r="A1418" s="52"/>
      <c r="B1418" s="55"/>
      <c r="C1418" s="29"/>
      <c r="D1418" s="29"/>
      <c r="E1418" s="14"/>
      <c r="F1418" s="4"/>
    </row>
    <row r="1419">
      <c r="A1419" s="52"/>
      <c r="B1419" s="55"/>
      <c r="C1419" s="29"/>
      <c r="D1419" s="29"/>
      <c r="E1419" s="14"/>
      <c r="F1419" s="4"/>
    </row>
    <row r="1420">
      <c r="A1420" s="52"/>
      <c r="B1420" s="55"/>
      <c r="C1420" s="29"/>
      <c r="D1420" s="29"/>
      <c r="E1420" s="14"/>
      <c r="F1420" s="4"/>
    </row>
    <row r="1421">
      <c r="A1421" s="52"/>
      <c r="B1421" s="55"/>
      <c r="C1421" s="29"/>
      <c r="D1421" s="29"/>
      <c r="E1421" s="14"/>
      <c r="F1421" s="4"/>
    </row>
    <row r="1422">
      <c r="A1422" s="52"/>
      <c r="B1422" s="55"/>
      <c r="C1422" s="29"/>
      <c r="D1422" s="29"/>
      <c r="E1422" s="14"/>
      <c r="F1422" s="4"/>
    </row>
    <row r="1423">
      <c r="A1423" s="52"/>
      <c r="B1423" s="55"/>
      <c r="C1423" s="29"/>
      <c r="D1423" s="29"/>
      <c r="E1423" s="14"/>
      <c r="F1423" s="4"/>
    </row>
    <row r="1424">
      <c r="A1424" s="52"/>
      <c r="B1424" s="55"/>
      <c r="C1424" s="29"/>
      <c r="D1424" s="29"/>
      <c r="E1424" s="14"/>
      <c r="F1424" s="4"/>
    </row>
    <row r="1425">
      <c r="A1425" s="52"/>
      <c r="B1425" s="55"/>
      <c r="C1425" s="29"/>
      <c r="D1425" s="29"/>
      <c r="E1425" s="14"/>
      <c r="F1425" s="4"/>
    </row>
    <row r="1426">
      <c r="A1426" s="52"/>
      <c r="B1426" s="55"/>
      <c r="C1426" s="29"/>
      <c r="D1426" s="29"/>
      <c r="E1426" s="14"/>
      <c r="F1426" s="4"/>
    </row>
    <row r="1427">
      <c r="A1427" s="52"/>
      <c r="B1427" s="55"/>
      <c r="C1427" s="29"/>
      <c r="D1427" s="29"/>
      <c r="E1427" s="14"/>
      <c r="F1427" s="4"/>
    </row>
    <row r="1428">
      <c r="A1428" s="52"/>
      <c r="B1428" s="55"/>
      <c r="C1428" s="29"/>
      <c r="D1428" s="29"/>
      <c r="E1428" s="14"/>
      <c r="F1428" s="4"/>
    </row>
    <row r="1429">
      <c r="A1429" s="52"/>
      <c r="B1429" s="55"/>
      <c r="C1429" s="29"/>
      <c r="D1429" s="29"/>
      <c r="E1429" s="14"/>
      <c r="F1429" s="4"/>
    </row>
    <row r="1430">
      <c r="A1430" s="52"/>
      <c r="B1430" s="55"/>
      <c r="C1430" s="29"/>
      <c r="D1430" s="29"/>
      <c r="E1430" s="14"/>
      <c r="F1430" s="4"/>
    </row>
    <row r="1431">
      <c r="A1431" s="52"/>
      <c r="B1431" s="55"/>
      <c r="C1431" s="29"/>
      <c r="D1431" s="29"/>
      <c r="E1431" s="14"/>
      <c r="F1431" s="4"/>
    </row>
    <row r="1432">
      <c r="A1432" s="52"/>
      <c r="B1432" s="55"/>
      <c r="C1432" s="29"/>
      <c r="D1432" s="29"/>
      <c r="E1432" s="14"/>
      <c r="F1432" s="4"/>
    </row>
    <row r="1433">
      <c r="A1433" s="52"/>
      <c r="B1433" s="55"/>
      <c r="C1433" s="29"/>
      <c r="D1433" s="29"/>
      <c r="E1433" s="14"/>
      <c r="F1433" s="4"/>
    </row>
    <row r="1434">
      <c r="A1434" s="52"/>
      <c r="B1434" s="55"/>
      <c r="C1434" s="29"/>
      <c r="D1434" s="29"/>
      <c r="E1434" s="14"/>
      <c r="F1434" s="4"/>
    </row>
    <row r="1435">
      <c r="A1435" s="52"/>
      <c r="B1435" s="55"/>
      <c r="C1435" s="29"/>
      <c r="D1435" s="29"/>
      <c r="E1435" s="14"/>
      <c r="F1435" s="4"/>
    </row>
    <row r="1436">
      <c r="A1436" s="52"/>
      <c r="B1436" s="55"/>
      <c r="C1436" s="29"/>
      <c r="D1436" s="29"/>
      <c r="E1436" s="14"/>
      <c r="F1436" s="4"/>
    </row>
    <row r="1437">
      <c r="A1437" s="52"/>
      <c r="B1437" s="55"/>
      <c r="C1437" s="29"/>
      <c r="D1437" s="29"/>
      <c r="E1437" s="14"/>
      <c r="F1437" s="4"/>
    </row>
    <row r="1438">
      <c r="A1438" s="52"/>
      <c r="B1438" s="55"/>
      <c r="C1438" s="29"/>
      <c r="D1438" s="29"/>
      <c r="E1438" s="14"/>
      <c r="F1438" s="4"/>
    </row>
    <row r="1439">
      <c r="A1439" s="52"/>
      <c r="B1439" s="55"/>
      <c r="C1439" s="29"/>
      <c r="D1439" s="29"/>
      <c r="E1439" s="14"/>
      <c r="F1439" s="4"/>
    </row>
    <row r="1440">
      <c r="A1440" s="52"/>
      <c r="B1440" s="55"/>
      <c r="C1440" s="29"/>
      <c r="D1440" s="29"/>
      <c r="E1440" s="14"/>
      <c r="F1440" s="4"/>
    </row>
    <row r="1441">
      <c r="A1441" s="52"/>
      <c r="B1441" s="55"/>
      <c r="C1441" s="29"/>
      <c r="D1441" s="29"/>
      <c r="E1441" s="14"/>
      <c r="F1441" s="4"/>
    </row>
    <row r="1442">
      <c r="A1442" s="52"/>
      <c r="B1442" s="55"/>
      <c r="C1442" s="29"/>
      <c r="D1442" s="29"/>
      <c r="E1442" s="14"/>
      <c r="F1442" s="4"/>
    </row>
    <row r="1443">
      <c r="A1443" s="52"/>
      <c r="B1443" s="55"/>
      <c r="C1443" s="29"/>
      <c r="D1443" s="29"/>
      <c r="E1443" s="14"/>
      <c r="F1443" s="4"/>
    </row>
    <row r="1444">
      <c r="A1444" s="52"/>
      <c r="B1444" s="55"/>
      <c r="C1444" s="29"/>
      <c r="D1444" s="29"/>
      <c r="E1444" s="14"/>
      <c r="F1444" s="4"/>
    </row>
    <row r="1445">
      <c r="A1445" s="52"/>
      <c r="B1445" s="55"/>
      <c r="C1445" s="29"/>
      <c r="D1445" s="29"/>
      <c r="E1445" s="14"/>
      <c r="F1445" s="4"/>
    </row>
    <row r="1446">
      <c r="A1446" s="52"/>
      <c r="B1446" s="55"/>
      <c r="C1446" s="29"/>
      <c r="D1446" s="29"/>
      <c r="E1446" s="14"/>
      <c r="F1446" s="4"/>
    </row>
    <row r="1447">
      <c r="A1447" s="52"/>
      <c r="B1447" s="55"/>
      <c r="C1447" s="29"/>
      <c r="D1447" s="29"/>
      <c r="E1447" s="14"/>
      <c r="F1447" s="4"/>
    </row>
    <row r="1448">
      <c r="A1448" s="52"/>
      <c r="B1448" s="55"/>
      <c r="C1448" s="29"/>
      <c r="D1448" s="29"/>
      <c r="E1448" s="14"/>
      <c r="F1448" s="4"/>
    </row>
    <row r="1449">
      <c r="A1449" s="52"/>
      <c r="B1449" s="55"/>
      <c r="C1449" s="29"/>
      <c r="D1449" s="29"/>
      <c r="E1449" s="14"/>
      <c r="F1449" s="4"/>
    </row>
    <row r="1450">
      <c r="A1450" s="52"/>
      <c r="B1450" s="55"/>
      <c r="C1450" s="29"/>
      <c r="D1450" s="29"/>
      <c r="E1450" s="14"/>
      <c r="F1450" s="4"/>
    </row>
    <row r="1451">
      <c r="A1451" s="52"/>
      <c r="B1451" s="55"/>
      <c r="C1451" s="29"/>
      <c r="D1451" s="29"/>
      <c r="E1451" s="14"/>
      <c r="F1451" s="4"/>
    </row>
    <row r="1452">
      <c r="A1452" s="52"/>
      <c r="B1452" s="55"/>
      <c r="C1452" s="29"/>
      <c r="D1452" s="29"/>
      <c r="E1452" s="14"/>
      <c r="F1452" s="4"/>
    </row>
    <row r="1453">
      <c r="A1453" s="52"/>
      <c r="B1453" s="55"/>
      <c r="C1453" s="29"/>
      <c r="D1453" s="29"/>
      <c r="E1453" s="14"/>
      <c r="F1453" s="4"/>
    </row>
    <row r="1454">
      <c r="A1454" s="52"/>
      <c r="B1454" s="55"/>
      <c r="C1454" s="29"/>
      <c r="D1454" s="29"/>
      <c r="E1454" s="14"/>
      <c r="F1454" s="4"/>
    </row>
    <row r="1455">
      <c r="A1455" s="52"/>
      <c r="B1455" s="55"/>
      <c r="C1455" s="29"/>
      <c r="D1455" s="29"/>
      <c r="E1455" s="14"/>
      <c r="F1455" s="4"/>
    </row>
    <row r="1456">
      <c r="A1456" s="52"/>
      <c r="B1456" s="55"/>
      <c r="C1456" s="29"/>
      <c r="D1456" s="29"/>
      <c r="E1456" s="14"/>
      <c r="F1456" s="4"/>
    </row>
    <row r="1457">
      <c r="A1457" s="52"/>
      <c r="B1457" s="55"/>
      <c r="C1457" s="29"/>
      <c r="D1457" s="29"/>
      <c r="E1457" s="14"/>
      <c r="F1457" s="4"/>
    </row>
    <row r="1458">
      <c r="A1458" s="52"/>
      <c r="B1458" s="55"/>
      <c r="C1458" s="29"/>
      <c r="D1458" s="29"/>
      <c r="E1458" s="14"/>
      <c r="F1458" s="4"/>
    </row>
    <row r="1459">
      <c r="A1459" s="52"/>
      <c r="B1459" s="55"/>
      <c r="C1459" s="29"/>
      <c r="D1459" s="29"/>
      <c r="E1459" s="14"/>
      <c r="F1459" s="4"/>
    </row>
    <row r="1460">
      <c r="A1460" s="52"/>
      <c r="B1460" s="55"/>
      <c r="C1460" s="29"/>
      <c r="D1460" s="29"/>
      <c r="E1460" s="14"/>
      <c r="F1460" s="4"/>
    </row>
    <row r="1461">
      <c r="A1461" s="52"/>
      <c r="B1461" s="55"/>
      <c r="C1461" s="29"/>
      <c r="D1461" s="29"/>
      <c r="E1461" s="14"/>
      <c r="F1461" s="4"/>
    </row>
    <row r="1462">
      <c r="A1462" s="52"/>
      <c r="B1462" s="55"/>
      <c r="C1462" s="29"/>
      <c r="D1462" s="29"/>
      <c r="E1462" s="14"/>
      <c r="F1462" s="4"/>
    </row>
    <row r="1463">
      <c r="A1463" s="52"/>
      <c r="B1463" s="55"/>
      <c r="C1463" s="29"/>
      <c r="D1463" s="29"/>
      <c r="E1463" s="14"/>
      <c r="F1463" s="4"/>
    </row>
    <row r="1464">
      <c r="A1464" s="52"/>
      <c r="B1464" s="55"/>
      <c r="C1464" s="29"/>
      <c r="D1464" s="29"/>
      <c r="E1464" s="14"/>
      <c r="F1464" s="4"/>
    </row>
    <row r="1465">
      <c r="A1465" s="52"/>
      <c r="B1465" s="55"/>
      <c r="C1465" s="29"/>
      <c r="D1465" s="29"/>
      <c r="E1465" s="14"/>
      <c r="F1465" s="4"/>
    </row>
    <row r="1466">
      <c r="A1466" s="52"/>
      <c r="B1466" s="55"/>
      <c r="C1466" s="29"/>
      <c r="D1466" s="29"/>
      <c r="E1466" s="14"/>
      <c r="F1466" s="4"/>
    </row>
    <row r="1467">
      <c r="A1467" s="52"/>
      <c r="B1467" s="55"/>
      <c r="C1467" s="29"/>
      <c r="D1467" s="29"/>
      <c r="E1467" s="14"/>
      <c r="F1467" s="4"/>
    </row>
    <row r="1468">
      <c r="A1468" s="52"/>
      <c r="B1468" s="55"/>
      <c r="C1468" s="29"/>
      <c r="D1468" s="29"/>
      <c r="E1468" s="14"/>
      <c r="F1468" s="4"/>
    </row>
    <row r="1469">
      <c r="A1469" s="52"/>
      <c r="B1469" s="55"/>
      <c r="C1469" s="29"/>
      <c r="D1469" s="29"/>
      <c r="E1469" s="14"/>
      <c r="F1469" s="4"/>
    </row>
    <row r="1470">
      <c r="A1470" s="52"/>
      <c r="B1470" s="55"/>
      <c r="C1470" s="29"/>
      <c r="D1470" s="29"/>
      <c r="E1470" s="14"/>
      <c r="F1470" s="4"/>
    </row>
    <row r="1471">
      <c r="A1471" s="52"/>
      <c r="B1471" s="55"/>
      <c r="C1471" s="29"/>
      <c r="D1471" s="29"/>
      <c r="E1471" s="14"/>
      <c r="F1471" s="4"/>
    </row>
    <row r="1472">
      <c r="A1472" s="52"/>
      <c r="B1472" s="55"/>
      <c r="C1472" s="29"/>
      <c r="D1472" s="29"/>
      <c r="E1472" s="14"/>
      <c r="F1472" s="4"/>
    </row>
    <row r="1473">
      <c r="A1473" s="52"/>
      <c r="B1473" s="55"/>
      <c r="C1473" s="29"/>
      <c r="D1473" s="29"/>
      <c r="E1473" s="14"/>
      <c r="F1473" s="4"/>
    </row>
    <row r="1474">
      <c r="A1474" s="52"/>
      <c r="B1474" s="55"/>
      <c r="C1474" s="29"/>
      <c r="D1474" s="29"/>
      <c r="E1474" s="14"/>
      <c r="F1474" s="4"/>
    </row>
    <row r="1475">
      <c r="A1475" s="52"/>
      <c r="B1475" s="55"/>
      <c r="C1475" s="29"/>
      <c r="D1475" s="29"/>
      <c r="E1475" s="14"/>
      <c r="F1475" s="4"/>
    </row>
    <row r="1476">
      <c r="A1476" s="52"/>
      <c r="B1476" s="55"/>
      <c r="C1476" s="29"/>
      <c r="D1476" s="29"/>
      <c r="E1476" s="14"/>
      <c r="F1476" s="4"/>
    </row>
    <row r="1477">
      <c r="A1477" s="52"/>
      <c r="B1477" s="55"/>
      <c r="C1477" s="29"/>
      <c r="D1477" s="29"/>
      <c r="E1477" s="14"/>
      <c r="F1477" s="4"/>
    </row>
    <row r="1478">
      <c r="A1478" s="52"/>
      <c r="B1478" s="55"/>
      <c r="C1478" s="29"/>
      <c r="D1478" s="29"/>
      <c r="E1478" s="14"/>
      <c r="F1478" s="4"/>
    </row>
    <row r="1479">
      <c r="A1479" s="52"/>
      <c r="B1479" s="55"/>
      <c r="C1479" s="29"/>
      <c r="D1479" s="29"/>
      <c r="E1479" s="14"/>
      <c r="F1479" s="4"/>
    </row>
    <row r="1480">
      <c r="A1480" s="52"/>
      <c r="B1480" s="55"/>
      <c r="C1480" s="29"/>
      <c r="D1480" s="29"/>
      <c r="E1480" s="14"/>
      <c r="F1480" s="4"/>
    </row>
    <row r="1481">
      <c r="A1481" s="52"/>
      <c r="B1481" s="55"/>
      <c r="C1481" s="29"/>
      <c r="D1481" s="29"/>
      <c r="E1481" s="14"/>
      <c r="F1481" s="4"/>
    </row>
    <row r="1482">
      <c r="A1482" s="52"/>
      <c r="B1482" s="55"/>
      <c r="C1482" s="29"/>
      <c r="D1482" s="29"/>
      <c r="E1482" s="14"/>
      <c r="F1482" s="4"/>
    </row>
    <row r="1483">
      <c r="A1483" s="52"/>
      <c r="B1483" s="55"/>
      <c r="C1483" s="29"/>
      <c r="D1483" s="29"/>
      <c r="E1483" s="14"/>
      <c r="F1483" s="4"/>
    </row>
    <row r="1484">
      <c r="A1484" s="52"/>
      <c r="B1484" s="55"/>
      <c r="C1484" s="29"/>
      <c r="D1484" s="29"/>
      <c r="E1484" s="14"/>
      <c r="F1484" s="4"/>
    </row>
    <row r="1485">
      <c r="A1485" s="52"/>
      <c r="B1485" s="55"/>
      <c r="C1485" s="29"/>
      <c r="D1485" s="29"/>
      <c r="E1485" s="14"/>
      <c r="F1485" s="4"/>
    </row>
    <row r="1486">
      <c r="A1486" s="52"/>
      <c r="B1486" s="55"/>
      <c r="C1486" s="29"/>
      <c r="D1486" s="29"/>
      <c r="E1486" s="14"/>
      <c r="F1486" s="4"/>
    </row>
    <row r="1487">
      <c r="A1487" s="52"/>
      <c r="B1487" s="55"/>
      <c r="C1487" s="29"/>
      <c r="D1487" s="29"/>
      <c r="E1487" s="14"/>
      <c r="F1487" s="4"/>
    </row>
    <row r="1488">
      <c r="A1488" s="52"/>
      <c r="B1488" s="55"/>
      <c r="C1488" s="29"/>
      <c r="D1488" s="29"/>
      <c r="E1488" s="14"/>
      <c r="F1488" s="4"/>
    </row>
    <row r="1489">
      <c r="A1489" s="52"/>
      <c r="B1489" s="55"/>
      <c r="C1489" s="29"/>
      <c r="D1489" s="29"/>
      <c r="E1489" s="14"/>
      <c r="F1489" s="4"/>
    </row>
    <row r="1490">
      <c r="A1490" s="52"/>
      <c r="B1490" s="55"/>
      <c r="C1490" s="29"/>
      <c r="D1490" s="29"/>
      <c r="E1490" s="14"/>
      <c r="F1490" s="4"/>
    </row>
    <row r="1491">
      <c r="A1491" s="52"/>
      <c r="B1491" s="55"/>
      <c r="C1491" s="29"/>
      <c r="D1491" s="29"/>
      <c r="E1491" s="14"/>
      <c r="F1491" s="4"/>
    </row>
    <row r="1492">
      <c r="A1492" s="52"/>
      <c r="B1492" s="55"/>
      <c r="C1492" s="29"/>
      <c r="D1492" s="29"/>
      <c r="E1492" s="14"/>
      <c r="F1492" s="4"/>
    </row>
    <row r="1493">
      <c r="A1493" s="52"/>
      <c r="B1493" s="55"/>
      <c r="C1493" s="29"/>
      <c r="D1493" s="29"/>
      <c r="E1493" s="14"/>
      <c r="F1493" s="4"/>
    </row>
    <row r="1494">
      <c r="A1494" s="52"/>
      <c r="B1494" s="55"/>
      <c r="C1494" s="29"/>
      <c r="D1494" s="29"/>
      <c r="E1494" s="14"/>
      <c r="F1494" s="4"/>
    </row>
    <row r="1495">
      <c r="A1495" s="52"/>
      <c r="B1495" s="55"/>
      <c r="C1495" s="29"/>
      <c r="D1495" s="29"/>
      <c r="E1495" s="14"/>
      <c r="F1495" s="4"/>
    </row>
    <row r="1496">
      <c r="A1496" s="52"/>
      <c r="B1496" s="55"/>
      <c r="C1496" s="29"/>
      <c r="D1496" s="29"/>
      <c r="E1496" s="14"/>
      <c r="F1496" s="4"/>
    </row>
    <row r="1497">
      <c r="A1497" s="52"/>
      <c r="B1497" s="55"/>
      <c r="C1497" s="29"/>
      <c r="D1497" s="29"/>
      <c r="E1497" s="14"/>
      <c r="F1497" s="4"/>
    </row>
    <row r="1498">
      <c r="A1498" s="52"/>
      <c r="B1498" s="55"/>
      <c r="C1498" s="29"/>
      <c r="D1498" s="29"/>
      <c r="E1498" s="14"/>
      <c r="F1498" s="4"/>
    </row>
    <row r="1499">
      <c r="A1499" s="52"/>
      <c r="B1499" s="55"/>
      <c r="C1499" s="29"/>
      <c r="D1499" s="29"/>
      <c r="E1499" s="14"/>
      <c r="F1499" s="4"/>
    </row>
    <row r="1500">
      <c r="A1500" s="52"/>
      <c r="B1500" s="55"/>
      <c r="C1500" s="29"/>
      <c r="D1500" s="29"/>
      <c r="E1500" s="14"/>
      <c r="F1500" s="4"/>
    </row>
    <row r="1501">
      <c r="A1501" s="52"/>
      <c r="B1501" s="55"/>
      <c r="C1501" s="29"/>
      <c r="D1501" s="29"/>
      <c r="E1501" s="14"/>
      <c r="F1501" s="4"/>
    </row>
    <row r="1502">
      <c r="A1502" s="52"/>
      <c r="B1502" s="55"/>
      <c r="C1502" s="29"/>
      <c r="D1502" s="29"/>
      <c r="E1502" s="14"/>
      <c r="F1502" s="4"/>
    </row>
    <row r="1503">
      <c r="A1503" s="52"/>
      <c r="B1503" s="55"/>
      <c r="C1503" s="29"/>
      <c r="D1503" s="29"/>
      <c r="E1503" s="14"/>
      <c r="F1503" s="4"/>
    </row>
    <row r="1504">
      <c r="A1504" s="52"/>
      <c r="B1504" s="55"/>
      <c r="C1504" s="29"/>
      <c r="D1504" s="29"/>
      <c r="E1504" s="14"/>
      <c r="F1504" s="4"/>
    </row>
    <row r="1505">
      <c r="A1505" s="52"/>
      <c r="B1505" s="55"/>
      <c r="C1505" s="29"/>
      <c r="D1505" s="29"/>
      <c r="E1505" s="14"/>
      <c r="F1505" s="4"/>
    </row>
    <row r="1506">
      <c r="A1506" s="52"/>
      <c r="B1506" s="55"/>
      <c r="C1506" s="29"/>
      <c r="D1506" s="29"/>
      <c r="E1506" s="14"/>
      <c r="F1506" s="4"/>
    </row>
    <row r="1507">
      <c r="A1507" s="52"/>
      <c r="B1507" s="55"/>
      <c r="C1507" s="29"/>
      <c r="D1507" s="29"/>
      <c r="E1507" s="14"/>
      <c r="F1507" s="4"/>
    </row>
    <row r="1508">
      <c r="A1508" s="52"/>
      <c r="B1508" s="55"/>
      <c r="C1508" s="29"/>
      <c r="D1508" s="29"/>
      <c r="E1508" s="14"/>
      <c r="F1508" s="4"/>
    </row>
    <row r="1509">
      <c r="A1509" s="52"/>
      <c r="B1509" s="55"/>
      <c r="C1509" s="29"/>
      <c r="D1509" s="29"/>
      <c r="E1509" s="14"/>
      <c r="F1509" s="4"/>
    </row>
    <row r="1510">
      <c r="A1510" s="52"/>
      <c r="B1510" s="55"/>
      <c r="C1510" s="29"/>
      <c r="D1510" s="29"/>
      <c r="E1510" s="14"/>
      <c r="F1510" s="4"/>
    </row>
    <row r="1511">
      <c r="A1511" s="52"/>
      <c r="B1511" s="55"/>
      <c r="C1511" s="29"/>
      <c r="D1511" s="29"/>
      <c r="E1511" s="14"/>
      <c r="F1511" s="4"/>
    </row>
    <row r="1512">
      <c r="A1512" s="52"/>
      <c r="B1512" s="55"/>
      <c r="C1512" s="29"/>
      <c r="D1512" s="29"/>
      <c r="E1512" s="14"/>
      <c r="F1512" s="4"/>
    </row>
    <row r="1513">
      <c r="A1513" s="52"/>
      <c r="B1513" s="55"/>
      <c r="C1513" s="29"/>
      <c r="D1513" s="29"/>
      <c r="E1513" s="14"/>
      <c r="F1513" s="4"/>
    </row>
    <row r="1514">
      <c r="A1514" s="52"/>
      <c r="B1514" s="55"/>
      <c r="C1514" s="29"/>
      <c r="D1514" s="29"/>
      <c r="E1514" s="14"/>
      <c r="F1514" s="4"/>
    </row>
    <row r="1515">
      <c r="A1515" s="52"/>
      <c r="B1515" s="55"/>
      <c r="C1515" s="29"/>
      <c r="D1515" s="29"/>
      <c r="E1515" s="14"/>
      <c r="F1515" s="4"/>
    </row>
    <row r="1516">
      <c r="A1516" s="52"/>
      <c r="B1516" s="55"/>
      <c r="C1516" s="29"/>
      <c r="D1516" s="29"/>
      <c r="E1516" s="14"/>
      <c r="F1516" s="4"/>
    </row>
    <row r="1517">
      <c r="A1517" s="52"/>
      <c r="B1517" s="55"/>
      <c r="C1517" s="29"/>
      <c r="D1517" s="29"/>
      <c r="E1517" s="14"/>
      <c r="F1517" s="4"/>
    </row>
    <row r="1518">
      <c r="A1518" s="52"/>
      <c r="B1518" s="55"/>
      <c r="C1518" s="29"/>
      <c r="D1518" s="29"/>
      <c r="E1518" s="14"/>
      <c r="F1518" s="4"/>
    </row>
    <row r="1519">
      <c r="A1519" s="52"/>
      <c r="B1519" s="55"/>
      <c r="C1519" s="29"/>
      <c r="D1519" s="29"/>
      <c r="E1519" s="14"/>
      <c r="F1519" s="4"/>
    </row>
    <row r="1520">
      <c r="A1520" s="52"/>
      <c r="B1520" s="55"/>
      <c r="C1520" s="29"/>
      <c r="D1520" s="29"/>
      <c r="E1520" s="14"/>
      <c r="F1520" s="4"/>
    </row>
    <row r="1521">
      <c r="A1521" s="52"/>
      <c r="B1521" s="55"/>
      <c r="C1521" s="29"/>
      <c r="D1521" s="29"/>
      <c r="E1521" s="14"/>
      <c r="F1521" s="4"/>
    </row>
    <row r="1522">
      <c r="A1522" s="52"/>
      <c r="B1522" s="55"/>
      <c r="C1522" s="29"/>
      <c r="D1522" s="29"/>
      <c r="E1522" s="14"/>
      <c r="F1522" s="4"/>
    </row>
    <row r="1523">
      <c r="A1523" s="52"/>
      <c r="B1523" s="55"/>
      <c r="C1523" s="29"/>
      <c r="D1523" s="29"/>
      <c r="E1523" s="14"/>
      <c r="F1523" s="4"/>
    </row>
    <row r="1524">
      <c r="A1524" s="52"/>
      <c r="B1524" s="55"/>
      <c r="C1524" s="29"/>
      <c r="D1524" s="29"/>
      <c r="E1524" s="14"/>
      <c r="F1524" s="4"/>
    </row>
    <row r="1525">
      <c r="A1525" s="52"/>
      <c r="B1525" s="55"/>
      <c r="C1525" s="29"/>
      <c r="D1525" s="29"/>
      <c r="E1525" s="14"/>
      <c r="F1525" s="4"/>
    </row>
    <row r="1526">
      <c r="A1526" s="52"/>
      <c r="B1526" s="55"/>
      <c r="C1526" s="29"/>
      <c r="D1526" s="29"/>
      <c r="E1526" s="14"/>
      <c r="F1526" s="4"/>
    </row>
    <row r="1527">
      <c r="A1527" s="52"/>
      <c r="B1527" s="55"/>
      <c r="C1527" s="29"/>
      <c r="D1527" s="29"/>
      <c r="E1527" s="14"/>
      <c r="F1527" s="4"/>
    </row>
    <row r="1528">
      <c r="A1528" s="52"/>
      <c r="B1528" s="55"/>
      <c r="C1528" s="29"/>
      <c r="D1528" s="29"/>
      <c r="E1528" s="14"/>
      <c r="F1528" s="4"/>
    </row>
    <row r="1529">
      <c r="A1529" s="52"/>
      <c r="B1529" s="55"/>
      <c r="C1529" s="29"/>
      <c r="D1529" s="29"/>
      <c r="E1529" s="14"/>
      <c r="F1529" s="4"/>
    </row>
    <row r="1530">
      <c r="A1530" s="52"/>
      <c r="B1530" s="55"/>
      <c r="C1530" s="29"/>
      <c r="D1530" s="29"/>
      <c r="E1530" s="14"/>
      <c r="F1530" s="4"/>
    </row>
    <row r="1531">
      <c r="A1531" s="52"/>
      <c r="B1531" s="55"/>
      <c r="C1531" s="29"/>
      <c r="D1531" s="29"/>
      <c r="E1531" s="14"/>
      <c r="F1531" s="4"/>
    </row>
    <row r="1532">
      <c r="A1532" s="52"/>
      <c r="B1532" s="55"/>
      <c r="C1532" s="29"/>
      <c r="D1532" s="29"/>
      <c r="E1532" s="14"/>
      <c r="F1532" s="4"/>
    </row>
    <row r="1533">
      <c r="A1533" s="52"/>
      <c r="B1533" s="55"/>
      <c r="C1533" s="29"/>
      <c r="D1533" s="29"/>
      <c r="E1533" s="14"/>
      <c r="F1533" s="4"/>
    </row>
    <row r="1534">
      <c r="A1534" s="52"/>
      <c r="B1534" s="55"/>
      <c r="C1534" s="29"/>
      <c r="D1534" s="29"/>
      <c r="E1534" s="14"/>
      <c r="F1534" s="4"/>
    </row>
    <row r="1535">
      <c r="A1535" s="52"/>
      <c r="B1535" s="55"/>
      <c r="C1535" s="29"/>
      <c r="D1535" s="29"/>
      <c r="E1535" s="14"/>
      <c r="F1535" s="4"/>
    </row>
    <row r="1536">
      <c r="A1536" s="52"/>
      <c r="B1536" s="55"/>
      <c r="C1536" s="29"/>
      <c r="D1536" s="29"/>
      <c r="E1536" s="14"/>
      <c r="F1536" s="4"/>
    </row>
    <row r="1537">
      <c r="A1537" s="52"/>
      <c r="B1537" s="55"/>
      <c r="C1537" s="29"/>
      <c r="D1537" s="29"/>
      <c r="E1537" s="14"/>
      <c r="F1537" s="4"/>
    </row>
    <row r="1538">
      <c r="A1538" s="52"/>
      <c r="B1538" s="55"/>
      <c r="C1538" s="29"/>
      <c r="D1538" s="29"/>
      <c r="E1538" s="14"/>
      <c r="F1538" s="4"/>
    </row>
    <row r="1539">
      <c r="A1539" s="52"/>
      <c r="B1539" s="55"/>
      <c r="C1539" s="29"/>
      <c r="D1539" s="29"/>
      <c r="E1539" s="14"/>
      <c r="F1539" s="4"/>
    </row>
    <row r="1540">
      <c r="A1540" s="52"/>
      <c r="B1540" s="55"/>
      <c r="C1540" s="29"/>
      <c r="D1540" s="29"/>
      <c r="E1540" s="14"/>
      <c r="F1540" s="4"/>
    </row>
    <row r="1541">
      <c r="A1541" s="52"/>
      <c r="B1541" s="55"/>
      <c r="C1541" s="29"/>
      <c r="D1541" s="29"/>
      <c r="E1541" s="14"/>
      <c r="F1541" s="4"/>
    </row>
    <row r="1542">
      <c r="A1542" s="52"/>
      <c r="B1542" s="55"/>
      <c r="C1542" s="29"/>
      <c r="D1542" s="29"/>
      <c r="E1542" s="14"/>
      <c r="F1542" s="4"/>
    </row>
    <row r="1543">
      <c r="A1543" s="52"/>
      <c r="B1543" s="55"/>
      <c r="C1543" s="29"/>
      <c r="D1543" s="29"/>
      <c r="E1543" s="14"/>
      <c r="F1543" s="4"/>
    </row>
    <row r="1544">
      <c r="A1544" s="52"/>
      <c r="B1544" s="55"/>
      <c r="C1544" s="29"/>
      <c r="D1544" s="29"/>
      <c r="E1544" s="14"/>
      <c r="F1544" s="4"/>
    </row>
    <row r="1545">
      <c r="A1545" s="52"/>
      <c r="B1545" s="55"/>
      <c r="C1545" s="29"/>
      <c r="D1545" s="29"/>
      <c r="E1545" s="14"/>
      <c r="F1545" s="4"/>
    </row>
    <row r="1546">
      <c r="A1546" s="52"/>
      <c r="B1546" s="55"/>
      <c r="C1546" s="29"/>
      <c r="D1546" s="29"/>
      <c r="E1546" s="14"/>
      <c r="F1546" s="4"/>
    </row>
    <row r="1547">
      <c r="A1547" s="52"/>
      <c r="B1547" s="55"/>
      <c r="C1547" s="29"/>
      <c r="D1547" s="29"/>
      <c r="E1547" s="14"/>
      <c r="F1547" s="4"/>
    </row>
    <row r="1548">
      <c r="A1548" s="52"/>
      <c r="B1548" s="55"/>
      <c r="C1548" s="29"/>
      <c r="D1548" s="29"/>
      <c r="E1548" s="14"/>
      <c r="F1548" s="4"/>
    </row>
    <row r="1549">
      <c r="A1549" s="52"/>
      <c r="B1549" s="55"/>
      <c r="C1549" s="29"/>
      <c r="D1549" s="29"/>
      <c r="E1549" s="14"/>
      <c r="F1549" s="4"/>
    </row>
    <row r="1550">
      <c r="A1550" s="52"/>
      <c r="B1550" s="55"/>
      <c r="C1550" s="29"/>
      <c r="D1550" s="29"/>
      <c r="E1550" s="14"/>
      <c r="F1550" s="4"/>
    </row>
    <row r="1551">
      <c r="A1551" s="52"/>
      <c r="B1551" s="55"/>
      <c r="C1551" s="29"/>
      <c r="D1551" s="29"/>
      <c r="E1551" s="14"/>
      <c r="F1551" s="4"/>
    </row>
    <row r="1552">
      <c r="A1552" s="52"/>
      <c r="B1552" s="55"/>
      <c r="C1552" s="29"/>
      <c r="D1552" s="29"/>
      <c r="E1552" s="14"/>
      <c r="F1552" s="4"/>
    </row>
    <row r="1553">
      <c r="A1553" s="52"/>
      <c r="B1553" s="55"/>
      <c r="C1553" s="29"/>
      <c r="D1553" s="29"/>
      <c r="E1553" s="14"/>
      <c r="F1553" s="4"/>
    </row>
    <row r="1554">
      <c r="A1554" s="52"/>
      <c r="B1554" s="55"/>
      <c r="C1554" s="29"/>
      <c r="D1554" s="29"/>
      <c r="E1554" s="14"/>
      <c r="F1554" s="4"/>
    </row>
    <row r="1555">
      <c r="A1555" s="52"/>
      <c r="B1555" s="55"/>
      <c r="C1555" s="29"/>
      <c r="D1555" s="29"/>
      <c r="E1555" s="14"/>
      <c r="F1555" s="4"/>
    </row>
    <row r="1556">
      <c r="A1556" s="52"/>
      <c r="B1556" s="55"/>
      <c r="C1556" s="29"/>
      <c r="D1556" s="29"/>
      <c r="E1556" s="14"/>
      <c r="F1556" s="4"/>
    </row>
    <row r="1557">
      <c r="A1557" s="52"/>
      <c r="B1557" s="55"/>
      <c r="C1557" s="29"/>
      <c r="D1557" s="29"/>
      <c r="E1557" s="14"/>
      <c r="F1557" s="4"/>
    </row>
    <row r="1558">
      <c r="A1558" s="52"/>
      <c r="B1558" s="55"/>
      <c r="C1558" s="29"/>
      <c r="D1558" s="29"/>
      <c r="E1558" s="14"/>
      <c r="F1558" s="4"/>
    </row>
    <row r="1559">
      <c r="A1559" s="52"/>
      <c r="B1559" s="55"/>
      <c r="C1559" s="29"/>
      <c r="D1559" s="29"/>
      <c r="E1559" s="14"/>
      <c r="F1559" s="4"/>
    </row>
    <row r="1560">
      <c r="A1560" s="52"/>
      <c r="B1560" s="55"/>
      <c r="C1560" s="29"/>
      <c r="D1560" s="29"/>
      <c r="E1560" s="14"/>
      <c r="F1560" s="4"/>
    </row>
    <row r="1561">
      <c r="A1561" s="52"/>
      <c r="B1561" s="55"/>
      <c r="C1561" s="29"/>
      <c r="D1561" s="29"/>
      <c r="E1561" s="14"/>
      <c r="F1561" s="4"/>
    </row>
    <row r="1562">
      <c r="A1562" s="52"/>
      <c r="B1562" s="55"/>
      <c r="C1562" s="29"/>
      <c r="D1562" s="29"/>
      <c r="E1562" s="14"/>
      <c r="F1562" s="4"/>
    </row>
    <row r="1563">
      <c r="A1563" s="52"/>
      <c r="B1563" s="55"/>
      <c r="C1563" s="29"/>
      <c r="D1563" s="29"/>
      <c r="E1563" s="14"/>
      <c r="F1563" s="4"/>
    </row>
    <row r="1564">
      <c r="A1564" s="52"/>
      <c r="B1564" s="55"/>
      <c r="C1564" s="29"/>
      <c r="D1564" s="29"/>
      <c r="E1564" s="14"/>
      <c r="F1564" s="4"/>
    </row>
    <row r="1565">
      <c r="A1565" s="52"/>
      <c r="B1565" s="55"/>
      <c r="C1565" s="29"/>
      <c r="D1565" s="29"/>
      <c r="E1565" s="14"/>
      <c r="F1565" s="4"/>
    </row>
    <row r="1566">
      <c r="A1566" s="52"/>
      <c r="B1566" s="55"/>
      <c r="C1566" s="29"/>
      <c r="D1566" s="29"/>
      <c r="E1566" s="14"/>
      <c r="F1566" s="4"/>
    </row>
    <row r="1567">
      <c r="A1567" s="52"/>
      <c r="B1567" s="55"/>
      <c r="C1567" s="29"/>
      <c r="D1567" s="29"/>
      <c r="E1567" s="14"/>
      <c r="F1567" s="4"/>
    </row>
    <row r="1568">
      <c r="A1568" s="52"/>
      <c r="B1568" s="55"/>
      <c r="C1568" s="29"/>
      <c r="D1568" s="29"/>
      <c r="E1568" s="14"/>
      <c r="F1568" s="4"/>
    </row>
    <row r="1569">
      <c r="A1569" s="52"/>
      <c r="B1569" s="55"/>
      <c r="C1569" s="29"/>
      <c r="D1569" s="29"/>
      <c r="E1569" s="14"/>
      <c r="F1569" s="4"/>
    </row>
    <row r="1570">
      <c r="A1570" s="52"/>
      <c r="B1570" s="55"/>
      <c r="C1570" s="29"/>
      <c r="D1570" s="29"/>
      <c r="E1570" s="14"/>
      <c r="F1570" s="4"/>
    </row>
    <row r="1571">
      <c r="A1571" s="52"/>
      <c r="B1571" s="55"/>
      <c r="C1571" s="29"/>
      <c r="D1571" s="29"/>
      <c r="E1571" s="14"/>
      <c r="F1571" s="4"/>
    </row>
    <row r="1572">
      <c r="A1572" s="52"/>
      <c r="B1572" s="55"/>
      <c r="C1572" s="29"/>
      <c r="D1572" s="29"/>
      <c r="E1572" s="14"/>
      <c r="F1572" s="4"/>
    </row>
    <row r="1573">
      <c r="A1573" s="52"/>
      <c r="B1573" s="55"/>
      <c r="C1573" s="29"/>
      <c r="D1573" s="29"/>
      <c r="E1573" s="14"/>
      <c r="F1573" s="4"/>
    </row>
    <row r="1574">
      <c r="A1574" s="52"/>
      <c r="B1574" s="55"/>
      <c r="C1574" s="29"/>
      <c r="D1574" s="29"/>
      <c r="E1574" s="14"/>
      <c r="F1574" s="4"/>
    </row>
    <row r="1575">
      <c r="A1575" s="52"/>
      <c r="B1575" s="55"/>
      <c r="C1575" s="29"/>
      <c r="D1575" s="29"/>
      <c r="E1575" s="14"/>
      <c r="F1575" s="4"/>
    </row>
    <row r="1576">
      <c r="A1576" s="52"/>
      <c r="B1576" s="55"/>
      <c r="C1576" s="29"/>
      <c r="D1576" s="29"/>
      <c r="E1576" s="14"/>
      <c r="F1576" s="4"/>
    </row>
    <row r="1577">
      <c r="A1577" s="52"/>
      <c r="B1577" s="55"/>
      <c r="C1577" s="29"/>
      <c r="D1577" s="29"/>
      <c r="E1577" s="14"/>
      <c r="F1577" s="4"/>
    </row>
    <row r="1578">
      <c r="A1578" s="52"/>
      <c r="B1578" s="55"/>
      <c r="C1578" s="29"/>
      <c r="D1578" s="29"/>
      <c r="E1578" s="14"/>
      <c r="F1578" s="4"/>
    </row>
    <row r="1579">
      <c r="A1579" s="52"/>
      <c r="B1579" s="55"/>
      <c r="C1579" s="29"/>
      <c r="D1579" s="29"/>
      <c r="E1579" s="14"/>
      <c r="F1579" s="4"/>
    </row>
    <row r="1580">
      <c r="A1580" s="52"/>
      <c r="B1580" s="55"/>
      <c r="C1580" s="29"/>
      <c r="D1580" s="29"/>
      <c r="E1580" s="14"/>
      <c r="F1580" s="4"/>
    </row>
    <row r="1581">
      <c r="A1581" s="52"/>
      <c r="B1581" s="55"/>
      <c r="C1581" s="29"/>
      <c r="D1581" s="29"/>
      <c r="E1581" s="14"/>
      <c r="F1581" s="4"/>
    </row>
    <row r="1582">
      <c r="A1582" s="52"/>
      <c r="B1582" s="55"/>
      <c r="C1582" s="29"/>
      <c r="D1582" s="29"/>
      <c r="E1582" s="14"/>
      <c r="F1582" s="4"/>
    </row>
    <row r="1583">
      <c r="A1583" s="52"/>
      <c r="B1583" s="55"/>
      <c r="C1583" s="29"/>
      <c r="D1583" s="29"/>
      <c r="E1583" s="14"/>
      <c r="F1583" s="4"/>
    </row>
    <row r="1584">
      <c r="A1584" s="52"/>
      <c r="B1584" s="55"/>
      <c r="C1584" s="29"/>
      <c r="D1584" s="29"/>
      <c r="E1584" s="14"/>
      <c r="F1584" s="4"/>
    </row>
    <row r="1585">
      <c r="A1585" s="52"/>
      <c r="B1585" s="55"/>
      <c r="C1585" s="29"/>
      <c r="D1585" s="29"/>
      <c r="E1585" s="14"/>
      <c r="F1585" s="4"/>
    </row>
    <row r="1586">
      <c r="A1586" s="52"/>
      <c r="B1586" s="55"/>
      <c r="C1586" s="29"/>
      <c r="D1586" s="29"/>
      <c r="E1586" s="14"/>
      <c r="F1586" s="4"/>
    </row>
    <row r="1587">
      <c r="A1587" s="52"/>
      <c r="B1587" s="55"/>
      <c r="C1587" s="29"/>
      <c r="D1587" s="29"/>
      <c r="E1587" s="14"/>
      <c r="F1587" s="4"/>
    </row>
    <row r="1588">
      <c r="A1588" s="52"/>
      <c r="B1588" s="55"/>
      <c r="C1588" s="29"/>
      <c r="D1588" s="29"/>
      <c r="E1588" s="14"/>
      <c r="F1588" s="4"/>
    </row>
    <row r="1589">
      <c r="A1589" s="52"/>
      <c r="B1589" s="55"/>
      <c r="C1589" s="29"/>
      <c r="D1589" s="29"/>
      <c r="E1589" s="14"/>
      <c r="F1589" s="4"/>
    </row>
    <row r="1590">
      <c r="A1590" s="52"/>
      <c r="B1590" s="55"/>
      <c r="C1590" s="29"/>
      <c r="D1590" s="29"/>
      <c r="E1590" s="14"/>
      <c r="F1590" s="4"/>
    </row>
    <row r="1591">
      <c r="A1591" s="52"/>
      <c r="B1591" s="55"/>
      <c r="C1591" s="29"/>
      <c r="D1591" s="29"/>
      <c r="E1591" s="14"/>
      <c r="F1591" s="4"/>
    </row>
    <row r="1592">
      <c r="A1592" s="52"/>
      <c r="B1592" s="55"/>
      <c r="C1592" s="29"/>
      <c r="D1592" s="29"/>
      <c r="E1592" s="14"/>
      <c r="F1592" s="4"/>
    </row>
    <row r="1593">
      <c r="A1593" s="52"/>
      <c r="B1593" s="55"/>
      <c r="C1593" s="29"/>
      <c r="D1593" s="29"/>
      <c r="E1593" s="14"/>
      <c r="F1593" s="4"/>
    </row>
    <row r="1594">
      <c r="A1594" s="52"/>
      <c r="B1594" s="55"/>
      <c r="C1594" s="29"/>
      <c r="D1594" s="29"/>
      <c r="E1594" s="14"/>
      <c r="F1594" s="4"/>
    </row>
    <row r="1595">
      <c r="A1595" s="52"/>
      <c r="B1595" s="55"/>
      <c r="C1595" s="29"/>
      <c r="D1595" s="29"/>
      <c r="E1595" s="14"/>
      <c r="F1595" s="4"/>
    </row>
    <row r="1596">
      <c r="A1596" s="52"/>
      <c r="B1596" s="55"/>
      <c r="C1596" s="29"/>
      <c r="D1596" s="29"/>
      <c r="E1596" s="14"/>
      <c r="F1596" s="4"/>
    </row>
    <row r="1597">
      <c r="A1597" s="52"/>
      <c r="B1597" s="55"/>
      <c r="C1597" s="29"/>
      <c r="D1597" s="29"/>
      <c r="E1597" s="14"/>
      <c r="F1597" s="4"/>
    </row>
    <row r="1598">
      <c r="A1598" s="52"/>
      <c r="B1598" s="55"/>
      <c r="C1598" s="29"/>
      <c r="D1598" s="29"/>
      <c r="E1598" s="14"/>
      <c r="F1598" s="4"/>
    </row>
    <row r="1599">
      <c r="A1599" s="52"/>
      <c r="B1599" s="55"/>
      <c r="C1599" s="29"/>
      <c r="D1599" s="29"/>
      <c r="E1599" s="14"/>
      <c r="F1599" s="4"/>
    </row>
    <row r="1600">
      <c r="A1600" s="52"/>
      <c r="B1600" s="55"/>
      <c r="C1600" s="29"/>
      <c r="D1600" s="29"/>
      <c r="E1600" s="14"/>
      <c r="F1600" s="4"/>
    </row>
    <row r="1601">
      <c r="A1601" s="52"/>
      <c r="B1601" s="55"/>
      <c r="C1601" s="29"/>
      <c r="D1601" s="29"/>
      <c r="E1601" s="14"/>
      <c r="F1601" s="4"/>
    </row>
    <row r="1602">
      <c r="A1602" s="52"/>
      <c r="B1602" s="55"/>
      <c r="C1602" s="29"/>
      <c r="D1602" s="29"/>
      <c r="E1602" s="14"/>
      <c r="F1602" s="4"/>
    </row>
    <row r="1603">
      <c r="A1603" s="52"/>
      <c r="B1603" s="55"/>
      <c r="C1603" s="29"/>
      <c r="D1603" s="29"/>
      <c r="E1603" s="14"/>
      <c r="F1603" s="4"/>
    </row>
    <row r="1604">
      <c r="A1604" s="52"/>
      <c r="B1604" s="55"/>
      <c r="C1604" s="29"/>
      <c r="D1604" s="29"/>
      <c r="E1604" s="14"/>
      <c r="F1604" s="4"/>
    </row>
    <row r="1605">
      <c r="A1605" s="52"/>
      <c r="B1605" s="55"/>
      <c r="C1605" s="29"/>
      <c r="D1605" s="29"/>
      <c r="E1605" s="14"/>
      <c r="F1605" s="4"/>
    </row>
    <row r="1606">
      <c r="A1606" s="52"/>
      <c r="B1606" s="55"/>
      <c r="C1606" s="29"/>
      <c r="D1606" s="29"/>
      <c r="E1606" s="14"/>
      <c r="F1606" s="4"/>
    </row>
    <row r="1607">
      <c r="A1607" s="52"/>
      <c r="B1607" s="55"/>
      <c r="C1607" s="29"/>
      <c r="D1607" s="29"/>
      <c r="E1607" s="14"/>
      <c r="F1607" s="4"/>
    </row>
    <row r="1608">
      <c r="A1608" s="52"/>
      <c r="B1608" s="55"/>
      <c r="C1608" s="29"/>
      <c r="D1608" s="29"/>
      <c r="E1608" s="14"/>
      <c r="F1608" s="4"/>
    </row>
    <row r="1609">
      <c r="A1609" s="52"/>
      <c r="B1609" s="55"/>
      <c r="C1609" s="29"/>
      <c r="D1609" s="29"/>
      <c r="E1609" s="14"/>
      <c r="F1609" s="4"/>
    </row>
    <row r="1610">
      <c r="A1610" s="52"/>
      <c r="B1610" s="55"/>
      <c r="C1610" s="29"/>
      <c r="D1610" s="29"/>
      <c r="E1610" s="14"/>
      <c r="F1610" s="4"/>
    </row>
    <row r="1611">
      <c r="A1611" s="52"/>
      <c r="B1611" s="55"/>
      <c r="C1611" s="29"/>
      <c r="D1611" s="29"/>
      <c r="E1611" s="14"/>
      <c r="F1611" s="4"/>
    </row>
    <row r="1612">
      <c r="A1612" s="52"/>
      <c r="B1612" s="55"/>
      <c r="C1612" s="29"/>
      <c r="D1612" s="29"/>
      <c r="E1612" s="14"/>
      <c r="F1612" s="4"/>
    </row>
    <row r="1613">
      <c r="A1613" s="52"/>
      <c r="B1613" s="55"/>
      <c r="C1613" s="29"/>
      <c r="D1613" s="29"/>
      <c r="E1613" s="14"/>
      <c r="F1613" s="4"/>
    </row>
    <row r="1614">
      <c r="A1614" s="52"/>
      <c r="B1614" s="55"/>
      <c r="C1614" s="29"/>
      <c r="D1614" s="29"/>
      <c r="E1614" s="14"/>
      <c r="F1614" s="4"/>
    </row>
    <row r="1615">
      <c r="A1615" s="52"/>
      <c r="B1615" s="55"/>
      <c r="C1615" s="29"/>
      <c r="D1615" s="29"/>
      <c r="E1615" s="14"/>
      <c r="F1615" s="4"/>
    </row>
    <row r="1616">
      <c r="A1616" s="52"/>
      <c r="B1616" s="55"/>
      <c r="C1616" s="29"/>
      <c r="D1616" s="29"/>
      <c r="E1616" s="14"/>
      <c r="F1616" s="4"/>
    </row>
    <row r="1617">
      <c r="A1617" s="52"/>
      <c r="B1617" s="55"/>
      <c r="C1617" s="29"/>
      <c r="D1617" s="29"/>
      <c r="E1617" s="14"/>
      <c r="F1617" s="4"/>
    </row>
    <row r="1618">
      <c r="A1618" s="52"/>
      <c r="B1618" s="55"/>
      <c r="C1618" s="29"/>
      <c r="D1618" s="29"/>
      <c r="E1618" s="14"/>
      <c r="F1618" s="4"/>
    </row>
    <row r="1619">
      <c r="A1619" s="52"/>
      <c r="B1619" s="55"/>
      <c r="C1619" s="29"/>
      <c r="D1619" s="29"/>
      <c r="E1619" s="14"/>
      <c r="F1619" s="4"/>
    </row>
    <row r="1620">
      <c r="A1620" s="52"/>
      <c r="B1620" s="55"/>
      <c r="C1620" s="29"/>
      <c r="D1620" s="29"/>
      <c r="E1620" s="14"/>
      <c r="F1620" s="4"/>
    </row>
    <row r="1621">
      <c r="A1621" s="52"/>
      <c r="B1621" s="55"/>
      <c r="C1621" s="29"/>
      <c r="D1621" s="29"/>
      <c r="E1621" s="14"/>
      <c r="F1621" s="4"/>
    </row>
    <row r="1622">
      <c r="A1622" s="52"/>
      <c r="B1622" s="55"/>
      <c r="C1622" s="29"/>
      <c r="D1622" s="29"/>
      <c r="E1622" s="14"/>
      <c r="F1622" s="4"/>
    </row>
    <row r="1623">
      <c r="A1623" s="52"/>
      <c r="B1623" s="55"/>
      <c r="C1623" s="29"/>
      <c r="D1623" s="29"/>
      <c r="E1623" s="14"/>
      <c r="F1623" s="4"/>
    </row>
    <row r="1624">
      <c r="A1624" s="52"/>
      <c r="B1624" s="55"/>
      <c r="C1624" s="29"/>
      <c r="D1624" s="29"/>
      <c r="E1624" s="14"/>
      <c r="F1624" s="4"/>
    </row>
    <row r="1625">
      <c r="A1625" s="52"/>
      <c r="B1625" s="55"/>
      <c r="C1625" s="29"/>
      <c r="D1625" s="29"/>
      <c r="E1625" s="14"/>
      <c r="F1625" s="4"/>
    </row>
    <row r="1626">
      <c r="A1626" s="52"/>
      <c r="B1626" s="55"/>
      <c r="C1626" s="29"/>
      <c r="D1626" s="29"/>
      <c r="E1626" s="14"/>
      <c r="F1626" s="4"/>
    </row>
    <row r="1627">
      <c r="A1627" s="52"/>
      <c r="B1627" s="55"/>
      <c r="C1627" s="29"/>
      <c r="D1627" s="29"/>
      <c r="E1627" s="14"/>
      <c r="F1627" s="4"/>
    </row>
    <row r="1628">
      <c r="A1628" s="52"/>
      <c r="B1628" s="55"/>
      <c r="C1628" s="29"/>
      <c r="D1628" s="29"/>
      <c r="E1628" s="14"/>
      <c r="F1628" s="4"/>
    </row>
    <row r="1629">
      <c r="A1629" s="52"/>
      <c r="B1629" s="55"/>
      <c r="C1629" s="29"/>
      <c r="D1629" s="29"/>
      <c r="E1629" s="14"/>
      <c r="F1629" s="4"/>
    </row>
    <row r="1630">
      <c r="A1630" s="52"/>
      <c r="B1630" s="55"/>
      <c r="C1630" s="29"/>
      <c r="D1630" s="29"/>
      <c r="E1630" s="14"/>
      <c r="F1630" s="4"/>
    </row>
    <row r="1631">
      <c r="A1631" s="52"/>
      <c r="B1631" s="55"/>
      <c r="C1631" s="29"/>
      <c r="D1631" s="29"/>
      <c r="E1631" s="14"/>
      <c r="F1631" s="4"/>
    </row>
    <row r="1632">
      <c r="A1632" s="52"/>
      <c r="B1632" s="55"/>
      <c r="C1632" s="29"/>
      <c r="D1632" s="29"/>
      <c r="E1632" s="14"/>
      <c r="F1632" s="4"/>
    </row>
    <row r="1633">
      <c r="A1633" s="52"/>
      <c r="B1633" s="55"/>
      <c r="C1633" s="29"/>
      <c r="D1633" s="29"/>
      <c r="E1633" s="14"/>
      <c r="F1633" s="4"/>
    </row>
    <row r="1634">
      <c r="A1634" s="52"/>
      <c r="B1634" s="55"/>
      <c r="C1634" s="29"/>
      <c r="D1634" s="29"/>
      <c r="E1634" s="14"/>
      <c r="F1634" s="4"/>
    </row>
    <row r="1635">
      <c r="A1635" s="52"/>
      <c r="B1635" s="55"/>
      <c r="C1635" s="29"/>
      <c r="D1635" s="29"/>
      <c r="E1635" s="14"/>
      <c r="F1635" s="4"/>
    </row>
    <row r="1636">
      <c r="A1636" s="52"/>
      <c r="B1636" s="55"/>
      <c r="C1636" s="29"/>
      <c r="D1636" s="29"/>
      <c r="E1636" s="14"/>
      <c r="F1636" s="4"/>
    </row>
    <row r="1637">
      <c r="A1637" s="52"/>
      <c r="B1637" s="55"/>
      <c r="C1637" s="29"/>
      <c r="D1637" s="29"/>
      <c r="E1637" s="14"/>
      <c r="F1637" s="4"/>
    </row>
    <row r="1638">
      <c r="A1638" s="52"/>
      <c r="B1638" s="55"/>
      <c r="C1638" s="29"/>
      <c r="D1638" s="29"/>
      <c r="E1638" s="14"/>
      <c r="F1638" s="4"/>
    </row>
    <row r="1639">
      <c r="A1639" s="52"/>
      <c r="B1639" s="55"/>
      <c r="C1639" s="29"/>
      <c r="D1639" s="29"/>
      <c r="E1639" s="14"/>
      <c r="F1639" s="4"/>
    </row>
    <row r="1640">
      <c r="A1640" s="52"/>
      <c r="B1640" s="55"/>
      <c r="C1640" s="29"/>
      <c r="D1640" s="29"/>
      <c r="E1640" s="14"/>
      <c r="F1640" s="4"/>
    </row>
    <row r="1641">
      <c r="A1641" s="52"/>
      <c r="B1641" s="55"/>
      <c r="C1641" s="29"/>
      <c r="D1641" s="29"/>
      <c r="E1641" s="14"/>
      <c r="F1641" s="4"/>
    </row>
    <row r="1642">
      <c r="A1642" s="52"/>
      <c r="B1642" s="55"/>
      <c r="C1642" s="29"/>
      <c r="D1642" s="29"/>
      <c r="E1642" s="14"/>
      <c r="F1642" s="4"/>
    </row>
    <row r="1643">
      <c r="A1643" s="52"/>
      <c r="B1643" s="55"/>
      <c r="C1643" s="29"/>
      <c r="D1643" s="29"/>
      <c r="E1643" s="14"/>
      <c r="F1643" s="4"/>
    </row>
    <row r="1644">
      <c r="A1644" s="52"/>
      <c r="B1644" s="55"/>
      <c r="C1644" s="29"/>
      <c r="D1644" s="29"/>
      <c r="E1644" s="14"/>
      <c r="F1644" s="4"/>
    </row>
    <row r="1645">
      <c r="A1645" s="52"/>
      <c r="B1645" s="55"/>
      <c r="C1645" s="29"/>
      <c r="D1645" s="29"/>
      <c r="E1645" s="14"/>
      <c r="F1645" s="4"/>
    </row>
    <row r="1646">
      <c r="A1646" s="52"/>
      <c r="B1646" s="55"/>
      <c r="C1646" s="29"/>
      <c r="D1646" s="29"/>
      <c r="E1646" s="14"/>
      <c r="F1646" s="4"/>
    </row>
    <row r="1647">
      <c r="A1647" s="52"/>
      <c r="B1647" s="55"/>
      <c r="C1647" s="29"/>
      <c r="D1647" s="29"/>
      <c r="E1647" s="14"/>
      <c r="F1647" s="4"/>
    </row>
    <row r="1648">
      <c r="A1648" s="52"/>
      <c r="B1648" s="55"/>
      <c r="C1648" s="29"/>
      <c r="D1648" s="29"/>
      <c r="E1648" s="14"/>
      <c r="F1648" s="4"/>
    </row>
    <row r="1649">
      <c r="A1649" s="52"/>
      <c r="B1649" s="55"/>
      <c r="C1649" s="29"/>
      <c r="D1649" s="29"/>
      <c r="E1649" s="14"/>
      <c r="F1649" s="4"/>
    </row>
    <row r="1650">
      <c r="A1650" s="52"/>
      <c r="B1650" s="55"/>
      <c r="C1650" s="29"/>
      <c r="D1650" s="29"/>
      <c r="E1650" s="14"/>
      <c r="F1650" s="4"/>
    </row>
    <row r="1651">
      <c r="A1651" s="52"/>
      <c r="B1651" s="55"/>
      <c r="C1651" s="29"/>
      <c r="D1651" s="29"/>
      <c r="E1651" s="14"/>
      <c r="F1651" s="4"/>
    </row>
    <row r="1652">
      <c r="A1652" s="52"/>
      <c r="B1652" s="55"/>
      <c r="C1652" s="29"/>
      <c r="D1652" s="29"/>
      <c r="E1652" s="14"/>
      <c r="F1652" s="4"/>
    </row>
    <row r="1653">
      <c r="A1653" s="52"/>
      <c r="B1653" s="55"/>
      <c r="C1653" s="29"/>
      <c r="D1653" s="29"/>
      <c r="E1653" s="14"/>
      <c r="F1653" s="4"/>
    </row>
    <row r="1654">
      <c r="A1654" s="52"/>
      <c r="B1654" s="55"/>
      <c r="C1654" s="29"/>
      <c r="D1654" s="29"/>
      <c r="E1654" s="14"/>
      <c r="F1654" s="4"/>
    </row>
    <row r="1655">
      <c r="A1655" s="52"/>
      <c r="B1655" s="55"/>
      <c r="C1655" s="29"/>
      <c r="D1655" s="29"/>
      <c r="E1655" s="14"/>
      <c r="F1655" s="4"/>
    </row>
    <row r="1656">
      <c r="A1656" s="52"/>
      <c r="B1656" s="55"/>
      <c r="C1656" s="29"/>
      <c r="D1656" s="29"/>
      <c r="E1656" s="14"/>
      <c r="F1656" s="4"/>
    </row>
    <row r="1657">
      <c r="A1657" s="52"/>
      <c r="B1657" s="55"/>
      <c r="C1657" s="29"/>
      <c r="D1657" s="29"/>
      <c r="E1657" s="14"/>
      <c r="F1657" s="4"/>
    </row>
    <row r="1658">
      <c r="A1658" s="52"/>
      <c r="B1658" s="55"/>
      <c r="C1658" s="29"/>
      <c r="D1658" s="29"/>
      <c r="E1658" s="14"/>
      <c r="F1658" s="4"/>
    </row>
    <row r="1659">
      <c r="A1659" s="52"/>
      <c r="B1659" s="55"/>
      <c r="C1659" s="29"/>
      <c r="D1659" s="29"/>
      <c r="E1659" s="14"/>
      <c r="F1659" s="4"/>
    </row>
    <row r="1660">
      <c r="A1660" s="52"/>
      <c r="B1660" s="55"/>
      <c r="C1660" s="29"/>
      <c r="D1660" s="29"/>
      <c r="E1660" s="14"/>
      <c r="F1660" s="4"/>
    </row>
    <row r="1661">
      <c r="A1661" s="52"/>
      <c r="B1661" s="55"/>
      <c r="C1661" s="29"/>
      <c r="D1661" s="29"/>
      <c r="E1661" s="14"/>
      <c r="F1661" s="4"/>
    </row>
    <row r="1662">
      <c r="A1662" s="52"/>
      <c r="B1662" s="55"/>
      <c r="C1662" s="29"/>
      <c r="D1662" s="29"/>
      <c r="E1662" s="14"/>
      <c r="F1662" s="4"/>
    </row>
    <row r="1663">
      <c r="A1663" s="52"/>
      <c r="B1663" s="55"/>
      <c r="C1663" s="29"/>
      <c r="D1663" s="29"/>
      <c r="E1663" s="14"/>
      <c r="F1663" s="4"/>
    </row>
    <row r="1664">
      <c r="A1664" s="52"/>
      <c r="B1664" s="55"/>
      <c r="C1664" s="29"/>
      <c r="D1664" s="29"/>
      <c r="E1664" s="14"/>
      <c r="F1664" s="4"/>
    </row>
    <row r="1665">
      <c r="A1665" s="52"/>
      <c r="B1665" s="55"/>
      <c r="C1665" s="29"/>
      <c r="D1665" s="29"/>
      <c r="E1665" s="14"/>
      <c r="F1665" s="4"/>
    </row>
    <row r="1666">
      <c r="A1666" s="52"/>
      <c r="B1666" s="55"/>
      <c r="C1666" s="29"/>
      <c r="D1666" s="29"/>
      <c r="E1666" s="14"/>
      <c r="F1666" s="4"/>
    </row>
    <row r="1667">
      <c r="A1667" s="52"/>
      <c r="B1667" s="55"/>
      <c r="C1667" s="29"/>
      <c r="D1667" s="29"/>
      <c r="E1667" s="14"/>
      <c r="F1667" s="4"/>
    </row>
    <row r="1668">
      <c r="A1668" s="52"/>
      <c r="B1668" s="55"/>
      <c r="C1668" s="29"/>
      <c r="D1668" s="29"/>
      <c r="E1668" s="14"/>
      <c r="F1668" s="4"/>
    </row>
    <row r="1669">
      <c r="A1669" s="52"/>
      <c r="B1669" s="55"/>
      <c r="C1669" s="29"/>
      <c r="D1669" s="29"/>
      <c r="E1669" s="14"/>
      <c r="F1669" s="4"/>
    </row>
    <row r="1670">
      <c r="A1670" s="52"/>
      <c r="B1670" s="55"/>
      <c r="C1670" s="29"/>
      <c r="D1670" s="29"/>
      <c r="E1670" s="14"/>
      <c r="F1670" s="4"/>
    </row>
    <row r="1671">
      <c r="A1671" s="52"/>
      <c r="B1671" s="55"/>
      <c r="C1671" s="29"/>
      <c r="D1671" s="29"/>
      <c r="E1671" s="14"/>
      <c r="F1671" s="4"/>
    </row>
    <row r="1672">
      <c r="A1672" s="52"/>
      <c r="B1672" s="55"/>
      <c r="C1672" s="29"/>
      <c r="D1672" s="29"/>
      <c r="E1672" s="14"/>
      <c r="F1672" s="4"/>
    </row>
    <row r="1673">
      <c r="A1673" s="52"/>
      <c r="B1673" s="55"/>
      <c r="C1673" s="29"/>
      <c r="D1673" s="29"/>
      <c r="E1673" s="14"/>
      <c r="F1673" s="4"/>
    </row>
    <row r="1674">
      <c r="A1674" s="52"/>
      <c r="B1674" s="55"/>
      <c r="C1674" s="29"/>
      <c r="D1674" s="29"/>
      <c r="E1674" s="14"/>
      <c r="F1674" s="4"/>
    </row>
    <row r="1675">
      <c r="A1675" s="52"/>
      <c r="B1675" s="55"/>
      <c r="C1675" s="29"/>
      <c r="D1675" s="29"/>
      <c r="E1675" s="14"/>
      <c r="F1675" s="4"/>
    </row>
    <row r="1676">
      <c r="A1676" s="52"/>
      <c r="B1676" s="55"/>
      <c r="C1676" s="29"/>
      <c r="D1676" s="29"/>
      <c r="E1676" s="14"/>
      <c r="F1676" s="4"/>
    </row>
    <row r="1677">
      <c r="A1677" s="52"/>
      <c r="B1677" s="55"/>
      <c r="C1677" s="29"/>
      <c r="D1677" s="29"/>
      <c r="E1677" s="14"/>
      <c r="F1677" s="4"/>
    </row>
    <row r="1678">
      <c r="A1678" s="52"/>
      <c r="B1678" s="55"/>
      <c r="C1678" s="29"/>
      <c r="D1678" s="29"/>
      <c r="E1678" s="14"/>
      <c r="F1678" s="4"/>
    </row>
    <row r="1679">
      <c r="A1679" s="52"/>
      <c r="B1679" s="55"/>
      <c r="C1679" s="29"/>
      <c r="D1679" s="29"/>
      <c r="E1679" s="14"/>
      <c r="F1679" s="4"/>
    </row>
    <row r="1680">
      <c r="A1680" s="52"/>
      <c r="B1680" s="55"/>
      <c r="C1680" s="29"/>
      <c r="D1680" s="29"/>
      <c r="E1680" s="14"/>
      <c r="F1680" s="4"/>
    </row>
    <row r="1681">
      <c r="A1681" s="52"/>
      <c r="B1681" s="55"/>
      <c r="C1681" s="29"/>
      <c r="D1681" s="29"/>
      <c r="E1681" s="14"/>
      <c r="F1681" s="4"/>
    </row>
    <row r="1682">
      <c r="A1682" s="52"/>
      <c r="B1682" s="55"/>
      <c r="C1682" s="29"/>
      <c r="D1682" s="29"/>
      <c r="E1682" s="14"/>
      <c r="F1682" s="4"/>
    </row>
    <row r="1683">
      <c r="A1683" s="52"/>
      <c r="B1683" s="55"/>
      <c r="C1683" s="29"/>
      <c r="D1683" s="29"/>
      <c r="E1683" s="14"/>
      <c r="F1683" s="4"/>
    </row>
    <row r="1684">
      <c r="A1684" s="52"/>
      <c r="B1684" s="55"/>
      <c r="C1684" s="29"/>
      <c r="D1684" s="29"/>
      <c r="E1684" s="14"/>
      <c r="F1684" s="4"/>
    </row>
    <row r="1685">
      <c r="A1685" s="52"/>
      <c r="B1685" s="55"/>
      <c r="C1685" s="29"/>
      <c r="D1685" s="29"/>
      <c r="E1685" s="14"/>
      <c r="F1685" s="4"/>
    </row>
    <row r="1686">
      <c r="A1686" s="52"/>
      <c r="B1686" s="55"/>
      <c r="C1686" s="29"/>
      <c r="D1686" s="29"/>
      <c r="E1686" s="14"/>
      <c r="F1686" s="4"/>
    </row>
    <row r="1687">
      <c r="A1687" s="52"/>
      <c r="B1687" s="55"/>
      <c r="C1687" s="29"/>
      <c r="D1687" s="29"/>
      <c r="E1687" s="14"/>
      <c r="F1687" s="4"/>
    </row>
    <row r="1688">
      <c r="A1688" s="52"/>
      <c r="B1688" s="55"/>
      <c r="C1688" s="29"/>
      <c r="D1688" s="29"/>
      <c r="E1688" s="14"/>
      <c r="F1688" s="4"/>
    </row>
    <row r="1689">
      <c r="A1689" s="52"/>
      <c r="B1689" s="55"/>
      <c r="C1689" s="29"/>
      <c r="D1689" s="29"/>
      <c r="E1689" s="14"/>
      <c r="F1689" s="4"/>
    </row>
    <row r="1690">
      <c r="A1690" s="52"/>
      <c r="B1690" s="55"/>
      <c r="C1690" s="29"/>
      <c r="D1690" s="29"/>
      <c r="E1690" s="14"/>
      <c r="F1690" s="4"/>
    </row>
    <row r="1691">
      <c r="A1691" s="52"/>
      <c r="B1691" s="55"/>
      <c r="C1691" s="29"/>
      <c r="D1691" s="29"/>
      <c r="E1691" s="14"/>
      <c r="F1691" s="4"/>
    </row>
    <row r="1692">
      <c r="A1692" s="52"/>
      <c r="B1692" s="55"/>
      <c r="C1692" s="29"/>
      <c r="D1692" s="29"/>
      <c r="E1692" s="14"/>
      <c r="F1692" s="4"/>
    </row>
    <row r="1693">
      <c r="A1693" s="52"/>
      <c r="B1693" s="55"/>
      <c r="C1693" s="29"/>
      <c r="D1693" s="29"/>
      <c r="E1693" s="14"/>
      <c r="F1693" s="4"/>
    </row>
    <row r="1694">
      <c r="A1694" s="52"/>
      <c r="B1694" s="55"/>
      <c r="C1694" s="29"/>
      <c r="D1694" s="29"/>
      <c r="E1694" s="14"/>
      <c r="F1694" s="4"/>
    </row>
    <row r="1695">
      <c r="A1695" s="52"/>
      <c r="B1695" s="55"/>
      <c r="C1695" s="29"/>
      <c r="D1695" s="29"/>
      <c r="E1695" s="14"/>
      <c r="F1695" s="4"/>
    </row>
    <row r="1696">
      <c r="A1696" s="52"/>
      <c r="B1696" s="55"/>
      <c r="C1696" s="29"/>
      <c r="D1696" s="29"/>
      <c r="E1696" s="14"/>
      <c r="F1696" s="4"/>
    </row>
    <row r="1697">
      <c r="A1697" s="52"/>
      <c r="B1697" s="55"/>
      <c r="C1697" s="29"/>
      <c r="D1697" s="29"/>
      <c r="E1697" s="14"/>
      <c r="F1697" s="4"/>
    </row>
    <row r="1698">
      <c r="A1698" s="52"/>
      <c r="B1698" s="55"/>
      <c r="C1698" s="29"/>
      <c r="D1698" s="29"/>
      <c r="E1698" s="14"/>
      <c r="F1698" s="4"/>
    </row>
    <row r="1699">
      <c r="A1699" s="52"/>
      <c r="B1699" s="55"/>
      <c r="C1699" s="29"/>
      <c r="D1699" s="29"/>
      <c r="E1699" s="14"/>
      <c r="F1699" s="4"/>
    </row>
    <row r="1700">
      <c r="A1700" s="52"/>
      <c r="B1700" s="55"/>
      <c r="C1700" s="29"/>
      <c r="D1700" s="29"/>
      <c r="E1700" s="14"/>
      <c r="F1700" s="4"/>
    </row>
    <row r="1701">
      <c r="A1701" s="52"/>
      <c r="B1701" s="55"/>
      <c r="C1701" s="29"/>
      <c r="D1701" s="29"/>
      <c r="E1701" s="14"/>
      <c r="F1701" s="4"/>
    </row>
    <row r="1702">
      <c r="A1702" s="52"/>
      <c r="B1702" s="55"/>
      <c r="C1702" s="29"/>
      <c r="D1702" s="29"/>
      <c r="E1702" s="14"/>
      <c r="F1702" s="4"/>
    </row>
    <row r="1703">
      <c r="A1703" s="52"/>
      <c r="B1703" s="55"/>
      <c r="C1703" s="29"/>
      <c r="D1703" s="29"/>
      <c r="E1703" s="14"/>
      <c r="F1703" s="4"/>
    </row>
    <row r="1704">
      <c r="A1704" s="52"/>
      <c r="B1704" s="55"/>
      <c r="C1704" s="29"/>
      <c r="D1704" s="29"/>
      <c r="E1704" s="14"/>
      <c r="F1704" s="4"/>
    </row>
    <row r="1705">
      <c r="A1705" s="52"/>
      <c r="B1705" s="55"/>
      <c r="C1705" s="29"/>
      <c r="D1705" s="29"/>
      <c r="E1705" s="14"/>
      <c r="F1705" s="4"/>
    </row>
    <row r="1706">
      <c r="A1706" s="52"/>
      <c r="B1706" s="55"/>
      <c r="C1706" s="29"/>
      <c r="D1706" s="29"/>
      <c r="E1706" s="14"/>
      <c r="F1706" s="4"/>
    </row>
    <row r="1707">
      <c r="A1707" s="52"/>
      <c r="B1707" s="55"/>
      <c r="C1707" s="29"/>
      <c r="D1707" s="29"/>
      <c r="E1707" s="14"/>
      <c r="F1707" s="4"/>
    </row>
    <row r="1708">
      <c r="A1708" s="52"/>
      <c r="B1708" s="55"/>
      <c r="C1708" s="29"/>
      <c r="D1708" s="29"/>
      <c r="E1708" s="14"/>
      <c r="F1708" s="4"/>
    </row>
    <row r="1709">
      <c r="A1709" s="52"/>
      <c r="B1709" s="55"/>
      <c r="C1709" s="29"/>
      <c r="D1709" s="29"/>
      <c r="E1709" s="14"/>
      <c r="F1709" s="4"/>
    </row>
    <row r="1710">
      <c r="A1710" s="52"/>
      <c r="B1710" s="55"/>
      <c r="C1710" s="29"/>
      <c r="D1710" s="29"/>
      <c r="E1710" s="14"/>
      <c r="F1710" s="4"/>
    </row>
    <row r="1711">
      <c r="A1711" s="52"/>
      <c r="B1711" s="55"/>
      <c r="C1711" s="29"/>
      <c r="D1711" s="29"/>
      <c r="E1711" s="14"/>
      <c r="F1711" s="4"/>
    </row>
    <row r="1712">
      <c r="A1712" s="52"/>
      <c r="B1712" s="55"/>
      <c r="C1712" s="29"/>
      <c r="D1712" s="29"/>
      <c r="E1712" s="14"/>
      <c r="F1712" s="4"/>
    </row>
    <row r="1713">
      <c r="A1713" s="52"/>
      <c r="B1713" s="55"/>
      <c r="C1713" s="29"/>
      <c r="D1713" s="29"/>
      <c r="E1713" s="14"/>
      <c r="F1713" s="4"/>
    </row>
    <row r="1714">
      <c r="A1714" s="52"/>
      <c r="B1714" s="55"/>
      <c r="C1714" s="29"/>
      <c r="D1714" s="29"/>
      <c r="E1714" s="14"/>
      <c r="F1714" s="4"/>
    </row>
    <row r="1715">
      <c r="A1715" s="52"/>
      <c r="B1715" s="55"/>
      <c r="C1715" s="29"/>
      <c r="D1715" s="29"/>
      <c r="E1715" s="14"/>
      <c r="F1715" s="4"/>
    </row>
    <row r="1716">
      <c r="A1716" s="52"/>
      <c r="B1716" s="55"/>
      <c r="C1716" s="29"/>
      <c r="D1716" s="29"/>
      <c r="E1716" s="14"/>
      <c r="F1716" s="4"/>
    </row>
    <row r="1717">
      <c r="A1717" s="52"/>
      <c r="B1717" s="55"/>
      <c r="C1717" s="29"/>
      <c r="D1717" s="29"/>
      <c r="E1717" s="14"/>
      <c r="F1717" s="4"/>
    </row>
    <row r="1718">
      <c r="A1718" s="52"/>
      <c r="B1718" s="55"/>
      <c r="C1718" s="29"/>
      <c r="D1718" s="29"/>
      <c r="E1718" s="14"/>
      <c r="F1718" s="4"/>
    </row>
    <row r="1719">
      <c r="A1719" s="52"/>
      <c r="B1719" s="55"/>
      <c r="C1719" s="29"/>
      <c r="D1719" s="29"/>
      <c r="E1719" s="14"/>
      <c r="F1719" s="4"/>
    </row>
    <row r="1720">
      <c r="A1720" s="52"/>
      <c r="B1720" s="55"/>
      <c r="C1720" s="29"/>
      <c r="D1720" s="29"/>
      <c r="E1720" s="14"/>
      <c r="F1720" s="4"/>
    </row>
    <row r="1721">
      <c r="A1721" s="52"/>
      <c r="B1721" s="55"/>
      <c r="C1721" s="29"/>
      <c r="D1721" s="29"/>
      <c r="E1721" s="14"/>
      <c r="F1721" s="4"/>
    </row>
    <row r="1722">
      <c r="A1722" s="52"/>
      <c r="B1722" s="55"/>
      <c r="C1722" s="29"/>
      <c r="D1722" s="29"/>
      <c r="E1722" s="14"/>
      <c r="F1722" s="4"/>
    </row>
    <row r="1723">
      <c r="A1723" s="52"/>
      <c r="B1723" s="55"/>
      <c r="C1723" s="29"/>
      <c r="D1723" s="29"/>
      <c r="E1723" s="14"/>
      <c r="F1723" s="4"/>
    </row>
    <row r="1724">
      <c r="A1724" s="52"/>
      <c r="B1724" s="55"/>
      <c r="C1724" s="29"/>
      <c r="D1724" s="29"/>
      <c r="E1724" s="14"/>
      <c r="F1724" s="4"/>
    </row>
    <row r="1725">
      <c r="A1725" s="52"/>
      <c r="B1725" s="55"/>
      <c r="C1725" s="29"/>
      <c r="D1725" s="29"/>
      <c r="E1725" s="14"/>
      <c r="F1725" s="4"/>
    </row>
    <row r="1726">
      <c r="A1726" s="52"/>
      <c r="B1726" s="55"/>
      <c r="C1726" s="29"/>
      <c r="D1726" s="29"/>
      <c r="E1726" s="14"/>
      <c r="F1726" s="4"/>
    </row>
    <row r="1727">
      <c r="A1727" s="52"/>
      <c r="B1727" s="55"/>
      <c r="C1727" s="29"/>
      <c r="D1727" s="29"/>
      <c r="E1727" s="14"/>
      <c r="F1727" s="4"/>
    </row>
    <row r="1728">
      <c r="A1728" s="52"/>
      <c r="B1728" s="55"/>
      <c r="C1728" s="29"/>
      <c r="D1728" s="29"/>
      <c r="E1728" s="14"/>
      <c r="F1728" s="4"/>
    </row>
    <row r="1729">
      <c r="A1729" s="52"/>
      <c r="B1729" s="55"/>
      <c r="C1729" s="29"/>
      <c r="D1729" s="29"/>
      <c r="E1729" s="14"/>
      <c r="F1729" s="4"/>
    </row>
    <row r="1730">
      <c r="A1730" s="52"/>
      <c r="B1730" s="55"/>
      <c r="C1730" s="29"/>
      <c r="D1730" s="29"/>
      <c r="E1730" s="14"/>
      <c r="F1730" s="4"/>
    </row>
    <row r="1731">
      <c r="A1731" s="52"/>
      <c r="B1731" s="55"/>
      <c r="C1731" s="29"/>
      <c r="D1731" s="29"/>
      <c r="E1731" s="14"/>
      <c r="F1731" s="4"/>
    </row>
    <row r="1732">
      <c r="A1732" s="52"/>
      <c r="B1732" s="55"/>
      <c r="C1732" s="29"/>
      <c r="D1732" s="29"/>
      <c r="E1732" s="14"/>
      <c r="F1732" s="4"/>
    </row>
    <row r="1733">
      <c r="A1733" s="52"/>
      <c r="B1733" s="55"/>
      <c r="C1733" s="29"/>
      <c r="D1733" s="29"/>
      <c r="E1733" s="14"/>
      <c r="F1733" s="4"/>
    </row>
    <row r="1734">
      <c r="A1734" s="52"/>
      <c r="B1734" s="55"/>
      <c r="C1734" s="29"/>
      <c r="D1734" s="29"/>
      <c r="E1734" s="14"/>
      <c r="F1734" s="4"/>
    </row>
    <row r="1735">
      <c r="A1735" s="52"/>
      <c r="B1735" s="55"/>
      <c r="C1735" s="29"/>
      <c r="D1735" s="29"/>
      <c r="E1735" s="14"/>
      <c r="F1735" s="4"/>
    </row>
    <row r="1736">
      <c r="A1736" s="52"/>
      <c r="B1736" s="55"/>
      <c r="C1736" s="29"/>
      <c r="D1736" s="29"/>
      <c r="E1736" s="14"/>
      <c r="F1736" s="4"/>
    </row>
    <row r="1737">
      <c r="A1737" s="52"/>
      <c r="B1737" s="55"/>
      <c r="C1737" s="29"/>
      <c r="D1737" s="29"/>
      <c r="E1737" s="14"/>
      <c r="F1737" s="4"/>
    </row>
    <row r="1738">
      <c r="A1738" s="52"/>
      <c r="B1738" s="55"/>
      <c r="C1738" s="29"/>
      <c r="D1738" s="29"/>
      <c r="E1738" s="14"/>
      <c r="F1738" s="4"/>
    </row>
    <row r="1739">
      <c r="A1739" s="52"/>
      <c r="B1739" s="55"/>
      <c r="C1739" s="29"/>
      <c r="D1739" s="29"/>
      <c r="E1739" s="14"/>
      <c r="F1739" s="4"/>
    </row>
    <row r="1740">
      <c r="A1740" s="52"/>
      <c r="B1740" s="55"/>
      <c r="C1740" s="29"/>
      <c r="D1740" s="29"/>
      <c r="E1740" s="14"/>
      <c r="F1740" s="4"/>
    </row>
    <row r="1741">
      <c r="A1741" s="52"/>
      <c r="B1741" s="55"/>
      <c r="C1741" s="29"/>
      <c r="D1741" s="29"/>
      <c r="E1741" s="14"/>
      <c r="F1741" s="4"/>
    </row>
    <row r="1742">
      <c r="A1742" s="52"/>
      <c r="B1742" s="55"/>
      <c r="C1742" s="29"/>
      <c r="D1742" s="29"/>
      <c r="E1742" s="14"/>
      <c r="F1742" s="4"/>
    </row>
    <row r="1743">
      <c r="A1743" s="52"/>
      <c r="B1743" s="55"/>
      <c r="C1743" s="29"/>
      <c r="D1743" s="29"/>
      <c r="E1743" s="14"/>
      <c r="F1743" s="4"/>
    </row>
    <row r="1744">
      <c r="A1744" s="52"/>
      <c r="B1744" s="55"/>
      <c r="C1744" s="29"/>
      <c r="D1744" s="29"/>
      <c r="E1744" s="14"/>
      <c r="F1744" s="4"/>
    </row>
    <row r="1745">
      <c r="A1745" s="52"/>
      <c r="B1745" s="55"/>
      <c r="C1745" s="29"/>
      <c r="D1745" s="29"/>
      <c r="E1745" s="14"/>
      <c r="F1745" s="4"/>
    </row>
    <row r="1746">
      <c r="A1746" s="52"/>
      <c r="B1746" s="55"/>
      <c r="C1746" s="29"/>
      <c r="D1746" s="29"/>
      <c r="E1746" s="14"/>
      <c r="F1746" s="4"/>
    </row>
    <row r="1747">
      <c r="A1747" s="52"/>
      <c r="B1747" s="55"/>
      <c r="C1747" s="29"/>
      <c r="D1747" s="29"/>
      <c r="E1747" s="14"/>
      <c r="F1747" s="4"/>
    </row>
    <row r="1748">
      <c r="A1748" s="52"/>
      <c r="B1748" s="55"/>
      <c r="C1748" s="29"/>
      <c r="D1748" s="29"/>
      <c r="E1748" s="14"/>
      <c r="F1748" s="4"/>
    </row>
    <row r="1749">
      <c r="A1749" s="52"/>
      <c r="B1749" s="55"/>
      <c r="C1749" s="29"/>
      <c r="D1749" s="29"/>
      <c r="E1749" s="14"/>
      <c r="F1749" s="4"/>
    </row>
    <row r="1750">
      <c r="A1750" s="52"/>
      <c r="B1750" s="55"/>
      <c r="C1750" s="29"/>
      <c r="D1750" s="29"/>
      <c r="E1750" s="14"/>
      <c r="F1750" s="4"/>
    </row>
    <row r="1751">
      <c r="A1751" s="52"/>
      <c r="B1751" s="55"/>
      <c r="C1751" s="29"/>
      <c r="D1751" s="29"/>
      <c r="E1751" s="14"/>
      <c r="F1751" s="4"/>
    </row>
    <row r="1752">
      <c r="A1752" s="52"/>
      <c r="B1752" s="55"/>
      <c r="C1752" s="29"/>
      <c r="D1752" s="29"/>
      <c r="E1752" s="14"/>
      <c r="F1752" s="4"/>
    </row>
    <row r="1753">
      <c r="A1753" s="52"/>
      <c r="B1753" s="55"/>
      <c r="C1753" s="29"/>
      <c r="D1753" s="29"/>
      <c r="E1753" s="14"/>
      <c r="F1753" s="4"/>
    </row>
    <row r="1754">
      <c r="A1754" s="52"/>
      <c r="B1754" s="55"/>
      <c r="C1754" s="29"/>
      <c r="D1754" s="29"/>
      <c r="E1754" s="14"/>
      <c r="F1754" s="4"/>
    </row>
    <row r="1755">
      <c r="A1755" s="52"/>
      <c r="B1755" s="55"/>
      <c r="C1755" s="29"/>
      <c r="D1755" s="29"/>
      <c r="E1755" s="14"/>
      <c r="F1755" s="4"/>
    </row>
    <row r="1756">
      <c r="A1756" s="52"/>
      <c r="B1756" s="55"/>
      <c r="C1756" s="29"/>
      <c r="D1756" s="29"/>
      <c r="E1756" s="14"/>
      <c r="F1756" s="4"/>
    </row>
    <row r="1757">
      <c r="A1757" s="52"/>
      <c r="B1757" s="55"/>
      <c r="C1757" s="29"/>
      <c r="D1757" s="29"/>
      <c r="E1757" s="14"/>
      <c r="F1757" s="4"/>
    </row>
    <row r="1758">
      <c r="A1758" s="52"/>
      <c r="B1758" s="55"/>
      <c r="C1758" s="29"/>
      <c r="D1758" s="29"/>
      <c r="E1758" s="14"/>
      <c r="F1758" s="4"/>
    </row>
    <row r="1759">
      <c r="A1759" s="52"/>
      <c r="B1759" s="55"/>
      <c r="C1759" s="29"/>
      <c r="D1759" s="29"/>
      <c r="E1759" s="14"/>
      <c r="F1759" s="4"/>
    </row>
    <row r="1760">
      <c r="A1760" s="52"/>
      <c r="B1760" s="55"/>
      <c r="C1760" s="29"/>
      <c r="D1760" s="29"/>
      <c r="E1760" s="14"/>
      <c r="F1760" s="4"/>
    </row>
    <row r="1761">
      <c r="A1761" s="52"/>
      <c r="B1761" s="55"/>
      <c r="C1761" s="29"/>
      <c r="D1761" s="29"/>
      <c r="E1761" s="14"/>
      <c r="F1761" s="4"/>
    </row>
    <row r="1762">
      <c r="A1762" s="52"/>
      <c r="B1762" s="55"/>
      <c r="C1762" s="29"/>
      <c r="D1762" s="29"/>
      <c r="E1762" s="14"/>
      <c r="F1762" s="4"/>
    </row>
    <row r="1763">
      <c r="A1763" s="52"/>
      <c r="B1763" s="55"/>
      <c r="C1763" s="29"/>
      <c r="D1763" s="29"/>
      <c r="E1763" s="14"/>
      <c r="F1763" s="4"/>
    </row>
    <row r="1764">
      <c r="A1764" s="52"/>
      <c r="B1764" s="55"/>
      <c r="C1764" s="29"/>
      <c r="D1764" s="29"/>
      <c r="E1764" s="14"/>
      <c r="F1764" s="4"/>
    </row>
    <row r="1765">
      <c r="A1765" s="52"/>
      <c r="B1765" s="55"/>
      <c r="C1765" s="29"/>
      <c r="D1765" s="29"/>
      <c r="E1765" s="14"/>
      <c r="F1765" s="4"/>
    </row>
    <row r="1766">
      <c r="A1766" s="52"/>
      <c r="B1766" s="55"/>
      <c r="C1766" s="29"/>
      <c r="D1766" s="29"/>
      <c r="E1766" s="14"/>
      <c r="F1766" s="4"/>
    </row>
    <row r="1767">
      <c r="A1767" s="52"/>
      <c r="B1767" s="55"/>
      <c r="C1767" s="29"/>
      <c r="D1767" s="29"/>
      <c r="E1767" s="14"/>
      <c r="F1767" s="4"/>
    </row>
    <row r="1768">
      <c r="A1768" s="52"/>
      <c r="B1768" s="55"/>
      <c r="C1768" s="29"/>
      <c r="D1768" s="29"/>
      <c r="E1768" s="14"/>
      <c r="F1768" s="4"/>
    </row>
    <row r="1769">
      <c r="A1769" s="52"/>
      <c r="B1769" s="55"/>
      <c r="C1769" s="29"/>
      <c r="D1769" s="29"/>
      <c r="E1769" s="14"/>
      <c r="F1769" s="4"/>
    </row>
    <row r="1770">
      <c r="A1770" s="52"/>
      <c r="B1770" s="55"/>
      <c r="C1770" s="29"/>
      <c r="D1770" s="29"/>
      <c r="E1770" s="14"/>
      <c r="F1770" s="4"/>
    </row>
    <row r="1771">
      <c r="A1771" s="52"/>
      <c r="B1771" s="55"/>
      <c r="C1771" s="29"/>
      <c r="D1771" s="29"/>
      <c r="E1771" s="14"/>
      <c r="F1771" s="4"/>
    </row>
    <row r="1772">
      <c r="A1772" s="52"/>
      <c r="B1772" s="55"/>
      <c r="C1772" s="29"/>
      <c r="D1772" s="29"/>
      <c r="E1772" s="14"/>
      <c r="F1772" s="4"/>
    </row>
    <row r="1773">
      <c r="A1773" s="52"/>
      <c r="B1773" s="55"/>
      <c r="C1773" s="29"/>
      <c r="D1773" s="29"/>
      <c r="E1773" s="14"/>
      <c r="F1773" s="4"/>
    </row>
    <row r="1774">
      <c r="A1774" s="52"/>
      <c r="B1774" s="55"/>
      <c r="C1774" s="29"/>
      <c r="D1774" s="29"/>
      <c r="E1774" s="14"/>
      <c r="F1774" s="4"/>
    </row>
    <row r="1775">
      <c r="A1775" s="52"/>
      <c r="B1775" s="55"/>
      <c r="C1775" s="29"/>
      <c r="D1775" s="29"/>
      <c r="E1775" s="14"/>
      <c r="F1775" s="4"/>
    </row>
    <row r="1776">
      <c r="A1776" s="52"/>
      <c r="B1776" s="55"/>
      <c r="C1776" s="29"/>
      <c r="D1776" s="29"/>
      <c r="E1776" s="14"/>
      <c r="F1776" s="4"/>
    </row>
    <row r="1777">
      <c r="A1777" s="52"/>
      <c r="B1777" s="55"/>
      <c r="C1777" s="29"/>
      <c r="D1777" s="29"/>
      <c r="E1777" s="14"/>
      <c r="F1777" s="4"/>
    </row>
    <row r="1778">
      <c r="A1778" s="52"/>
      <c r="B1778" s="55"/>
      <c r="C1778" s="29"/>
      <c r="D1778" s="29"/>
      <c r="E1778" s="14"/>
      <c r="F1778" s="4"/>
    </row>
    <row r="1779">
      <c r="A1779" s="52"/>
      <c r="B1779" s="55"/>
      <c r="C1779" s="29"/>
      <c r="D1779" s="29"/>
      <c r="E1779" s="14"/>
      <c r="F1779" s="4"/>
    </row>
    <row r="1780">
      <c r="A1780" s="52"/>
      <c r="B1780" s="55"/>
      <c r="C1780" s="29"/>
      <c r="D1780" s="29"/>
      <c r="E1780" s="14"/>
      <c r="F1780" s="4"/>
    </row>
    <row r="1781">
      <c r="A1781" s="52"/>
      <c r="B1781" s="55"/>
      <c r="C1781" s="29"/>
      <c r="D1781" s="29"/>
      <c r="E1781" s="14"/>
      <c r="F1781" s="4"/>
    </row>
    <row r="1782">
      <c r="A1782" s="52"/>
      <c r="B1782" s="55"/>
      <c r="C1782" s="29"/>
      <c r="D1782" s="29"/>
      <c r="E1782" s="14"/>
      <c r="F1782" s="4"/>
    </row>
    <row r="1783">
      <c r="A1783" s="52"/>
      <c r="B1783" s="55"/>
      <c r="C1783" s="29"/>
      <c r="D1783" s="29"/>
      <c r="E1783" s="14"/>
      <c r="F1783" s="4"/>
    </row>
    <row r="1784">
      <c r="A1784" s="52"/>
      <c r="B1784" s="55"/>
      <c r="C1784" s="29"/>
      <c r="D1784" s="29"/>
      <c r="E1784" s="14"/>
      <c r="F1784" s="4"/>
    </row>
    <row r="1785">
      <c r="A1785" s="52"/>
      <c r="B1785" s="55"/>
      <c r="C1785" s="29"/>
      <c r="D1785" s="29"/>
      <c r="E1785" s="14"/>
      <c r="F1785" s="4"/>
    </row>
    <row r="1786">
      <c r="A1786" s="52"/>
      <c r="B1786" s="55"/>
      <c r="C1786" s="29"/>
      <c r="D1786" s="29"/>
      <c r="E1786" s="14"/>
      <c r="F1786" s="4"/>
    </row>
    <row r="1787">
      <c r="A1787" s="52"/>
      <c r="B1787" s="55"/>
      <c r="C1787" s="29"/>
      <c r="D1787" s="29"/>
      <c r="E1787" s="14"/>
      <c r="F1787" s="4"/>
    </row>
    <row r="1788">
      <c r="A1788" s="52"/>
      <c r="B1788" s="55"/>
      <c r="C1788" s="29"/>
      <c r="D1788" s="29"/>
      <c r="E1788" s="14"/>
      <c r="F1788" s="4"/>
    </row>
    <row r="1789">
      <c r="A1789" s="52"/>
      <c r="B1789" s="55"/>
      <c r="C1789" s="29"/>
      <c r="D1789" s="29"/>
      <c r="E1789" s="14"/>
      <c r="F1789" s="4"/>
    </row>
    <row r="1790">
      <c r="A1790" s="52"/>
      <c r="B1790" s="55"/>
      <c r="C1790" s="29"/>
      <c r="D1790" s="29"/>
      <c r="E1790" s="14"/>
      <c r="F1790" s="4"/>
    </row>
    <row r="1791">
      <c r="A1791" s="52"/>
      <c r="B1791" s="55"/>
      <c r="C1791" s="29"/>
      <c r="D1791" s="29"/>
      <c r="E1791" s="14"/>
      <c r="F1791" s="4"/>
    </row>
    <row r="1792">
      <c r="A1792" s="52"/>
      <c r="B1792" s="55"/>
      <c r="C1792" s="29"/>
      <c r="D1792" s="29"/>
      <c r="E1792" s="14"/>
      <c r="F1792" s="4"/>
    </row>
    <row r="1793">
      <c r="A1793" s="52"/>
      <c r="B1793" s="55"/>
      <c r="C1793" s="29"/>
      <c r="D1793" s="29"/>
      <c r="E1793" s="14"/>
      <c r="F1793" s="4"/>
    </row>
    <row r="1794">
      <c r="A1794" s="52"/>
      <c r="B1794" s="55"/>
      <c r="C1794" s="29"/>
      <c r="D1794" s="29"/>
      <c r="E1794" s="14"/>
      <c r="F1794" s="4"/>
    </row>
    <row r="1795">
      <c r="A1795" s="52"/>
      <c r="B1795" s="55"/>
      <c r="C1795" s="29"/>
      <c r="D1795" s="29"/>
      <c r="E1795" s="14"/>
      <c r="F1795" s="4"/>
    </row>
    <row r="1796">
      <c r="A1796" s="52"/>
      <c r="B1796" s="55"/>
      <c r="C1796" s="29"/>
      <c r="D1796" s="29"/>
      <c r="E1796" s="14"/>
      <c r="F1796" s="4"/>
    </row>
    <row r="1797">
      <c r="A1797" s="52"/>
      <c r="B1797" s="55"/>
      <c r="C1797" s="29"/>
      <c r="D1797" s="29"/>
      <c r="E1797" s="14"/>
      <c r="F1797" s="4"/>
    </row>
    <row r="1798">
      <c r="A1798" s="52"/>
      <c r="B1798" s="55"/>
      <c r="C1798" s="29"/>
      <c r="D1798" s="29"/>
      <c r="E1798" s="14"/>
      <c r="F1798" s="4"/>
    </row>
    <row r="1799">
      <c r="A1799" s="52"/>
      <c r="B1799" s="55"/>
      <c r="C1799" s="29"/>
      <c r="D1799" s="29"/>
      <c r="E1799" s="14"/>
      <c r="F1799" s="4"/>
    </row>
    <row r="1800">
      <c r="A1800" s="52"/>
      <c r="B1800" s="55"/>
      <c r="C1800" s="29"/>
      <c r="D1800" s="29"/>
      <c r="E1800" s="14"/>
      <c r="F1800" s="4"/>
    </row>
    <row r="1801">
      <c r="A1801" s="52"/>
      <c r="B1801" s="55"/>
      <c r="C1801" s="29"/>
      <c r="D1801" s="29"/>
      <c r="E1801" s="14"/>
      <c r="F1801" s="4"/>
    </row>
    <row r="1802">
      <c r="A1802" s="52"/>
      <c r="B1802" s="55"/>
      <c r="C1802" s="29"/>
      <c r="D1802" s="29"/>
      <c r="E1802" s="14"/>
      <c r="F1802" s="4"/>
    </row>
    <row r="1803">
      <c r="A1803" s="52"/>
      <c r="B1803" s="55"/>
      <c r="C1803" s="29"/>
      <c r="D1803" s="29"/>
      <c r="E1803" s="14"/>
      <c r="F1803" s="4"/>
    </row>
    <row r="1804">
      <c r="A1804" s="52"/>
      <c r="B1804" s="55"/>
      <c r="C1804" s="29"/>
      <c r="D1804" s="29"/>
      <c r="E1804" s="14"/>
      <c r="F1804" s="4"/>
    </row>
    <row r="1805">
      <c r="A1805" s="52"/>
      <c r="B1805" s="55"/>
      <c r="C1805" s="29"/>
      <c r="D1805" s="29"/>
      <c r="E1805" s="14"/>
      <c r="F1805" s="4"/>
    </row>
    <row r="1806">
      <c r="A1806" s="52"/>
      <c r="B1806" s="55"/>
      <c r="C1806" s="29"/>
      <c r="D1806" s="29"/>
      <c r="E1806" s="14"/>
      <c r="F1806" s="4"/>
    </row>
    <row r="1807">
      <c r="A1807" s="52"/>
      <c r="B1807" s="55"/>
      <c r="C1807" s="29"/>
      <c r="D1807" s="29"/>
      <c r="E1807" s="14"/>
      <c r="F1807" s="4"/>
    </row>
    <row r="1808">
      <c r="A1808" s="52"/>
      <c r="B1808" s="55"/>
      <c r="C1808" s="29"/>
      <c r="D1808" s="29"/>
      <c r="E1808" s="14"/>
      <c r="F1808" s="4"/>
    </row>
    <row r="1809">
      <c r="A1809" s="52"/>
      <c r="B1809" s="55"/>
      <c r="C1809" s="29"/>
      <c r="D1809" s="29"/>
      <c r="E1809" s="14"/>
      <c r="F1809" s="4"/>
    </row>
    <row r="1810">
      <c r="A1810" s="52"/>
      <c r="B1810" s="55"/>
      <c r="C1810" s="29"/>
      <c r="D1810" s="29"/>
      <c r="E1810" s="14"/>
      <c r="F1810" s="4"/>
    </row>
    <row r="1811">
      <c r="A1811" s="52"/>
      <c r="B1811" s="55"/>
      <c r="C1811" s="29"/>
      <c r="D1811" s="29"/>
      <c r="E1811" s="14"/>
      <c r="F1811" s="4"/>
    </row>
    <row r="1812">
      <c r="A1812" s="52"/>
      <c r="B1812" s="55"/>
      <c r="C1812" s="29"/>
      <c r="D1812" s="29"/>
      <c r="E1812" s="14"/>
      <c r="F1812" s="4"/>
    </row>
    <row r="1813">
      <c r="A1813" s="52"/>
      <c r="B1813" s="55"/>
      <c r="C1813" s="29"/>
      <c r="D1813" s="29"/>
      <c r="E1813" s="14"/>
      <c r="F1813" s="4"/>
    </row>
    <row r="1814">
      <c r="A1814" s="52"/>
      <c r="B1814" s="55"/>
      <c r="C1814" s="29"/>
      <c r="D1814" s="29"/>
      <c r="E1814" s="14"/>
      <c r="F1814" s="4"/>
    </row>
    <row r="1815">
      <c r="A1815" s="52"/>
      <c r="B1815" s="55"/>
      <c r="C1815" s="29"/>
      <c r="D1815" s="29"/>
      <c r="E1815" s="14"/>
      <c r="F1815" s="4"/>
    </row>
    <row r="1816">
      <c r="A1816" s="52"/>
      <c r="B1816" s="55"/>
      <c r="C1816" s="29"/>
      <c r="D1816" s="29"/>
      <c r="E1816" s="14"/>
      <c r="F1816" s="4"/>
    </row>
    <row r="1817">
      <c r="A1817" s="52"/>
      <c r="B1817" s="55"/>
      <c r="C1817" s="29"/>
      <c r="D1817" s="29"/>
      <c r="E1817" s="14"/>
      <c r="F1817" s="4"/>
    </row>
    <row r="1818">
      <c r="A1818" s="52"/>
      <c r="B1818" s="55"/>
      <c r="C1818" s="29"/>
      <c r="D1818" s="29"/>
      <c r="E1818" s="14"/>
      <c r="F1818" s="4"/>
    </row>
    <row r="1819">
      <c r="A1819" s="52"/>
      <c r="B1819" s="55"/>
      <c r="C1819" s="29"/>
      <c r="D1819" s="29"/>
      <c r="E1819" s="14"/>
      <c r="F1819" s="4"/>
    </row>
    <row r="1820">
      <c r="A1820" s="52"/>
      <c r="B1820" s="55"/>
      <c r="C1820" s="29"/>
      <c r="D1820" s="29"/>
      <c r="E1820" s="14"/>
      <c r="F1820" s="4"/>
    </row>
    <row r="1821">
      <c r="A1821" s="52"/>
      <c r="B1821" s="55"/>
      <c r="C1821" s="29"/>
      <c r="D1821" s="29"/>
      <c r="E1821" s="14"/>
      <c r="F1821" s="4"/>
    </row>
    <row r="1822">
      <c r="A1822" s="52"/>
      <c r="B1822" s="55"/>
      <c r="C1822" s="29"/>
      <c r="D1822" s="29"/>
      <c r="E1822" s="14"/>
      <c r="F1822" s="4"/>
    </row>
    <row r="1823">
      <c r="A1823" s="52"/>
      <c r="B1823" s="55"/>
      <c r="C1823" s="29"/>
      <c r="D1823" s="29"/>
      <c r="E1823" s="14"/>
      <c r="F1823" s="4"/>
    </row>
    <row r="1824">
      <c r="A1824" s="52"/>
      <c r="B1824" s="55"/>
      <c r="C1824" s="29"/>
      <c r="D1824" s="29"/>
      <c r="E1824" s="14"/>
      <c r="F1824" s="4"/>
    </row>
    <row r="1825">
      <c r="A1825" s="52"/>
      <c r="B1825" s="55"/>
      <c r="C1825" s="29"/>
      <c r="D1825" s="29"/>
      <c r="E1825" s="14"/>
      <c r="F1825" s="4"/>
    </row>
    <row r="1826">
      <c r="A1826" s="52"/>
      <c r="B1826" s="55"/>
      <c r="C1826" s="29"/>
      <c r="D1826" s="29"/>
      <c r="E1826" s="14"/>
      <c r="F1826" s="4"/>
    </row>
    <row r="1827">
      <c r="A1827" s="52"/>
      <c r="B1827" s="55"/>
      <c r="C1827" s="29"/>
      <c r="D1827" s="29"/>
      <c r="E1827" s="14"/>
      <c r="F1827" s="4"/>
    </row>
    <row r="1828">
      <c r="A1828" s="52"/>
      <c r="B1828" s="55"/>
      <c r="C1828" s="29"/>
      <c r="D1828" s="29"/>
      <c r="E1828" s="14"/>
      <c r="F1828" s="4"/>
    </row>
    <row r="1829">
      <c r="A1829" s="52"/>
      <c r="B1829" s="55"/>
      <c r="C1829" s="29"/>
      <c r="D1829" s="29"/>
      <c r="E1829" s="14"/>
      <c r="F1829" s="4"/>
    </row>
    <row r="1830">
      <c r="A1830" s="52"/>
      <c r="B1830" s="55"/>
      <c r="C1830" s="29"/>
      <c r="D1830" s="29"/>
      <c r="E1830" s="14"/>
      <c r="F1830" s="4"/>
    </row>
    <row r="1831">
      <c r="A1831" s="52"/>
      <c r="B1831" s="55"/>
      <c r="C1831" s="29"/>
      <c r="D1831" s="29"/>
      <c r="E1831" s="14"/>
      <c r="F1831" s="4"/>
    </row>
    <row r="1832">
      <c r="A1832" s="52"/>
      <c r="B1832" s="55"/>
      <c r="C1832" s="29"/>
      <c r="D1832" s="29"/>
      <c r="E1832" s="14"/>
      <c r="F1832" s="4"/>
    </row>
    <row r="1833">
      <c r="A1833" s="52"/>
      <c r="B1833" s="55"/>
      <c r="C1833" s="29"/>
      <c r="D1833" s="29"/>
      <c r="E1833" s="14"/>
      <c r="F1833" s="4"/>
    </row>
    <row r="1834">
      <c r="A1834" s="52"/>
      <c r="B1834" s="55"/>
      <c r="C1834" s="29"/>
      <c r="D1834" s="29"/>
      <c r="E1834" s="14"/>
      <c r="F1834" s="4"/>
    </row>
    <row r="1835">
      <c r="A1835" s="52"/>
      <c r="B1835" s="55"/>
      <c r="C1835" s="29"/>
      <c r="D1835" s="29"/>
      <c r="E1835" s="14"/>
      <c r="F1835" s="4"/>
    </row>
    <row r="1836">
      <c r="A1836" s="52"/>
      <c r="B1836" s="55"/>
      <c r="C1836" s="29"/>
      <c r="D1836" s="29"/>
      <c r="E1836" s="14"/>
      <c r="F1836" s="4"/>
    </row>
    <row r="1837">
      <c r="A1837" s="52"/>
      <c r="B1837" s="55"/>
      <c r="C1837" s="29"/>
      <c r="D1837" s="29"/>
      <c r="E1837" s="14"/>
      <c r="F1837" s="4"/>
    </row>
    <row r="1838">
      <c r="A1838" s="52"/>
      <c r="B1838" s="55"/>
      <c r="C1838" s="29"/>
      <c r="D1838" s="29"/>
      <c r="E1838" s="14"/>
      <c r="F1838" s="4"/>
    </row>
    <row r="1839">
      <c r="A1839" s="52"/>
      <c r="B1839" s="55"/>
      <c r="C1839" s="29"/>
      <c r="D1839" s="29"/>
      <c r="E1839" s="14"/>
      <c r="F1839" s="4"/>
    </row>
    <row r="1840">
      <c r="A1840" s="52"/>
      <c r="B1840" s="55"/>
      <c r="C1840" s="29"/>
      <c r="D1840" s="29"/>
      <c r="E1840" s="14"/>
      <c r="F1840" s="4"/>
    </row>
    <row r="1841">
      <c r="A1841" s="52"/>
      <c r="B1841" s="55"/>
      <c r="C1841" s="29"/>
      <c r="D1841" s="29"/>
      <c r="E1841" s="14"/>
      <c r="F1841" s="4"/>
    </row>
    <row r="1842">
      <c r="A1842" s="52"/>
      <c r="B1842" s="55"/>
      <c r="C1842" s="29"/>
      <c r="D1842" s="29"/>
      <c r="E1842" s="14"/>
      <c r="F1842" s="4"/>
    </row>
    <row r="1843">
      <c r="A1843" s="52"/>
      <c r="B1843" s="55"/>
      <c r="C1843" s="29"/>
      <c r="D1843" s="29"/>
      <c r="E1843" s="14"/>
      <c r="F1843" s="4"/>
    </row>
    <row r="1844">
      <c r="A1844" s="52"/>
      <c r="B1844" s="55"/>
      <c r="C1844" s="29"/>
      <c r="D1844" s="29"/>
      <c r="E1844" s="14"/>
      <c r="F1844" s="4"/>
    </row>
    <row r="1845">
      <c r="A1845" s="52"/>
      <c r="B1845" s="55"/>
      <c r="C1845" s="29"/>
      <c r="D1845" s="29"/>
      <c r="E1845" s="14"/>
      <c r="F1845" s="4"/>
    </row>
    <row r="1846">
      <c r="A1846" s="52"/>
      <c r="B1846" s="55"/>
      <c r="C1846" s="29"/>
      <c r="D1846" s="29"/>
      <c r="E1846" s="14"/>
      <c r="F1846" s="4"/>
    </row>
    <row r="1847">
      <c r="A1847" s="52"/>
      <c r="B1847" s="55"/>
      <c r="C1847" s="29"/>
      <c r="D1847" s="29"/>
      <c r="E1847" s="14"/>
      <c r="F1847" s="4"/>
    </row>
    <row r="1848">
      <c r="A1848" s="52"/>
      <c r="B1848" s="55"/>
      <c r="C1848" s="29"/>
      <c r="D1848" s="29"/>
      <c r="E1848" s="14"/>
      <c r="F1848" s="4"/>
    </row>
    <row r="1849">
      <c r="A1849" s="52"/>
      <c r="B1849" s="55"/>
      <c r="C1849" s="29"/>
      <c r="D1849" s="29"/>
      <c r="E1849" s="14"/>
      <c r="F1849" s="4"/>
    </row>
    <row r="1850">
      <c r="A1850" s="52"/>
      <c r="B1850" s="55"/>
      <c r="C1850" s="29"/>
      <c r="D1850" s="29"/>
      <c r="E1850" s="14"/>
      <c r="F1850" s="4"/>
    </row>
    <row r="1851">
      <c r="A1851" s="52"/>
      <c r="B1851" s="55"/>
      <c r="C1851" s="29"/>
      <c r="D1851" s="29"/>
      <c r="E1851" s="14"/>
      <c r="F1851" s="4"/>
    </row>
    <row r="1852">
      <c r="A1852" s="52"/>
      <c r="B1852" s="55"/>
      <c r="C1852" s="29"/>
      <c r="D1852" s="29"/>
      <c r="E1852" s="14"/>
      <c r="F1852" s="4"/>
    </row>
    <row r="1853">
      <c r="A1853" s="52"/>
      <c r="B1853" s="55"/>
      <c r="C1853" s="29"/>
      <c r="D1853" s="29"/>
      <c r="E1853" s="14"/>
      <c r="F1853" s="4"/>
    </row>
    <row r="1854">
      <c r="A1854" s="52"/>
      <c r="B1854" s="55"/>
      <c r="C1854" s="29"/>
      <c r="D1854" s="29"/>
      <c r="E1854" s="14"/>
      <c r="F1854" s="4"/>
    </row>
    <row r="1855">
      <c r="A1855" s="52"/>
      <c r="B1855" s="55"/>
      <c r="C1855" s="29"/>
      <c r="D1855" s="29"/>
      <c r="E1855" s="14"/>
      <c r="F1855" s="4"/>
    </row>
    <row r="1856">
      <c r="A1856" s="52"/>
      <c r="B1856" s="55"/>
      <c r="C1856" s="29"/>
      <c r="D1856" s="29"/>
      <c r="E1856" s="14"/>
      <c r="F1856" s="4"/>
    </row>
    <row r="1857">
      <c r="A1857" s="52"/>
      <c r="B1857" s="55"/>
      <c r="C1857" s="29"/>
      <c r="D1857" s="29"/>
      <c r="E1857" s="14"/>
      <c r="F1857" s="4"/>
    </row>
    <row r="1858">
      <c r="A1858" s="52"/>
      <c r="B1858" s="55"/>
      <c r="C1858" s="29"/>
      <c r="D1858" s="29"/>
      <c r="E1858" s="14"/>
      <c r="F1858" s="4"/>
    </row>
    <row r="1859">
      <c r="A1859" s="52"/>
      <c r="B1859" s="55"/>
      <c r="C1859" s="29"/>
      <c r="D1859" s="29"/>
      <c r="E1859" s="14"/>
      <c r="F1859" s="4"/>
    </row>
    <row r="1860">
      <c r="A1860" s="52"/>
      <c r="B1860" s="55"/>
      <c r="C1860" s="29"/>
      <c r="D1860" s="29"/>
      <c r="E1860" s="14"/>
      <c r="F1860" s="4"/>
    </row>
    <row r="1861">
      <c r="A1861" s="52"/>
      <c r="B1861" s="55"/>
      <c r="C1861" s="29"/>
      <c r="D1861" s="29"/>
      <c r="E1861" s="14"/>
      <c r="F1861" s="4"/>
    </row>
    <row r="1862">
      <c r="A1862" s="52"/>
      <c r="B1862" s="55"/>
      <c r="C1862" s="29"/>
      <c r="D1862" s="29"/>
      <c r="E1862" s="14"/>
      <c r="F1862" s="4"/>
    </row>
    <row r="1863">
      <c r="A1863" s="52"/>
      <c r="B1863" s="55"/>
      <c r="C1863" s="29"/>
      <c r="D1863" s="29"/>
      <c r="E1863" s="14"/>
      <c r="F1863" s="4"/>
    </row>
    <row r="1864">
      <c r="A1864" s="52"/>
      <c r="B1864" s="55"/>
      <c r="C1864" s="29"/>
      <c r="D1864" s="29"/>
      <c r="E1864" s="14"/>
      <c r="F1864" s="4"/>
    </row>
    <row r="1865">
      <c r="A1865" s="52"/>
      <c r="B1865" s="55"/>
      <c r="C1865" s="29"/>
      <c r="D1865" s="29"/>
      <c r="E1865" s="14"/>
      <c r="F1865" s="4"/>
    </row>
    <row r="1866">
      <c r="A1866" s="52"/>
      <c r="B1866" s="55"/>
      <c r="C1866" s="29"/>
      <c r="D1866" s="29"/>
      <c r="E1866" s="14"/>
      <c r="F1866" s="4"/>
    </row>
    <row r="1867">
      <c r="A1867" s="52"/>
      <c r="B1867" s="55"/>
      <c r="C1867" s="29"/>
      <c r="D1867" s="29"/>
      <c r="E1867" s="14"/>
      <c r="F1867" s="4"/>
    </row>
    <row r="1868">
      <c r="A1868" s="52"/>
      <c r="B1868" s="55"/>
      <c r="C1868" s="29"/>
      <c r="D1868" s="29"/>
      <c r="E1868" s="14"/>
      <c r="F1868" s="4"/>
    </row>
    <row r="1869">
      <c r="A1869" s="52"/>
      <c r="B1869" s="55"/>
      <c r="C1869" s="29"/>
      <c r="D1869" s="29"/>
      <c r="E1869" s="14"/>
      <c r="F1869" s="4"/>
    </row>
    <row r="1870">
      <c r="A1870" s="52"/>
      <c r="B1870" s="55"/>
      <c r="C1870" s="29"/>
      <c r="D1870" s="29"/>
      <c r="E1870" s="14"/>
      <c r="F1870" s="4"/>
    </row>
    <row r="1871">
      <c r="A1871" s="52"/>
      <c r="B1871" s="55"/>
      <c r="C1871" s="29"/>
      <c r="D1871" s="29"/>
      <c r="E1871" s="14"/>
      <c r="F1871" s="4"/>
    </row>
    <row r="1872">
      <c r="A1872" s="52"/>
      <c r="B1872" s="55"/>
      <c r="C1872" s="29"/>
      <c r="D1872" s="29"/>
      <c r="E1872" s="14"/>
      <c r="F1872" s="4"/>
    </row>
    <row r="1873">
      <c r="A1873" s="52"/>
      <c r="B1873" s="55"/>
      <c r="C1873" s="29"/>
      <c r="D1873" s="29"/>
      <c r="E1873" s="14"/>
      <c r="F1873" s="4"/>
    </row>
    <row r="1874">
      <c r="A1874" s="52"/>
      <c r="B1874" s="55"/>
      <c r="C1874" s="29"/>
      <c r="D1874" s="29"/>
      <c r="E1874" s="14"/>
      <c r="F1874" s="4"/>
    </row>
    <row r="1875">
      <c r="A1875" s="52"/>
      <c r="B1875" s="55"/>
      <c r="C1875" s="29"/>
      <c r="D1875" s="29"/>
      <c r="E1875" s="14"/>
      <c r="F1875" s="4"/>
    </row>
    <row r="1876">
      <c r="A1876" s="52"/>
      <c r="B1876" s="55"/>
      <c r="C1876" s="29"/>
      <c r="D1876" s="29"/>
      <c r="E1876" s="14"/>
      <c r="F1876" s="4"/>
    </row>
    <row r="1877">
      <c r="A1877" s="52"/>
      <c r="B1877" s="55"/>
      <c r="C1877" s="29"/>
      <c r="D1877" s="29"/>
      <c r="E1877" s="14"/>
      <c r="F1877" s="4"/>
    </row>
    <row r="1878">
      <c r="A1878" s="52"/>
      <c r="B1878" s="55"/>
      <c r="C1878" s="29"/>
      <c r="D1878" s="29"/>
      <c r="E1878" s="14"/>
      <c r="F1878" s="4"/>
    </row>
    <row r="1879">
      <c r="A1879" s="52"/>
      <c r="B1879" s="55"/>
      <c r="C1879" s="29"/>
      <c r="D1879" s="29"/>
      <c r="E1879" s="14"/>
      <c r="F1879" s="4"/>
    </row>
    <row r="1880">
      <c r="A1880" s="52"/>
      <c r="B1880" s="55"/>
      <c r="C1880" s="29"/>
      <c r="D1880" s="29"/>
      <c r="E1880" s="14"/>
      <c r="F1880" s="4"/>
    </row>
    <row r="1881">
      <c r="A1881" s="52"/>
      <c r="B1881" s="55"/>
      <c r="C1881" s="29"/>
      <c r="D1881" s="29"/>
      <c r="E1881" s="14"/>
      <c r="F1881" s="4"/>
    </row>
    <row r="1882">
      <c r="A1882" s="52"/>
      <c r="B1882" s="55"/>
      <c r="C1882" s="29"/>
      <c r="D1882" s="29"/>
      <c r="E1882" s="14"/>
      <c r="F1882" s="4"/>
    </row>
    <row r="1883">
      <c r="A1883" s="52"/>
      <c r="B1883" s="55"/>
      <c r="C1883" s="29"/>
      <c r="D1883" s="29"/>
      <c r="E1883" s="14"/>
      <c r="F1883" s="4"/>
    </row>
    <row r="1884">
      <c r="A1884" s="52"/>
      <c r="B1884" s="55"/>
      <c r="C1884" s="29"/>
      <c r="D1884" s="29"/>
      <c r="E1884" s="14"/>
      <c r="F1884" s="4"/>
    </row>
    <row r="1885">
      <c r="A1885" s="52"/>
      <c r="B1885" s="55"/>
      <c r="C1885" s="29"/>
      <c r="D1885" s="29"/>
      <c r="E1885" s="14"/>
      <c r="F1885" s="4"/>
    </row>
    <row r="1886">
      <c r="A1886" s="52"/>
      <c r="B1886" s="55"/>
      <c r="C1886" s="29"/>
      <c r="D1886" s="29"/>
      <c r="E1886" s="14"/>
      <c r="F1886" s="4"/>
    </row>
    <row r="1887">
      <c r="A1887" s="52"/>
      <c r="B1887" s="55"/>
      <c r="C1887" s="29"/>
      <c r="D1887" s="29"/>
      <c r="E1887" s="14"/>
      <c r="F1887" s="4"/>
    </row>
    <row r="1888">
      <c r="A1888" s="52"/>
      <c r="B1888" s="55"/>
      <c r="C1888" s="29"/>
      <c r="D1888" s="29"/>
      <c r="E1888" s="14"/>
      <c r="F1888" s="4"/>
    </row>
    <row r="1889">
      <c r="A1889" s="52"/>
      <c r="B1889" s="55"/>
      <c r="C1889" s="29"/>
      <c r="D1889" s="29"/>
      <c r="E1889" s="14"/>
      <c r="F1889" s="4"/>
    </row>
    <row r="1890">
      <c r="A1890" s="52"/>
      <c r="B1890" s="55"/>
      <c r="C1890" s="29"/>
      <c r="D1890" s="29"/>
      <c r="E1890" s="14"/>
      <c r="F1890" s="4"/>
    </row>
    <row r="1891">
      <c r="A1891" s="52"/>
      <c r="B1891" s="55"/>
      <c r="C1891" s="29"/>
      <c r="D1891" s="29"/>
      <c r="E1891" s="14"/>
      <c r="F1891" s="4"/>
    </row>
    <row r="1892">
      <c r="A1892" s="52"/>
      <c r="B1892" s="55"/>
      <c r="C1892" s="29"/>
      <c r="D1892" s="29"/>
      <c r="E1892" s="14"/>
      <c r="F1892" s="4"/>
    </row>
    <row r="1893">
      <c r="A1893" s="52"/>
      <c r="B1893" s="55"/>
      <c r="C1893" s="29"/>
      <c r="D1893" s="29"/>
      <c r="E1893" s="14"/>
      <c r="F1893" s="4"/>
    </row>
    <row r="1894">
      <c r="A1894" s="52"/>
      <c r="B1894" s="55"/>
      <c r="C1894" s="29"/>
      <c r="D1894" s="29"/>
      <c r="E1894" s="14"/>
      <c r="F1894" s="4"/>
    </row>
    <row r="1895">
      <c r="A1895" s="52"/>
      <c r="B1895" s="55"/>
      <c r="C1895" s="29"/>
      <c r="D1895" s="29"/>
      <c r="E1895" s="14"/>
      <c r="F1895" s="4"/>
    </row>
    <row r="1896">
      <c r="A1896" s="52"/>
      <c r="B1896" s="55"/>
      <c r="C1896" s="29"/>
      <c r="D1896" s="29"/>
      <c r="E1896" s="14"/>
      <c r="F1896" s="4"/>
    </row>
    <row r="1897">
      <c r="A1897" s="52"/>
      <c r="B1897" s="55"/>
      <c r="C1897" s="29"/>
      <c r="D1897" s="29"/>
      <c r="E1897" s="14"/>
      <c r="F1897" s="4"/>
    </row>
    <row r="1898">
      <c r="A1898" s="52"/>
      <c r="B1898" s="55"/>
      <c r="C1898" s="29"/>
      <c r="D1898" s="29"/>
      <c r="E1898" s="14"/>
      <c r="F1898" s="4"/>
    </row>
    <row r="1899">
      <c r="A1899" s="52"/>
      <c r="B1899" s="55"/>
      <c r="C1899" s="29"/>
      <c r="D1899" s="29"/>
      <c r="E1899" s="14"/>
      <c r="F1899" s="4"/>
    </row>
    <row r="1900">
      <c r="A1900" s="52"/>
      <c r="B1900" s="55"/>
      <c r="C1900" s="29"/>
      <c r="D1900" s="29"/>
      <c r="E1900" s="14"/>
      <c r="F1900" s="4"/>
    </row>
    <row r="1901">
      <c r="A1901" s="52"/>
      <c r="B1901" s="55"/>
      <c r="C1901" s="29"/>
      <c r="D1901" s="29"/>
      <c r="E1901" s="14"/>
      <c r="F1901" s="4"/>
    </row>
    <row r="1902">
      <c r="A1902" s="52"/>
      <c r="B1902" s="55"/>
      <c r="C1902" s="29"/>
      <c r="D1902" s="29"/>
      <c r="E1902" s="14"/>
      <c r="F1902" s="4"/>
    </row>
    <row r="1903">
      <c r="A1903" s="52"/>
      <c r="B1903" s="55"/>
      <c r="C1903" s="29"/>
      <c r="D1903" s="29"/>
      <c r="E1903" s="14"/>
      <c r="F1903" s="4"/>
    </row>
    <row r="1904">
      <c r="A1904" s="52"/>
      <c r="B1904" s="55"/>
      <c r="C1904" s="29"/>
      <c r="D1904" s="29"/>
      <c r="E1904" s="14"/>
      <c r="F1904" s="4"/>
    </row>
    <row r="1905">
      <c r="A1905" s="52"/>
      <c r="B1905" s="55"/>
      <c r="C1905" s="29"/>
      <c r="D1905" s="29"/>
      <c r="E1905" s="14"/>
      <c r="F1905" s="4"/>
    </row>
    <row r="1906">
      <c r="A1906" s="52"/>
      <c r="B1906" s="55"/>
      <c r="C1906" s="29"/>
      <c r="D1906" s="29"/>
      <c r="E1906" s="14"/>
      <c r="F1906" s="4"/>
    </row>
    <row r="1907">
      <c r="A1907" s="52"/>
      <c r="B1907" s="55"/>
      <c r="C1907" s="29"/>
      <c r="D1907" s="29"/>
      <c r="E1907" s="14"/>
      <c r="F1907" s="4"/>
    </row>
    <row r="1908">
      <c r="A1908" s="52"/>
      <c r="B1908" s="55"/>
      <c r="C1908" s="29"/>
      <c r="D1908" s="29"/>
      <c r="E1908" s="14"/>
      <c r="F1908" s="4"/>
    </row>
    <row r="1909">
      <c r="A1909" s="52"/>
      <c r="B1909" s="55"/>
      <c r="C1909" s="29"/>
      <c r="D1909" s="29"/>
      <c r="E1909" s="14"/>
      <c r="F1909" s="4"/>
    </row>
    <row r="1910">
      <c r="A1910" s="52"/>
      <c r="B1910" s="55"/>
      <c r="C1910" s="29"/>
      <c r="D1910" s="29"/>
      <c r="E1910" s="14"/>
      <c r="F1910" s="4"/>
    </row>
    <row r="1911">
      <c r="A1911" s="52"/>
      <c r="B1911" s="55"/>
      <c r="C1911" s="29"/>
      <c r="D1911" s="29"/>
      <c r="E1911" s="14"/>
      <c r="F1911" s="4"/>
    </row>
    <row r="1912">
      <c r="A1912" s="52"/>
      <c r="B1912" s="55"/>
      <c r="C1912" s="29"/>
      <c r="D1912" s="29"/>
      <c r="E1912" s="14"/>
      <c r="F1912" s="4"/>
    </row>
    <row r="1913">
      <c r="A1913" s="52"/>
      <c r="B1913" s="55"/>
      <c r="C1913" s="29"/>
      <c r="D1913" s="29"/>
      <c r="E1913" s="14"/>
      <c r="F1913" s="4"/>
    </row>
    <row r="1914">
      <c r="A1914" s="52"/>
      <c r="B1914" s="55"/>
      <c r="C1914" s="29"/>
      <c r="D1914" s="29"/>
      <c r="E1914" s="14"/>
      <c r="F1914" s="4"/>
    </row>
    <row r="1915">
      <c r="A1915" s="52"/>
      <c r="B1915" s="55"/>
      <c r="C1915" s="29"/>
      <c r="D1915" s="29"/>
      <c r="E1915" s="14"/>
      <c r="F1915" s="4"/>
    </row>
    <row r="1916">
      <c r="A1916" s="52"/>
      <c r="B1916" s="55"/>
      <c r="C1916" s="29"/>
      <c r="D1916" s="29"/>
      <c r="E1916" s="14"/>
      <c r="F1916" s="4"/>
    </row>
    <row r="1917">
      <c r="A1917" s="52"/>
      <c r="B1917" s="55"/>
      <c r="C1917" s="29"/>
      <c r="D1917" s="29"/>
      <c r="E1917" s="14"/>
      <c r="F1917" s="4"/>
    </row>
    <row r="1918">
      <c r="A1918" s="52"/>
      <c r="B1918" s="55"/>
      <c r="C1918" s="29"/>
      <c r="D1918" s="29"/>
      <c r="E1918" s="14"/>
      <c r="F1918" s="4"/>
    </row>
    <row r="1919">
      <c r="A1919" s="52"/>
      <c r="B1919" s="55"/>
      <c r="C1919" s="29"/>
      <c r="D1919" s="29"/>
      <c r="E1919" s="14"/>
      <c r="F1919" s="4"/>
    </row>
    <row r="1920">
      <c r="A1920" s="52"/>
      <c r="B1920" s="55"/>
      <c r="C1920" s="29"/>
      <c r="D1920" s="29"/>
      <c r="E1920" s="14"/>
      <c r="F1920" s="4"/>
    </row>
    <row r="1921">
      <c r="A1921" s="52"/>
      <c r="B1921" s="55"/>
      <c r="C1921" s="29"/>
      <c r="D1921" s="29"/>
      <c r="E1921" s="14"/>
      <c r="F1921" s="4"/>
    </row>
    <row r="1922">
      <c r="A1922" s="52"/>
      <c r="B1922" s="55"/>
      <c r="C1922" s="29"/>
      <c r="D1922" s="29"/>
      <c r="E1922" s="14"/>
      <c r="F1922" s="4"/>
    </row>
    <row r="1923">
      <c r="A1923" s="52"/>
      <c r="B1923" s="55"/>
      <c r="C1923" s="29"/>
      <c r="D1923" s="29"/>
      <c r="E1923" s="14"/>
      <c r="F1923" s="4"/>
    </row>
    <row r="1924">
      <c r="A1924" s="52"/>
      <c r="B1924" s="55"/>
      <c r="C1924" s="29"/>
      <c r="D1924" s="29"/>
      <c r="E1924" s="14"/>
      <c r="F1924" s="4"/>
    </row>
    <row r="1925">
      <c r="A1925" s="52"/>
      <c r="B1925" s="55"/>
      <c r="C1925" s="29"/>
      <c r="D1925" s="29"/>
      <c r="E1925" s="14"/>
      <c r="F1925" s="4"/>
    </row>
    <row r="1926">
      <c r="A1926" s="52"/>
      <c r="B1926" s="55"/>
      <c r="C1926" s="29"/>
      <c r="D1926" s="29"/>
      <c r="E1926" s="14"/>
      <c r="F1926" s="4"/>
    </row>
    <row r="1927">
      <c r="A1927" s="52"/>
      <c r="B1927" s="55"/>
      <c r="C1927" s="29"/>
      <c r="D1927" s="29"/>
      <c r="E1927" s="14"/>
      <c r="F1927" s="4"/>
    </row>
    <row r="1928">
      <c r="A1928" s="52"/>
      <c r="B1928" s="55"/>
      <c r="C1928" s="29"/>
      <c r="D1928" s="29"/>
      <c r="E1928" s="14"/>
      <c r="F1928" s="4"/>
    </row>
    <row r="1929">
      <c r="A1929" s="52"/>
      <c r="B1929" s="55"/>
      <c r="C1929" s="29"/>
      <c r="D1929" s="29"/>
      <c r="E1929" s="14"/>
      <c r="F1929" s="4"/>
    </row>
    <row r="1930">
      <c r="A1930" s="52"/>
      <c r="B1930" s="55"/>
      <c r="C1930" s="29"/>
      <c r="D1930" s="29"/>
      <c r="E1930" s="14"/>
      <c r="F1930" s="4"/>
    </row>
    <row r="1931">
      <c r="A1931" s="52"/>
      <c r="B1931" s="55"/>
      <c r="C1931" s="29"/>
      <c r="D1931" s="29"/>
      <c r="E1931" s="14"/>
      <c r="F1931" s="4"/>
    </row>
    <row r="1932">
      <c r="A1932" s="52"/>
      <c r="B1932" s="55"/>
      <c r="C1932" s="29"/>
      <c r="D1932" s="29"/>
      <c r="E1932" s="14"/>
      <c r="F1932" s="4"/>
    </row>
    <row r="1933">
      <c r="A1933" s="52"/>
      <c r="B1933" s="55"/>
      <c r="C1933" s="29"/>
      <c r="D1933" s="29"/>
      <c r="E1933" s="14"/>
      <c r="F1933" s="4"/>
    </row>
    <row r="1934">
      <c r="A1934" s="52"/>
      <c r="B1934" s="55"/>
      <c r="C1934" s="29"/>
      <c r="D1934" s="29"/>
      <c r="E1934" s="14"/>
      <c r="F1934" s="4"/>
    </row>
    <row r="1935">
      <c r="A1935" s="52"/>
      <c r="B1935" s="55"/>
      <c r="C1935" s="29"/>
      <c r="D1935" s="29"/>
      <c r="E1935" s="14"/>
      <c r="F1935" s="4"/>
    </row>
    <row r="1936">
      <c r="A1936" s="52"/>
      <c r="B1936" s="55"/>
      <c r="C1936" s="29"/>
      <c r="D1936" s="29"/>
      <c r="E1936" s="14"/>
      <c r="F1936" s="4"/>
    </row>
    <row r="1937">
      <c r="A1937" s="52"/>
      <c r="B1937" s="55"/>
      <c r="C1937" s="29"/>
      <c r="D1937" s="29"/>
      <c r="E1937" s="14"/>
      <c r="F1937" s="4"/>
    </row>
    <row r="1938">
      <c r="A1938" s="52"/>
      <c r="B1938" s="55"/>
      <c r="C1938" s="29"/>
      <c r="D1938" s="29"/>
      <c r="E1938" s="14"/>
      <c r="F1938" s="4"/>
    </row>
    <row r="1939">
      <c r="A1939" s="52"/>
      <c r="B1939" s="55"/>
      <c r="C1939" s="29"/>
      <c r="D1939" s="29"/>
      <c r="E1939" s="14"/>
      <c r="F1939" s="4"/>
    </row>
    <row r="1940">
      <c r="A1940" s="52"/>
      <c r="B1940" s="55"/>
      <c r="C1940" s="29"/>
      <c r="D1940" s="29"/>
      <c r="E1940" s="14"/>
      <c r="F1940" s="4"/>
    </row>
    <row r="1941">
      <c r="A1941" s="52"/>
      <c r="B1941" s="55"/>
      <c r="C1941" s="29"/>
      <c r="D1941" s="29"/>
      <c r="E1941" s="14"/>
      <c r="F1941" s="4"/>
    </row>
    <row r="1942">
      <c r="A1942" s="52"/>
      <c r="B1942" s="55"/>
      <c r="C1942" s="29"/>
      <c r="D1942" s="29"/>
      <c r="E1942" s="14"/>
      <c r="F1942" s="4"/>
    </row>
    <row r="1943">
      <c r="A1943" s="52"/>
      <c r="B1943" s="55"/>
      <c r="C1943" s="29"/>
      <c r="D1943" s="29"/>
      <c r="E1943" s="14"/>
      <c r="F1943" s="4"/>
    </row>
    <row r="1944">
      <c r="A1944" s="52"/>
      <c r="B1944" s="55"/>
      <c r="C1944" s="29"/>
      <c r="D1944" s="29"/>
      <c r="E1944" s="14"/>
      <c r="F1944" s="4"/>
    </row>
    <row r="1945">
      <c r="A1945" s="52"/>
      <c r="B1945" s="55"/>
      <c r="C1945" s="29"/>
      <c r="D1945" s="29"/>
      <c r="E1945" s="14"/>
      <c r="F1945" s="4"/>
    </row>
    <row r="1946">
      <c r="A1946" s="52"/>
      <c r="B1946" s="55"/>
      <c r="C1946" s="29"/>
      <c r="D1946" s="29"/>
      <c r="E1946" s="14"/>
      <c r="F1946" s="4"/>
    </row>
    <row r="1947">
      <c r="A1947" s="52"/>
      <c r="B1947" s="55"/>
      <c r="C1947" s="29"/>
      <c r="D1947" s="29"/>
      <c r="E1947" s="14"/>
      <c r="F1947" s="4"/>
    </row>
    <row r="1948">
      <c r="A1948" s="52"/>
      <c r="B1948" s="55"/>
      <c r="C1948" s="29"/>
      <c r="D1948" s="29"/>
      <c r="E1948" s="14"/>
      <c r="F1948" s="4"/>
    </row>
    <row r="1949">
      <c r="A1949" s="52"/>
      <c r="B1949" s="55"/>
      <c r="C1949" s="29"/>
      <c r="D1949" s="29"/>
      <c r="E1949" s="14"/>
      <c r="F1949" s="4"/>
    </row>
    <row r="1950">
      <c r="A1950" s="52"/>
      <c r="B1950" s="55"/>
      <c r="C1950" s="29"/>
      <c r="D1950" s="29"/>
      <c r="E1950" s="14"/>
      <c r="F1950" s="4"/>
    </row>
    <row r="1951">
      <c r="A1951" s="52"/>
      <c r="B1951" s="55"/>
      <c r="C1951" s="29"/>
      <c r="D1951" s="29"/>
      <c r="E1951" s="14"/>
      <c r="F1951" s="4"/>
    </row>
    <row r="1952">
      <c r="A1952" s="52"/>
      <c r="B1952" s="55"/>
      <c r="C1952" s="29"/>
      <c r="D1952" s="29"/>
      <c r="E1952" s="14"/>
      <c r="F1952" s="4"/>
    </row>
    <row r="1953">
      <c r="A1953" s="52"/>
      <c r="B1953" s="55"/>
      <c r="C1953" s="29"/>
      <c r="D1953" s="29"/>
      <c r="E1953" s="14"/>
      <c r="F1953" s="4"/>
    </row>
    <row r="1954">
      <c r="A1954" s="52"/>
      <c r="B1954" s="55"/>
      <c r="C1954" s="29"/>
      <c r="D1954" s="29"/>
      <c r="E1954" s="14"/>
      <c r="F1954" s="4"/>
    </row>
    <row r="1955">
      <c r="A1955" s="52"/>
      <c r="B1955" s="55"/>
      <c r="C1955" s="29"/>
      <c r="D1955" s="29"/>
      <c r="E1955" s="14"/>
      <c r="F1955" s="4"/>
    </row>
    <row r="1956">
      <c r="A1956" s="52"/>
      <c r="B1956" s="55"/>
      <c r="C1956" s="29"/>
      <c r="D1956" s="29"/>
      <c r="E1956" s="14"/>
      <c r="F1956" s="4"/>
    </row>
    <row r="1957">
      <c r="A1957" s="52"/>
      <c r="B1957" s="55"/>
      <c r="C1957" s="29"/>
      <c r="D1957" s="29"/>
      <c r="E1957" s="14"/>
      <c r="F1957" s="4"/>
    </row>
    <row r="1958">
      <c r="A1958" s="52"/>
      <c r="B1958" s="55"/>
      <c r="C1958" s="29"/>
      <c r="D1958" s="29"/>
      <c r="E1958" s="14"/>
      <c r="F1958" s="4"/>
    </row>
    <row r="1959">
      <c r="A1959" s="52"/>
      <c r="B1959" s="55"/>
      <c r="C1959" s="29"/>
      <c r="D1959" s="29"/>
      <c r="E1959" s="14"/>
      <c r="F1959" s="4"/>
    </row>
    <row r="1960">
      <c r="A1960" s="52"/>
      <c r="B1960" s="55"/>
      <c r="C1960" s="29"/>
      <c r="D1960" s="29"/>
      <c r="E1960" s="14"/>
      <c r="F1960" s="4"/>
    </row>
    <row r="1961">
      <c r="A1961" s="52"/>
      <c r="B1961" s="55"/>
      <c r="C1961" s="29"/>
      <c r="D1961" s="29"/>
      <c r="E1961" s="14"/>
      <c r="F1961" s="4"/>
    </row>
    <row r="1962">
      <c r="A1962" s="52"/>
      <c r="B1962" s="55"/>
      <c r="C1962" s="29"/>
      <c r="D1962" s="29"/>
      <c r="E1962" s="14"/>
      <c r="F1962" s="4"/>
    </row>
    <row r="1963">
      <c r="A1963" s="52"/>
      <c r="B1963" s="55"/>
      <c r="C1963" s="29"/>
      <c r="D1963" s="29"/>
      <c r="E1963" s="14"/>
      <c r="F1963" s="4"/>
    </row>
    <row r="1964">
      <c r="A1964" s="52"/>
      <c r="B1964" s="55"/>
      <c r="C1964" s="29"/>
      <c r="D1964" s="29"/>
      <c r="E1964" s="14"/>
      <c r="F1964" s="4"/>
    </row>
    <row r="1965">
      <c r="A1965" s="52"/>
      <c r="B1965" s="55"/>
      <c r="C1965" s="29"/>
      <c r="D1965" s="29"/>
      <c r="E1965" s="14"/>
      <c r="F1965" s="4"/>
    </row>
    <row r="1966">
      <c r="A1966" s="52"/>
      <c r="B1966" s="55"/>
      <c r="C1966" s="29"/>
      <c r="D1966" s="29"/>
      <c r="E1966" s="14"/>
      <c r="F1966" s="4"/>
    </row>
    <row r="1967">
      <c r="A1967" s="52"/>
      <c r="B1967" s="55"/>
      <c r="C1967" s="29"/>
      <c r="D1967" s="29"/>
      <c r="E1967" s="14"/>
      <c r="F1967" s="4"/>
    </row>
    <row r="1968">
      <c r="A1968" s="52"/>
      <c r="B1968" s="55"/>
      <c r="C1968" s="29"/>
      <c r="D1968" s="29"/>
      <c r="E1968" s="14"/>
      <c r="F1968" s="4"/>
    </row>
    <row r="1969">
      <c r="A1969" s="52"/>
      <c r="B1969" s="55"/>
      <c r="C1969" s="29"/>
      <c r="D1969" s="29"/>
      <c r="E1969" s="14"/>
      <c r="F1969" s="4"/>
    </row>
    <row r="1970">
      <c r="A1970" s="52"/>
      <c r="B1970" s="55"/>
      <c r="C1970" s="29"/>
      <c r="D1970" s="29"/>
      <c r="E1970" s="14"/>
      <c r="F1970" s="4"/>
    </row>
    <row r="1971">
      <c r="A1971" s="52"/>
      <c r="B1971" s="55"/>
      <c r="C1971" s="29"/>
      <c r="D1971" s="29"/>
      <c r="E1971" s="14"/>
      <c r="F1971" s="4"/>
    </row>
    <row r="1972">
      <c r="A1972" s="52"/>
      <c r="B1972" s="55"/>
      <c r="C1972" s="29"/>
      <c r="D1972" s="29"/>
      <c r="E1972" s="14"/>
      <c r="F1972" s="4"/>
    </row>
    <row r="1973">
      <c r="A1973" s="52"/>
      <c r="B1973" s="55"/>
      <c r="C1973" s="29"/>
      <c r="D1973" s="29"/>
      <c r="E1973" s="14"/>
      <c r="F1973" s="4"/>
    </row>
    <row r="1974">
      <c r="A1974" s="52"/>
      <c r="B1974" s="55"/>
      <c r="C1974" s="29"/>
      <c r="D1974" s="29"/>
      <c r="E1974" s="14"/>
      <c r="F1974" s="4"/>
    </row>
    <row r="1975">
      <c r="A1975" s="52"/>
      <c r="B1975" s="55"/>
      <c r="C1975" s="29"/>
      <c r="D1975" s="29"/>
      <c r="E1975" s="14"/>
      <c r="F1975" s="4"/>
    </row>
    <row r="1976">
      <c r="A1976" s="52"/>
      <c r="B1976" s="55"/>
      <c r="C1976" s="29"/>
      <c r="D1976" s="29"/>
      <c r="E1976" s="14"/>
      <c r="F1976" s="4"/>
    </row>
    <row r="1977">
      <c r="A1977" s="52"/>
      <c r="B1977" s="55"/>
      <c r="C1977" s="29"/>
      <c r="D1977" s="29"/>
      <c r="E1977" s="14"/>
      <c r="F1977" s="4"/>
    </row>
    <row r="1978">
      <c r="A1978" s="52"/>
      <c r="B1978" s="55"/>
      <c r="C1978" s="29"/>
      <c r="D1978" s="29"/>
      <c r="E1978" s="14"/>
      <c r="F1978" s="4"/>
    </row>
    <row r="1979">
      <c r="A1979" s="52"/>
      <c r="B1979" s="55"/>
      <c r="C1979" s="29"/>
      <c r="D1979" s="29"/>
      <c r="E1979" s="14"/>
      <c r="F1979" s="4"/>
    </row>
    <row r="1980">
      <c r="A1980" s="52"/>
      <c r="B1980" s="55"/>
      <c r="C1980" s="29"/>
      <c r="D1980" s="29"/>
      <c r="E1980" s="14"/>
      <c r="F1980" s="4"/>
    </row>
    <row r="1981">
      <c r="A1981" s="52"/>
      <c r="B1981" s="55"/>
      <c r="C1981" s="29"/>
      <c r="D1981" s="29"/>
      <c r="E1981" s="14"/>
      <c r="F1981" s="4"/>
    </row>
    <row r="1982">
      <c r="A1982" s="52"/>
      <c r="B1982" s="55"/>
      <c r="C1982" s="29"/>
      <c r="D1982" s="29"/>
      <c r="E1982" s="14"/>
      <c r="F1982" s="4"/>
    </row>
    <row r="1983">
      <c r="A1983" s="52"/>
      <c r="B1983" s="55"/>
      <c r="C1983" s="29"/>
      <c r="D1983" s="29"/>
      <c r="E1983" s="14"/>
      <c r="F1983" s="4"/>
    </row>
    <row r="1984">
      <c r="A1984" s="52"/>
      <c r="B1984" s="55"/>
      <c r="C1984" s="29"/>
      <c r="D1984" s="29"/>
      <c r="E1984" s="14"/>
      <c r="F1984" s="4"/>
    </row>
    <row r="1985">
      <c r="A1985" s="52"/>
      <c r="B1985" s="55"/>
      <c r="C1985" s="29"/>
      <c r="D1985" s="29"/>
      <c r="E1985" s="14"/>
      <c r="F1985" s="4"/>
    </row>
    <row r="1986">
      <c r="A1986" s="52"/>
      <c r="B1986" s="55"/>
      <c r="C1986" s="29"/>
      <c r="D1986" s="29"/>
      <c r="E1986" s="14"/>
      <c r="F1986" s="4"/>
    </row>
    <row r="1987">
      <c r="A1987" s="52"/>
      <c r="B1987" s="55"/>
      <c r="C1987" s="29"/>
      <c r="D1987" s="29"/>
      <c r="E1987" s="14"/>
      <c r="F1987" s="4"/>
    </row>
    <row r="1988">
      <c r="A1988" s="52"/>
      <c r="B1988" s="55"/>
      <c r="C1988" s="29"/>
      <c r="D1988" s="29"/>
      <c r="E1988" s="14"/>
      <c r="F1988" s="4"/>
    </row>
    <row r="1989">
      <c r="A1989" s="52"/>
      <c r="B1989" s="55"/>
      <c r="C1989" s="29"/>
      <c r="D1989" s="29"/>
      <c r="E1989" s="14"/>
      <c r="F1989" s="4"/>
    </row>
    <row r="1990">
      <c r="A1990" s="52"/>
      <c r="B1990" s="55"/>
      <c r="C1990" s="29"/>
      <c r="D1990" s="29"/>
      <c r="E1990" s="14"/>
      <c r="F1990" s="4"/>
    </row>
    <row r="1991">
      <c r="A1991" s="52"/>
      <c r="B1991" s="55"/>
      <c r="C1991" s="29"/>
      <c r="D1991" s="29"/>
      <c r="E1991" s="14"/>
      <c r="F1991" s="4"/>
    </row>
    <row r="1992">
      <c r="A1992" s="52"/>
      <c r="B1992" s="55"/>
      <c r="C1992" s="29"/>
      <c r="D1992" s="29"/>
      <c r="E1992" s="14"/>
      <c r="F1992" s="4"/>
    </row>
    <row r="1993">
      <c r="A1993" s="52"/>
      <c r="B1993" s="55"/>
      <c r="C1993" s="29"/>
      <c r="D1993" s="29"/>
      <c r="E1993" s="14"/>
      <c r="F1993" s="4"/>
    </row>
    <row r="1994">
      <c r="A1994" s="52"/>
      <c r="B1994" s="55"/>
      <c r="C1994" s="29"/>
      <c r="D1994" s="29"/>
      <c r="E1994" s="14"/>
      <c r="F1994" s="4"/>
    </row>
    <row r="1995">
      <c r="A1995" s="52"/>
      <c r="B1995" s="55"/>
      <c r="C1995" s="29"/>
      <c r="D1995" s="29"/>
      <c r="E1995" s="14"/>
      <c r="F1995" s="4"/>
    </row>
    <row r="1996">
      <c r="A1996" s="52"/>
      <c r="B1996" s="55"/>
      <c r="C1996" s="29"/>
      <c r="D1996" s="29"/>
      <c r="E1996" s="14"/>
      <c r="F1996" s="4"/>
    </row>
    <row r="1997">
      <c r="A1997" s="52"/>
      <c r="B1997" s="55"/>
      <c r="C1997" s="29"/>
      <c r="D1997" s="29"/>
      <c r="E1997" s="14"/>
      <c r="F1997" s="4"/>
    </row>
    <row r="1998">
      <c r="A1998" s="52"/>
      <c r="B1998" s="55"/>
      <c r="C1998" s="29"/>
      <c r="D1998" s="29"/>
      <c r="E1998" s="14"/>
      <c r="F1998" s="4"/>
    </row>
    <row r="1999">
      <c r="A1999" s="52"/>
      <c r="B1999" s="55"/>
      <c r="C1999" s="29"/>
      <c r="D1999" s="29"/>
      <c r="E1999" s="14"/>
      <c r="F1999" s="4"/>
    </row>
    <row r="2000">
      <c r="A2000" s="52"/>
      <c r="B2000" s="55"/>
      <c r="C2000" s="29"/>
      <c r="D2000" s="29"/>
      <c r="E2000" s="14"/>
      <c r="F2000" s="4"/>
    </row>
    <row r="2001">
      <c r="A2001" s="52"/>
      <c r="B2001" s="55"/>
      <c r="C2001" s="29"/>
      <c r="D2001" s="29"/>
      <c r="E2001" s="14"/>
      <c r="F2001" s="4"/>
    </row>
    <row r="2002">
      <c r="A2002" s="52"/>
      <c r="B2002" s="55"/>
      <c r="C2002" s="29"/>
      <c r="D2002" s="29"/>
      <c r="E2002" s="14"/>
      <c r="F2002" s="4"/>
    </row>
    <row r="2003">
      <c r="A2003" s="52"/>
      <c r="B2003" s="55"/>
      <c r="C2003" s="29"/>
      <c r="D2003" s="29"/>
      <c r="E2003" s="14"/>
      <c r="F2003" s="4"/>
    </row>
    <row r="2004">
      <c r="A2004" s="52"/>
      <c r="B2004" s="55"/>
      <c r="C2004" s="29"/>
      <c r="D2004" s="29"/>
      <c r="E2004" s="14"/>
      <c r="F2004" s="4"/>
    </row>
    <row r="2005">
      <c r="A2005" s="52"/>
      <c r="B2005" s="55"/>
      <c r="C2005" s="29"/>
      <c r="D2005" s="29"/>
      <c r="E2005" s="14"/>
      <c r="F2005" s="4"/>
    </row>
    <row r="2006">
      <c r="A2006" s="52"/>
      <c r="B2006" s="55"/>
      <c r="C2006" s="29"/>
      <c r="D2006" s="29"/>
      <c r="E2006" s="14"/>
      <c r="F2006" s="4"/>
    </row>
    <row r="2007">
      <c r="A2007" s="52"/>
      <c r="B2007" s="55"/>
      <c r="C2007" s="29"/>
      <c r="D2007" s="29"/>
      <c r="E2007" s="14"/>
      <c r="F2007" s="4"/>
    </row>
    <row r="2008">
      <c r="A2008" s="52"/>
      <c r="B2008" s="55"/>
      <c r="C2008" s="29"/>
      <c r="D2008" s="29"/>
      <c r="E2008" s="14"/>
      <c r="F2008" s="4"/>
    </row>
  </sheetData>
  <dataValidations>
    <dataValidation type="list" allowBlank="1" showErrorMessage="1" sqref="C2:C2008">
      <formula1>"Ebay (warehouse_101),Ebay (tekp07)"</formula1>
    </dataValidation>
    <dataValidation type="list" allowBlank="1" showErrorMessage="1" sqref="D2:D2008">
      <formula1>"MEMPHIS,NASHVILLE,CHATTANOOGA,TALLAHASSEE,ATLANTA,KNOXVILLE,RALEIGH"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13"/>
    <col customWidth="1" min="4" max="4" width="14.75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1">
        <v>46132.0</v>
      </c>
      <c r="B2" s="12" t="s">
        <v>10</v>
      </c>
      <c r="C2" s="13" t="s">
        <v>9</v>
      </c>
      <c r="D2" s="13" t="s">
        <v>18</v>
      </c>
      <c r="E2" s="18">
        <v>30.92</v>
      </c>
      <c r="F2" s="12">
        <v>1.0</v>
      </c>
    </row>
    <row r="3">
      <c r="A3" s="11">
        <v>46132.0</v>
      </c>
      <c r="B3" s="12" t="s">
        <v>23</v>
      </c>
      <c r="C3" s="13" t="s">
        <v>8</v>
      </c>
      <c r="D3" s="13" t="s">
        <v>18</v>
      </c>
      <c r="E3" s="18">
        <v>18.92</v>
      </c>
      <c r="F3" s="12">
        <v>1.0</v>
      </c>
    </row>
    <row r="4">
      <c r="A4" s="11">
        <v>46132.0</v>
      </c>
      <c r="B4" s="12">
        <v>5.304529495E9</v>
      </c>
      <c r="C4" s="13" t="s">
        <v>9</v>
      </c>
      <c r="D4" s="13" t="s">
        <v>18</v>
      </c>
      <c r="E4" s="18">
        <v>42.92</v>
      </c>
      <c r="F4" s="12">
        <v>1.0</v>
      </c>
    </row>
    <row r="5">
      <c r="A5" s="11">
        <v>46132.0</v>
      </c>
      <c r="B5" s="12" t="s">
        <v>26</v>
      </c>
      <c r="C5" s="13" t="s">
        <v>9</v>
      </c>
      <c r="D5" s="13" t="s">
        <v>18</v>
      </c>
      <c r="E5" s="18">
        <v>27.92</v>
      </c>
      <c r="F5" s="12">
        <v>1.0</v>
      </c>
    </row>
    <row r="6">
      <c r="A6" s="11">
        <v>46132.0</v>
      </c>
      <c r="B6" s="12" t="s">
        <v>30</v>
      </c>
      <c r="C6" s="13" t="s">
        <v>9</v>
      </c>
      <c r="D6" s="13" t="s">
        <v>18</v>
      </c>
      <c r="E6" s="18">
        <v>19.92</v>
      </c>
      <c r="F6" s="12">
        <v>1.0</v>
      </c>
    </row>
    <row r="7">
      <c r="A7" s="11">
        <v>46132.0</v>
      </c>
      <c r="B7" s="12" t="s">
        <v>33</v>
      </c>
      <c r="C7" s="13" t="s">
        <v>9</v>
      </c>
      <c r="D7" s="13" t="s">
        <v>18</v>
      </c>
      <c r="E7" s="18">
        <v>38.92</v>
      </c>
      <c r="F7" s="12">
        <v>1.0</v>
      </c>
    </row>
    <row r="8">
      <c r="A8" s="11">
        <v>46132.0</v>
      </c>
      <c r="B8" s="12" t="s">
        <v>36</v>
      </c>
      <c r="C8" s="13" t="s">
        <v>9</v>
      </c>
      <c r="D8" s="13" t="s">
        <v>18</v>
      </c>
      <c r="E8" s="18">
        <v>28.92</v>
      </c>
      <c r="F8" s="12">
        <v>1.0</v>
      </c>
    </row>
    <row r="9">
      <c r="A9" s="11">
        <v>46132.0</v>
      </c>
      <c r="B9" s="12" t="s">
        <v>39</v>
      </c>
      <c r="C9" s="13" t="s">
        <v>9</v>
      </c>
      <c r="D9" s="13" t="s">
        <v>18</v>
      </c>
      <c r="E9" s="18">
        <v>66.92</v>
      </c>
      <c r="F9" s="12">
        <v>1.0</v>
      </c>
    </row>
    <row r="10">
      <c r="A10" s="11">
        <v>46132.0</v>
      </c>
      <c r="B10" s="12" t="s">
        <v>42</v>
      </c>
      <c r="C10" s="13" t="s">
        <v>9</v>
      </c>
      <c r="D10" s="13" t="s">
        <v>18</v>
      </c>
      <c r="E10" s="18">
        <v>63.92</v>
      </c>
      <c r="F10" s="12">
        <v>1.0</v>
      </c>
    </row>
    <row r="11">
      <c r="A11" s="11">
        <v>46132.0</v>
      </c>
      <c r="B11" s="12" t="s">
        <v>45</v>
      </c>
      <c r="C11" s="13" t="s">
        <v>9</v>
      </c>
      <c r="D11" s="13" t="s">
        <v>18</v>
      </c>
      <c r="E11" s="18">
        <v>29.92</v>
      </c>
      <c r="F11" s="12">
        <v>1.0</v>
      </c>
    </row>
    <row r="12">
      <c r="A12" s="26"/>
      <c r="B12" s="28"/>
      <c r="C12" s="26"/>
      <c r="D12" s="26"/>
      <c r="E12" s="26"/>
      <c r="F12" s="26"/>
    </row>
    <row r="13">
      <c r="A13" s="30">
        <v>46133.0</v>
      </c>
      <c r="B13" s="31" t="s">
        <v>51</v>
      </c>
      <c r="C13" s="33" t="s">
        <v>8</v>
      </c>
      <c r="D13" s="33" t="s">
        <v>18</v>
      </c>
      <c r="E13" s="34">
        <v>17.92</v>
      </c>
      <c r="F13" s="31">
        <v>1.0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30">
        <v>46133.0</v>
      </c>
      <c r="B14" s="31" t="s">
        <v>61</v>
      </c>
      <c r="C14" s="33" t="s">
        <v>8</v>
      </c>
      <c r="D14" s="33" t="s">
        <v>18</v>
      </c>
      <c r="E14" s="18">
        <v>73.92</v>
      </c>
      <c r="F14" s="31">
        <v>1.0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30">
        <v>46133.0</v>
      </c>
      <c r="B15" s="12" t="s">
        <v>67</v>
      </c>
      <c r="C15" s="13" t="s">
        <v>9</v>
      </c>
      <c r="D15" s="13" t="s">
        <v>18</v>
      </c>
      <c r="E15" s="18">
        <v>91.92</v>
      </c>
      <c r="F15" s="12">
        <v>1.0</v>
      </c>
    </row>
    <row r="16">
      <c r="A16" s="30">
        <v>46133.0</v>
      </c>
      <c r="B16" s="12" t="s">
        <v>69</v>
      </c>
      <c r="C16" s="13" t="s">
        <v>8</v>
      </c>
      <c r="D16" s="13" t="s">
        <v>18</v>
      </c>
      <c r="E16" s="18">
        <v>115.92</v>
      </c>
      <c r="F16" s="12">
        <v>2.0</v>
      </c>
    </row>
    <row r="17">
      <c r="A17" s="30">
        <v>46133.0</v>
      </c>
      <c r="B17" s="12">
        <v>5.30452991E9</v>
      </c>
      <c r="C17" s="13" t="s">
        <v>9</v>
      </c>
      <c r="D17" s="13" t="s">
        <v>18</v>
      </c>
      <c r="E17" s="18">
        <v>182.92</v>
      </c>
      <c r="F17" s="12">
        <v>1.0</v>
      </c>
    </row>
    <row r="18">
      <c r="A18" s="30">
        <v>46133.0</v>
      </c>
      <c r="B18" s="12" t="s">
        <v>73</v>
      </c>
      <c r="C18" s="13" t="s">
        <v>9</v>
      </c>
      <c r="D18" s="13" t="s">
        <v>18</v>
      </c>
      <c r="E18" s="18">
        <v>240.92</v>
      </c>
      <c r="F18" s="12">
        <v>1.0</v>
      </c>
    </row>
    <row r="19">
      <c r="A19" s="30">
        <v>46133.0</v>
      </c>
      <c r="B19" s="12" t="s">
        <v>75</v>
      </c>
      <c r="C19" s="13" t="s">
        <v>9</v>
      </c>
      <c r="D19" s="13" t="s">
        <v>18</v>
      </c>
      <c r="E19" s="18">
        <v>70.92</v>
      </c>
      <c r="F19" s="12">
        <v>1.0</v>
      </c>
    </row>
    <row r="20">
      <c r="A20" s="30">
        <v>46133.0</v>
      </c>
      <c r="B20" s="12" t="s">
        <v>78</v>
      </c>
      <c r="C20" s="13" t="s">
        <v>8</v>
      </c>
      <c r="D20" s="13" t="s">
        <v>18</v>
      </c>
      <c r="E20" s="18">
        <v>45.92</v>
      </c>
      <c r="F20" s="12">
        <v>1.0</v>
      </c>
    </row>
    <row r="21">
      <c r="A21" s="30">
        <v>46133.0</v>
      </c>
      <c r="B21" s="12">
        <v>5.304534551E9</v>
      </c>
      <c r="C21" s="13" t="s">
        <v>9</v>
      </c>
      <c r="D21" s="13" t="s">
        <v>18</v>
      </c>
      <c r="E21" s="18">
        <v>82.92</v>
      </c>
      <c r="F21" s="12">
        <v>1.0</v>
      </c>
    </row>
    <row r="22">
      <c r="A22" s="30">
        <v>46133.0</v>
      </c>
      <c r="B22" s="12">
        <v>5.304538618E9</v>
      </c>
      <c r="C22" s="13" t="s">
        <v>9</v>
      </c>
      <c r="D22" s="13" t="s">
        <v>18</v>
      </c>
      <c r="E22" s="18">
        <v>70.92</v>
      </c>
      <c r="F22" s="12">
        <v>1.0</v>
      </c>
    </row>
    <row r="23">
      <c r="A23" s="30">
        <v>46133.0</v>
      </c>
      <c r="B23" s="12">
        <v>5.304527039E9</v>
      </c>
      <c r="C23" s="13" t="s">
        <v>9</v>
      </c>
      <c r="D23" s="13" t="s">
        <v>18</v>
      </c>
      <c r="E23" s="18">
        <v>39.92</v>
      </c>
      <c r="F23" s="12">
        <v>1.0</v>
      </c>
    </row>
    <row r="24">
      <c r="A24" s="30">
        <v>46133.0</v>
      </c>
      <c r="B24" s="12">
        <v>5.304535924E9</v>
      </c>
      <c r="C24" s="13" t="s">
        <v>9</v>
      </c>
      <c r="D24" s="13" t="s">
        <v>18</v>
      </c>
      <c r="E24" s="18">
        <v>94.92</v>
      </c>
      <c r="F24" s="12">
        <v>1.0</v>
      </c>
    </row>
    <row r="25">
      <c r="A25" s="30">
        <v>46133.0</v>
      </c>
      <c r="B25" s="12" t="s">
        <v>85</v>
      </c>
      <c r="C25" s="13" t="s">
        <v>9</v>
      </c>
      <c r="D25" s="13" t="s">
        <v>18</v>
      </c>
      <c r="E25" s="18">
        <v>108.92</v>
      </c>
      <c r="F25" s="12">
        <v>1.0</v>
      </c>
    </row>
    <row r="26">
      <c r="A26" s="30">
        <v>46133.0</v>
      </c>
      <c r="B26" s="12" t="s">
        <v>88</v>
      </c>
      <c r="C26" s="13" t="s">
        <v>9</v>
      </c>
      <c r="D26" s="13" t="s">
        <v>18</v>
      </c>
      <c r="E26" s="18">
        <v>40.92</v>
      </c>
      <c r="F26" s="12">
        <v>1.0</v>
      </c>
    </row>
    <row r="27">
      <c r="A27" s="30">
        <v>46133.0</v>
      </c>
      <c r="B27" s="12" t="s">
        <v>91</v>
      </c>
      <c r="C27" s="13" t="s">
        <v>9</v>
      </c>
      <c r="D27" s="13" t="s">
        <v>18</v>
      </c>
      <c r="E27" s="18">
        <v>220.92</v>
      </c>
      <c r="F27" s="12">
        <v>1.0</v>
      </c>
    </row>
    <row r="28">
      <c r="A28" s="30">
        <v>46133.0</v>
      </c>
      <c r="B28" s="12">
        <v>2.43297613E8</v>
      </c>
      <c r="C28" s="13" t="s">
        <v>9</v>
      </c>
      <c r="D28" s="13" t="s">
        <v>18</v>
      </c>
      <c r="E28" s="18">
        <v>40.92</v>
      </c>
      <c r="F28" s="12">
        <v>2.0</v>
      </c>
    </row>
    <row r="29">
      <c r="A29" s="30">
        <v>46133.0</v>
      </c>
      <c r="B29" s="12">
        <v>5.30453682E9</v>
      </c>
      <c r="C29" s="13" t="s">
        <v>9</v>
      </c>
      <c r="D29" s="13" t="s">
        <v>18</v>
      </c>
      <c r="E29" s="18">
        <v>73.92</v>
      </c>
      <c r="F29" s="12">
        <v>1.0</v>
      </c>
    </row>
    <row r="30">
      <c r="A30" s="30">
        <v>46133.0</v>
      </c>
      <c r="B30" s="12">
        <v>5.304535289E9</v>
      </c>
      <c r="C30" s="13" t="s">
        <v>9</v>
      </c>
      <c r="D30" s="13" t="s">
        <v>18</v>
      </c>
      <c r="E30" s="18">
        <v>162.92</v>
      </c>
      <c r="F30" s="12">
        <v>1.0</v>
      </c>
    </row>
    <row r="31">
      <c r="A31" s="30">
        <v>46133.0</v>
      </c>
      <c r="B31" s="12">
        <v>5.304532555E9</v>
      </c>
      <c r="C31" s="13" t="s">
        <v>9</v>
      </c>
      <c r="D31" s="13" t="s">
        <v>18</v>
      </c>
      <c r="E31" s="18">
        <v>37.92</v>
      </c>
      <c r="F31" s="12">
        <v>1.0</v>
      </c>
    </row>
    <row r="32">
      <c r="A32" s="30">
        <v>46133.0</v>
      </c>
      <c r="B32" s="47">
        <v>2.43297608E8</v>
      </c>
      <c r="C32" s="13" t="s">
        <v>9</v>
      </c>
      <c r="D32" s="13" t="s">
        <v>18</v>
      </c>
      <c r="E32" s="18">
        <v>65.92</v>
      </c>
      <c r="F32" s="12">
        <v>1.0</v>
      </c>
    </row>
    <row r="33">
      <c r="A33" s="30">
        <v>46133.0</v>
      </c>
      <c r="B33" s="47">
        <v>5.304531113E9</v>
      </c>
      <c r="C33" s="13" t="s">
        <v>9</v>
      </c>
      <c r="D33" s="13" t="s">
        <v>18</v>
      </c>
      <c r="E33" s="18">
        <v>114.92</v>
      </c>
      <c r="F33" s="12">
        <v>1.0</v>
      </c>
    </row>
    <row r="34">
      <c r="A34" s="30">
        <v>46133.0</v>
      </c>
      <c r="B34" s="47">
        <v>5.304524452E9</v>
      </c>
      <c r="C34" s="13" t="s">
        <v>9</v>
      </c>
      <c r="D34" s="13" t="s">
        <v>18</v>
      </c>
      <c r="E34" s="18">
        <v>44.92</v>
      </c>
      <c r="F34" s="12">
        <v>1.0</v>
      </c>
    </row>
    <row r="35">
      <c r="A35" s="30">
        <v>46133.0</v>
      </c>
      <c r="B35" s="47" t="s">
        <v>109</v>
      </c>
      <c r="C35" s="13" t="s">
        <v>9</v>
      </c>
      <c r="D35" s="13" t="s">
        <v>18</v>
      </c>
      <c r="E35" s="18">
        <v>85.92</v>
      </c>
      <c r="F35" s="12">
        <v>1.0</v>
      </c>
    </row>
    <row r="36">
      <c r="A36" s="30">
        <v>46133.0</v>
      </c>
      <c r="B36" s="47" t="s">
        <v>112</v>
      </c>
      <c r="C36" s="13" t="s">
        <v>9</v>
      </c>
      <c r="D36" s="13" t="s">
        <v>18</v>
      </c>
      <c r="E36" s="18">
        <v>60.92</v>
      </c>
      <c r="F36" s="12">
        <v>1.0</v>
      </c>
    </row>
    <row r="37">
      <c r="A37" s="30">
        <v>46133.0</v>
      </c>
      <c r="B37" s="47" t="s">
        <v>115</v>
      </c>
      <c r="C37" s="13" t="s">
        <v>9</v>
      </c>
      <c r="D37" s="13" t="s">
        <v>18</v>
      </c>
      <c r="E37" s="18">
        <v>34.92</v>
      </c>
      <c r="F37" s="12">
        <v>1.0</v>
      </c>
    </row>
    <row r="38">
      <c r="A38" s="30">
        <v>46133.0</v>
      </c>
      <c r="B38" s="47">
        <v>1.40137975102E11</v>
      </c>
      <c r="C38" s="13" t="s">
        <v>9</v>
      </c>
      <c r="D38" s="13" t="s">
        <v>18</v>
      </c>
      <c r="E38" s="18">
        <v>30.92</v>
      </c>
      <c r="F38" s="12">
        <v>1.0</v>
      </c>
    </row>
    <row r="39">
      <c r="A39" s="30">
        <v>46133.0</v>
      </c>
      <c r="B39" s="47" t="s">
        <v>121</v>
      </c>
      <c r="C39" s="13" t="s">
        <v>9</v>
      </c>
      <c r="D39" s="13" t="s">
        <v>18</v>
      </c>
      <c r="E39" s="18">
        <v>175.92</v>
      </c>
      <c r="F39" s="12">
        <v>1.0</v>
      </c>
    </row>
    <row r="40">
      <c r="A40" s="30">
        <v>46133.0</v>
      </c>
      <c r="B40" s="47" t="s">
        <v>125</v>
      </c>
      <c r="C40" s="13" t="s">
        <v>9</v>
      </c>
      <c r="D40" s="13" t="s">
        <v>18</v>
      </c>
      <c r="E40" s="18">
        <v>121.92</v>
      </c>
      <c r="F40" s="12">
        <v>1.0</v>
      </c>
    </row>
    <row r="41">
      <c r="A41" s="30">
        <v>46133.0</v>
      </c>
      <c r="B41" s="47" t="s">
        <v>127</v>
      </c>
      <c r="C41" s="13" t="s">
        <v>9</v>
      </c>
      <c r="D41" s="13" t="s">
        <v>18</v>
      </c>
      <c r="E41" s="18">
        <v>118.92</v>
      </c>
      <c r="F41" s="12">
        <v>1.0</v>
      </c>
    </row>
    <row r="42">
      <c r="A42" s="30">
        <v>46133.0</v>
      </c>
      <c r="B42" s="47" t="s">
        <v>130</v>
      </c>
      <c r="C42" s="13" t="s">
        <v>9</v>
      </c>
      <c r="D42" s="13" t="s">
        <v>18</v>
      </c>
      <c r="E42" s="18">
        <v>30.92</v>
      </c>
      <c r="F42" s="12">
        <v>1.0</v>
      </c>
    </row>
    <row r="43">
      <c r="A43" s="30">
        <v>46133.0</v>
      </c>
      <c r="B43" s="47" t="s">
        <v>133</v>
      </c>
      <c r="C43" s="13" t="s">
        <v>9</v>
      </c>
      <c r="D43" s="13" t="s">
        <v>18</v>
      </c>
      <c r="E43" s="18">
        <v>193.92</v>
      </c>
      <c r="F43" s="12">
        <v>1.0</v>
      </c>
    </row>
    <row r="44">
      <c r="A44" s="30">
        <v>46133.0</v>
      </c>
      <c r="B44" s="47">
        <v>5.304532179E9</v>
      </c>
      <c r="C44" s="13" t="s">
        <v>9</v>
      </c>
      <c r="D44" s="13" t="s">
        <v>18</v>
      </c>
      <c r="E44" s="18">
        <v>94.92</v>
      </c>
      <c r="F44" s="12">
        <v>1.0</v>
      </c>
    </row>
    <row r="45">
      <c r="A45" s="28"/>
      <c r="B45" s="28"/>
      <c r="C45" s="26"/>
      <c r="D45" s="26"/>
      <c r="E45" s="26"/>
      <c r="F45" s="50"/>
      <c r="G45" s="51"/>
      <c r="H45" s="51"/>
      <c r="I45" s="51"/>
      <c r="J45" s="51"/>
    </row>
    <row r="46">
      <c r="A46" s="30">
        <v>46134.0</v>
      </c>
      <c r="B46" s="47" t="s">
        <v>141</v>
      </c>
      <c r="C46" s="13" t="s">
        <v>9</v>
      </c>
      <c r="D46" s="13" t="s">
        <v>18</v>
      </c>
      <c r="E46" s="18">
        <v>21.92</v>
      </c>
      <c r="F46" s="12">
        <v>7.0</v>
      </c>
    </row>
    <row r="47">
      <c r="A47" s="30">
        <v>46134.0</v>
      </c>
      <c r="B47" s="47" t="s">
        <v>144</v>
      </c>
      <c r="C47" s="13" t="s">
        <v>9</v>
      </c>
      <c r="D47" s="13" t="s">
        <v>18</v>
      </c>
      <c r="E47" s="18">
        <v>19.92</v>
      </c>
      <c r="F47" s="12">
        <v>1.0</v>
      </c>
    </row>
    <row r="48">
      <c r="A48" s="30">
        <v>46134.0</v>
      </c>
      <c r="B48" s="47" t="s">
        <v>145</v>
      </c>
      <c r="C48" s="13" t="s">
        <v>9</v>
      </c>
      <c r="D48" s="13" t="s">
        <v>18</v>
      </c>
      <c r="E48" s="18">
        <v>36.92</v>
      </c>
      <c r="F48" s="12">
        <v>2.0</v>
      </c>
    </row>
    <row r="49">
      <c r="A49" s="30">
        <v>46134.0</v>
      </c>
      <c r="B49" s="47" t="s">
        <v>148</v>
      </c>
      <c r="C49" s="13" t="s">
        <v>9</v>
      </c>
      <c r="D49" s="13" t="s">
        <v>18</v>
      </c>
      <c r="E49" s="18">
        <v>25.92</v>
      </c>
      <c r="F49" s="12">
        <v>1.0</v>
      </c>
    </row>
    <row r="50">
      <c r="A50" s="30">
        <v>46134.0</v>
      </c>
      <c r="B50" s="47" t="s">
        <v>151</v>
      </c>
      <c r="C50" s="13" t="s">
        <v>9</v>
      </c>
      <c r="D50" s="13" t="s">
        <v>18</v>
      </c>
      <c r="E50" s="18">
        <v>34.92</v>
      </c>
      <c r="F50" s="12">
        <v>1.0</v>
      </c>
    </row>
    <row r="51">
      <c r="A51" s="30">
        <v>46134.0</v>
      </c>
      <c r="B51" s="47" t="s">
        <v>154</v>
      </c>
      <c r="C51" s="13" t="s">
        <v>9</v>
      </c>
      <c r="D51" s="13" t="s">
        <v>18</v>
      </c>
      <c r="E51" s="18">
        <v>124.92</v>
      </c>
      <c r="F51" s="12">
        <v>1.0</v>
      </c>
    </row>
    <row r="52">
      <c r="A52" s="30">
        <v>46134.0</v>
      </c>
      <c r="B52" s="47" t="s">
        <v>157</v>
      </c>
      <c r="C52" s="13" t="s">
        <v>9</v>
      </c>
      <c r="D52" s="13" t="s">
        <v>18</v>
      </c>
      <c r="E52" s="18">
        <v>13.92</v>
      </c>
      <c r="F52" s="12">
        <v>4.0</v>
      </c>
    </row>
    <row r="53">
      <c r="A53" s="30">
        <v>46134.0</v>
      </c>
      <c r="B53" s="47" t="s">
        <v>159</v>
      </c>
      <c r="C53" s="13" t="s">
        <v>9</v>
      </c>
      <c r="D53" s="13" t="s">
        <v>18</v>
      </c>
      <c r="E53" s="18">
        <v>23.92</v>
      </c>
      <c r="F53" s="12">
        <v>1.0</v>
      </c>
    </row>
    <row r="54">
      <c r="A54" s="30">
        <v>46134.0</v>
      </c>
      <c r="B54" s="47">
        <v>5.30452233E9</v>
      </c>
      <c r="C54" s="13" t="s">
        <v>9</v>
      </c>
      <c r="D54" s="13" t="s">
        <v>18</v>
      </c>
      <c r="E54" s="18">
        <v>20.92</v>
      </c>
      <c r="F54" s="12">
        <v>1.0</v>
      </c>
    </row>
    <row r="55">
      <c r="A55" s="30">
        <v>46134.0</v>
      </c>
      <c r="B55" s="47" t="s">
        <v>163</v>
      </c>
      <c r="C55" s="13" t="s">
        <v>9</v>
      </c>
      <c r="D55" s="13" t="s">
        <v>18</v>
      </c>
      <c r="E55" s="18">
        <v>20.92</v>
      </c>
      <c r="F55" s="12">
        <v>1.0</v>
      </c>
    </row>
    <row r="56">
      <c r="A56" s="30">
        <v>46134.0</v>
      </c>
      <c r="B56" s="47" t="s">
        <v>166</v>
      </c>
      <c r="C56" s="13" t="s">
        <v>9</v>
      </c>
      <c r="D56" s="13" t="s">
        <v>18</v>
      </c>
      <c r="E56" s="18">
        <v>20.92</v>
      </c>
      <c r="F56" s="12">
        <v>1.0</v>
      </c>
    </row>
    <row r="57">
      <c r="A57" s="30">
        <v>46134.0</v>
      </c>
      <c r="B57" s="47" t="s">
        <v>169</v>
      </c>
      <c r="C57" s="13" t="s">
        <v>9</v>
      </c>
      <c r="D57" s="13" t="s">
        <v>18</v>
      </c>
      <c r="E57" s="18">
        <v>11.92</v>
      </c>
      <c r="F57" s="12">
        <v>1.0</v>
      </c>
    </row>
    <row r="58">
      <c r="A58" s="30">
        <v>46134.0</v>
      </c>
      <c r="B58" s="47" t="s">
        <v>172</v>
      </c>
      <c r="C58" s="13" t="s">
        <v>9</v>
      </c>
      <c r="D58" s="13" t="s">
        <v>18</v>
      </c>
      <c r="E58" s="18">
        <v>12.92</v>
      </c>
      <c r="F58" s="12">
        <v>1.0</v>
      </c>
    </row>
    <row r="59">
      <c r="A59" s="30">
        <v>46134.0</v>
      </c>
      <c r="B59" s="47" t="s">
        <v>176</v>
      </c>
      <c r="C59" s="13" t="s">
        <v>9</v>
      </c>
      <c r="D59" s="13" t="s">
        <v>18</v>
      </c>
      <c r="E59" s="18">
        <v>17.92</v>
      </c>
      <c r="F59" s="12">
        <v>1.0</v>
      </c>
    </row>
    <row r="60">
      <c r="A60" s="30">
        <v>46134.0</v>
      </c>
      <c r="B60" s="47" t="s">
        <v>178</v>
      </c>
      <c r="C60" s="13" t="s">
        <v>9</v>
      </c>
      <c r="D60" s="13" t="s">
        <v>18</v>
      </c>
      <c r="E60" s="18">
        <v>95.92</v>
      </c>
      <c r="F60" s="12">
        <v>1.0</v>
      </c>
    </row>
    <row r="61">
      <c r="A61" s="30">
        <v>46134.0</v>
      </c>
      <c r="B61" s="47" t="s">
        <v>181</v>
      </c>
      <c r="C61" s="13" t="s">
        <v>9</v>
      </c>
      <c r="D61" s="13" t="s">
        <v>18</v>
      </c>
      <c r="E61" s="18">
        <v>34.92</v>
      </c>
      <c r="F61" s="12">
        <v>1.0</v>
      </c>
    </row>
    <row r="62">
      <c r="A62" s="30">
        <v>46134.0</v>
      </c>
      <c r="B62" s="47" t="s">
        <v>183</v>
      </c>
      <c r="C62" s="13" t="s">
        <v>9</v>
      </c>
      <c r="D62" s="13" t="s">
        <v>18</v>
      </c>
      <c r="E62" s="18">
        <v>91.92</v>
      </c>
      <c r="F62" s="12">
        <v>1.0</v>
      </c>
    </row>
    <row r="63">
      <c r="A63" s="30">
        <v>46134.0</v>
      </c>
      <c r="B63" s="47" t="s">
        <v>186</v>
      </c>
      <c r="C63" s="13" t="s">
        <v>9</v>
      </c>
      <c r="D63" s="13" t="s">
        <v>18</v>
      </c>
      <c r="E63" s="18">
        <v>31.92</v>
      </c>
      <c r="F63" s="12">
        <v>1.0</v>
      </c>
    </row>
    <row r="64">
      <c r="A64" s="30">
        <v>46134.0</v>
      </c>
      <c r="B64" s="47" t="s">
        <v>189</v>
      </c>
      <c r="C64" s="13" t="s">
        <v>9</v>
      </c>
      <c r="D64" s="13" t="s">
        <v>18</v>
      </c>
      <c r="E64" s="18">
        <v>16.92</v>
      </c>
      <c r="F64" s="12">
        <v>1.0</v>
      </c>
    </row>
    <row r="65">
      <c r="A65" s="30">
        <v>46134.0</v>
      </c>
      <c r="B65" s="47" t="s">
        <v>191</v>
      </c>
      <c r="C65" s="13" t="s">
        <v>9</v>
      </c>
      <c r="D65" s="13" t="s">
        <v>18</v>
      </c>
      <c r="E65" s="18">
        <v>75.92</v>
      </c>
      <c r="F65" s="12">
        <v>1.0</v>
      </c>
    </row>
    <row r="66">
      <c r="A66" s="30">
        <v>46134.0</v>
      </c>
      <c r="B66" s="47" t="s">
        <v>194</v>
      </c>
      <c r="C66" s="13" t="s">
        <v>9</v>
      </c>
      <c r="D66" s="13" t="s">
        <v>18</v>
      </c>
      <c r="E66" s="18">
        <v>189.92</v>
      </c>
      <c r="F66" s="12">
        <v>1.0</v>
      </c>
    </row>
    <row r="67">
      <c r="A67" s="30">
        <v>46134.0</v>
      </c>
      <c r="B67" s="47" t="s">
        <v>197</v>
      </c>
      <c r="C67" s="13" t="s">
        <v>9</v>
      </c>
      <c r="D67" s="13" t="s">
        <v>18</v>
      </c>
      <c r="E67" s="18">
        <v>25.92</v>
      </c>
      <c r="F67" s="12">
        <v>1.0</v>
      </c>
    </row>
    <row r="68">
      <c r="A68" s="30">
        <v>46134.0</v>
      </c>
      <c r="B68" s="47" t="s">
        <v>199</v>
      </c>
      <c r="C68" s="13" t="s">
        <v>9</v>
      </c>
      <c r="D68" s="13" t="s">
        <v>18</v>
      </c>
      <c r="E68" s="18">
        <v>99.92</v>
      </c>
      <c r="F68" s="12">
        <v>1.0</v>
      </c>
    </row>
    <row r="69">
      <c r="A69" s="30">
        <v>46134.0</v>
      </c>
      <c r="B69" s="47">
        <v>5.304534886E9</v>
      </c>
      <c r="C69" s="13" t="s">
        <v>9</v>
      </c>
      <c r="D69" s="13" t="s">
        <v>18</v>
      </c>
      <c r="E69" s="18">
        <v>19.92</v>
      </c>
      <c r="F69" s="12">
        <v>1.0</v>
      </c>
    </row>
    <row r="70">
      <c r="A70" s="30">
        <v>46134.0</v>
      </c>
      <c r="B70" s="47">
        <v>5.304529549E9</v>
      </c>
      <c r="C70" s="13" t="s">
        <v>9</v>
      </c>
      <c r="D70" s="13" t="s">
        <v>18</v>
      </c>
      <c r="E70" s="18">
        <v>32.92</v>
      </c>
      <c r="F70" s="12">
        <v>1.0</v>
      </c>
    </row>
    <row r="71">
      <c r="A71" s="30">
        <v>46134.0</v>
      </c>
      <c r="B71" s="47">
        <v>5.304535282E9</v>
      </c>
      <c r="C71" s="13" t="s">
        <v>9</v>
      </c>
      <c r="D71" s="13" t="s">
        <v>18</v>
      </c>
      <c r="E71" s="18">
        <v>32.92</v>
      </c>
      <c r="F71" s="12">
        <v>1.0</v>
      </c>
    </row>
    <row r="72">
      <c r="A72" s="30">
        <v>46134.0</v>
      </c>
      <c r="B72" s="47">
        <v>2.41850624E8</v>
      </c>
      <c r="C72" s="13" t="s">
        <v>9</v>
      </c>
      <c r="D72" s="13" t="s">
        <v>18</v>
      </c>
      <c r="E72" s="18">
        <v>18.92</v>
      </c>
      <c r="F72" s="12">
        <v>1.0</v>
      </c>
    </row>
    <row r="73">
      <c r="A73" s="30">
        <v>46134.0</v>
      </c>
      <c r="B73" s="47" t="s">
        <v>207</v>
      </c>
      <c r="C73" s="13" t="s">
        <v>9</v>
      </c>
      <c r="D73" s="13" t="s">
        <v>18</v>
      </c>
      <c r="E73" s="18">
        <v>20.92</v>
      </c>
      <c r="F73" s="12">
        <v>1.0</v>
      </c>
    </row>
    <row r="74">
      <c r="A74" s="30">
        <v>46134.0</v>
      </c>
      <c r="B74" s="47">
        <v>2.41830905E8</v>
      </c>
      <c r="C74" s="13" t="s">
        <v>9</v>
      </c>
      <c r="D74" s="13" t="s">
        <v>18</v>
      </c>
      <c r="E74" s="18">
        <v>20.92</v>
      </c>
      <c r="F74" s="12">
        <v>1.0</v>
      </c>
    </row>
    <row r="75">
      <c r="A75" s="30">
        <v>46134.0</v>
      </c>
      <c r="B75" s="47" t="s">
        <v>210</v>
      </c>
      <c r="C75" s="13" t="s">
        <v>9</v>
      </c>
      <c r="D75" s="13" t="s">
        <v>18</v>
      </c>
      <c r="E75" s="18">
        <v>18.92</v>
      </c>
      <c r="F75" s="12">
        <v>1.0</v>
      </c>
    </row>
    <row r="76">
      <c r="A76" s="28"/>
      <c r="B76" s="28"/>
      <c r="C76" s="26"/>
      <c r="D76" s="26"/>
      <c r="E76" s="26"/>
      <c r="F76" s="50"/>
      <c r="G76" s="51"/>
      <c r="H76" s="51"/>
      <c r="I76" s="51"/>
      <c r="J76" s="51"/>
    </row>
    <row r="77">
      <c r="A77" s="30">
        <v>46135.0</v>
      </c>
      <c r="B77" s="47" t="s">
        <v>214</v>
      </c>
      <c r="C77" s="13" t="s">
        <v>9</v>
      </c>
      <c r="D77" s="13" t="s">
        <v>18</v>
      </c>
      <c r="E77" s="18">
        <v>14.92</v>
      </c>
      <c r="F77" s="12">
        <v>1.0</v>
      </c>
    </row>
    <row r="78">
      <c r="A78" s="30">
        <v>46135.0</v>
      </c>
      <c r="B78" s="47" t="s">
        <v>217</v>
      </c>
      <c r="C78" s="13" t="s">
        <v>9</v>
      </c>
      <c r="D78" s="13" t="s">
        <v>18</v>
      </c>
      <c r="E78" s="18">
        <v>17.92</v>
      </c>
      <c r="F78" s="12">
        <v>1.0</v>
      </c>
    </row>
    <row r="79">
      <c r="A79" s="30">
        <v>46135.0</v>
      </c>
      <c r="B79" s="12">
        <v>5.304505111E9</v>
      </c>
      <c r="C79" s="13" t="s">
        <v>9</v>
      </c>
      <c r="D79" s="13" t="s">
        <v>18</v>
      </c>
      <c r="E79" s="18">
        <v>62.92</v>
      </c>
      <c r="F79" s="12">
        <v>1.0</v>
      </c>
    </row>
    <row r="80">
      <c r="A80" s="30">
        <v>46135.0</v>
      </c>
      <c r="B80" s="12" t="s">
        <v>221</v>
      </c>
      <c r="C80" s="13" t="s">
        <v>9</v>
      </c>
      <c r="D80" s="13" t="s">
        <v>18</v>
      </c>
      <c r="E80" s="18">
        <v>15.92</v>
      </c>
      <c r="F80" s="12">
        <v>1.0</v>
      </c>
    </row>
    <row r="81">
      <c r="A81" s="30">
        <v>46135.0</v>
      </c>
      <c r="B81" s="12" t="s">
        <v>223</v>
      </c>
      <c r="C81" s="13" t="s">
        <v>9</v>
      </c>
      <c r="D81" s="13" t="s">
        <v>18</v>
      </c>
      <c r="E81" s="18">
        <v>44.92</v>
      </c>
      <c r="F81" s="12">
        <v>1.0</v>
      </c>
    </row>
    <row r="82">
      <c r="A82" s="30">
        <v>46135.0</v>
      </c>
      <c r="B82" s="12">
        <v>3387223.0</v>
      </c>
      <c r="C82" s="13" t="s">
        <v>9</v>
      </c>
      <c r="D82" s="13" t="s">
        <v>18</v>
      </c>
      <c r="E82" s="18">
        <v>10.92</v>
      </c>
      <c r="F82" s="12">
        <v>1.0</v>
      </c>
    </row>
    <row r="83">
      <c r="A83" s="30">
        <v>46135.0</v>
      </c>
      <c r="B83" s="12" t="s">
        <v>227</v>
      </c>
      <c r="C83" s="13" t="s">
        <v>9</v>
      </c>
      <c r="D83" s="13" t="s">
        <v>18</v>
      </c>
      <c r="E83" s="18">
        <v>14.92</v>
      </c>
      <c r="F83" s="12">
        <v>1.0</v>
      </c>
    </row>
    <row r="84">
      <c r="A84" s="30">
        <v>46135.0</v>
      </c>
      <c r="B84" s="12" t="s">
        <v>230</v>
      </c>
      <c r="C84" s="13" t="s">
        <v>9</v>
      </c>
      <c r="D84" s="13" t="s">
        <v>18</v>
      </c>
      <c r="E84" s="18">
        <v>21.92</v>
      </c>
      <c r="F84" s="12">
        <v>1.0</v>
      </c>
    </row>
    <row r="85">
      <c r="A85" s="30">
        <v>46135.0</v>
      </c>
      <c r="B85" s="12" t="s">
        <v>232</v>
      </c>
      <c r="C85" s="13" t="s">
        <v>9</v>
      </c>
      <c r="D85" s="13" t="s">
        <v>18</v>
      </c>
      <c r="E85" s="18">
        <v>13.92</v>
      </c>
      <c r="F85" s="12">
        <v>2.0</v>
      </c>
    </row>
    <row r="86">
      <c r="A86" s="30">
        <v>46135.0</v>
      </c>
      <c r="B86" s="12" t="s">
        <v>234</v>
      </c>
      <c r="C86" s="13" t="s">
        <v>9</v>
      </c>
      <c r="D86" s="13" t="s">
        <v>18</v>
      </c>
      <c r="E86" s="18">
        <v>84.92</v>
      </c>
      <c r="F86" s="12">
        <v>1.0</v>
      </c>
    </row>
    <row r="87">
      <c r="A87" s="30">
        <v>46135.0</v>
      </c>
      <c r="B87" s="12" t="s">
        <v>237</v>
      </c>
      <c r="C87" s="13" t="s">
        <v>9</v>
      </c>
      <c r="D87" s="13" t="s">
        <v>18</v>
      </c>
      <c r="E87" s="18">
        <v>10.92</v>
      </c>
      <c r="F87" s="12">
        <v>3.0</v>
      </c>
    </row>
    <row r="88">
      <c r="A88" s="30">
        <v>46135.0</v>
      </c>
      <c r="B88" s="12" t="s">
        <v>240</v>
      </c>
      <c r="C88" s="13" t="s">
        <v>9</v>
      </c>
      <c r="D88" s="13" t="s">
        <v>18</v>
      </c>
      <c r="E88" s="18">
        <v>10.92</v>
      </c>
      <c r="F88" s="12">
        <v>1.0</v>
      </c>
    </row>
    <row r="89">
      <c r="A89" s="30">
        <v>46135.0</v>
      </c>
      <c r="B89" s="12" t="s">
        <v>242</v>
      </c>
      <c r="C89" s="13" t="s">
        <v>9</v>
      </c>
      <c r="D89" s="13" t="s">
        <v>18</v>
      </c>
      <c r="E89" s="18">
        <v>10.92</v>
      </c>
      <c r="F89" s="12">
        <v>1.0</v>
      </c>
    </row>
    <row r="90">
      <c r="A90" s="30">
        <v>46135.0</v>
      </c>
      <c r="B90" s="12" t="s">
        <v>245</v>
      </c>
      <c r="C90" s="13" t="s">
        <v>9</v>
      </c>
      <c r="D90" s="13" t="s">
        <v>18</v>
      </c>
      <c r="E90" s="18">
        <v>14.92</v>
      </c>
      <c r="F90" s="12">
        <v>1.0</v>
      </c>
    </row>
    <row r="91">
      <c r="A91" s="30">
        <v>46135.0</v>
      </c>
      <c r="B91" s="12" t="s">
        <v>246</v>
      </c>
      <c r="C91" s="13" t="s">
        <v>9</v>
      </c>
      <c r="D91" s="13" t="s">
        <v>18</v>
      </c>
      <c r="E91" s="18">
        <v>12.92</v>
      </c>
      <c r="F91" s="12">
        <v>1.0</v>
      </c>
    </row>
    <row r="92">
      <c r="A92" s="30">
        <v>46135.0</v>
      </c>
      <c r="B92" s="12" t="s">
        <v>249</v>
      </c>
      <c r="C92" s="13" t="s">
        <v>9</v>
      </c>
      <c r="D92" s="13" t="s">
        <v>18</v>
      </c>
      <c r="E92" s="18">
        <v>40.92</v>
      </c>
      <c r="F92" s="12">
        <v>1.0</v>
      </c>
    </row>
    <row r="93">
      <c r="A93" s="30">
        <v>46135.0</v>
      </c>
      <c r="B93" s="12">
        <v>341241.0</v>
      </c>
      <c r="C93" s="13" t="s">
        <v>9</v>
      </c>
      <c r="D93" s="13" t="s">
        <v>18</v>
      </c>
      <c r="E93" s="18">
        <v>10.92</v>
      </c>
      <c r="F93" s="12">
        <v>2.0</v>
      </c>
    </row>
    <row r="94">
      <c r="A94" s="30">
        <v>46135.0</v>
      </c>
      <c r="B94" s="12">
        <v>279973.0</v>
      </c>
      <c r="C94" s="13" t="s">
        <v>9</v>
      </c>
      <c r="D94" s="13" t="s">
        <v>18</v>
      </c>
      <c r="E94" s="18">
        <v>17.92</v>
      </c>
      <c r="F94" s="12">
        <v>1.0</v>
      </c>
    </row>
    <row r="95">
      <c r="A95" s="30">
        <v>46135.0</v>
      </c>
      <c r="B95" s="12" t="s">
        <v>255</v>
      </c>
      <c r="C95" s="13" t="s">
        <v>9</v>
      </c>
      <c r="D95" s="13" t="s">
        <v>18</v>
      </c>
      <c r="E95" s="18">
        <v>15.92</v>
      </c>
      <c r="F95" s="12">
        <v>1.0</v>
      </c>
    </row>
    <row r="96">
      <c r="A96" s="30">
        <v>46135.0</v>
      </c>
      <c r="B96" s="12" t="s">
        <v>257</v>
      </c>
      <c r="C96" s="13" t="s">
        <v>9</v>
      </c>
      <c r="D96" s="13" t="s">
        <v>18</v>
      </c>
      <c r="E96" s="18">
        <v>20.92</v>
      </c>
      <c r="F96" s="12">
        <v>2.0</v>
      </c>
    </row>
    <row r="97">
      <c r="A97" s="30">
        <v>46135.0</v>
      </c>
      <c r="B97" s="12" t="s">
        <v>260</v>
      </c>
      <c r="C97" s="13" t="s">
        <v>9</v>
      </c>
      <c r="D97" s="13" t="s">
        <v>18</v>
      </c>
      <c r="E97" s="18">
        <v>16.92</v>
      </c>
      <c r="F97" s="12">
        <v>2.0</v>
      </c>
    </row>
    <row r="98">
      <c r="A98" s="30">
        <v>46135.0</v>
      </c>
      <c r="B98" s="12" t="s">
        <v>263</v>
      </c>
      <c r="C98" s="13" t="s">
        <v>9</v>
      </c>
      <c r="D98" s="13" t="s">
        <v>18</v>
      </c>
      <c r="E98" s="18">
        <v>23.92</v>
      </c>
      <c r="F98" s="12">
        <v>1.0</v>
      </c>
    </row>
    <row r="99">
      <c r="A99" s="30">
        <v>46135.0</v>
      </c>
      <c r="B99" s="12" t="s">
        <v>266</v>
      </c>
      <c r="C99" s="13" t="s">
        <v>9</v>
      </c>
      <c r="D99" s="13" t="s">
        <v>18</v>
      </c>
      <c r="E99" s="18">
        <v>15.92</v>
      </c>
      <c r="F99" s="12">
        <v>1.0</v>
      </c>
    </row>
    <row r="100">
      <c r="A100" s="30">
        <v>46135.0</v>
      </c>
      <c r="B100" s="12">
        <v>5.304523011E9</v>
      </c>
      <c r="C100" s="13" t="s">
        <v>9</v>
      </c>
      <c r="D100" s="13" t="s">
        <v>18</v>
      </c>
      <c r="E100" s="18">
        <v>35.92</v>
      </c>
      <c r="F100" s="12">
        <v>1.0</v>
      </c>
    </row>
    <row r="101">
      <c r="A101" s="30">
        <v>46135.0</v>
      </c>
      <c r="B101" s="12" t="s">
        <v>269</v>
      </c>
      <c r="C101" s="13" t="s">
        <v>9</v>
      </c>
      <c r="D101" s="13" t="s">
        <v>18</v>
      </c>
      <c r="E101" s="18">
        <v>25.92</v>
      </c>
      <c r="F101" s="12">
        <v>1.0</v>
      </c>
    </row>
    <row r="102">
      <c r="A102" s="30">
        <v>46135.0</v>
      </c>
      <c r="B102" s="12" t="s">
        <v>235</v>
      </c>
      <c r="C102" s="13" t="s">
        <v>9</v>
      </c>
      <c r="D102" s="13" t="s">
        <v>18</v>
      </c>
      <c r="E102" s="18">
        <v>20.92</v>
      </c>
      <c r="F102" s="12">
        <v>1.0</v>
      </c>
    </row>
    <row r="103">
      <c r="A103" s="30">
        <v>46135.0</v>
      </c>
      <c r="B103" s="12" t="s">
        <v>273</v>
      </c>
      <c r="C103" s="13" t="s">
        <v>9</v>
      </c>
      <c r="D103" s="13" t="s">
        <v>18</v>
      </c>
      <c r="E103" s="18">
        <v>34.92</v>
      </c>
      <c r="F103" s="12">
        <v>1.0</v>
      </c>
    </row>
    <row r="104">
      <c r="A104" s="30">
        <v>46135.0</v>
      </c>
      <c r="B104" s="12">
        <v>5.304529572E9</v>
      </c>
      <c r="C104" s="13" t="s">
        <v>9</v>
      </c>
      <c r="D104" s="13" t="s">
        <v>18</v>
      </c>
      <c r="E104" s="18">
        <v>105.92</v>
      </c>
      <c r="F104" s="12">
        <v>1.0</v>
      </c>
    </row>
    <row r="105">
      <c r="A105" s="30">
        <v>46135.0</v>
      </c>
      <c r="B105" s="12" t="s">
        <v>278</v>
      </c>
      <c r="C105" s="13" t="s">
        <v>9</v>
      </c>
      <c r="D105" s="13" t="s">
        <v>18</v>
      </c>
      <c r="E105" s="18">
        <v>58.92</v>
      </c>
      <c r="F105" s="12">
        <v>1.0</v>
      </c>
    </row>
    <row r="106">
      <c r="A106" s="28"/>
      <c r="B106" s="28"/>
      <c r="C106" s="26"/>
      <c r="D106" s="26"/>
      <c r="E106" s="26"/>
      <c r="F106" s="50"/>
      <c r="G106" s="51"/>
      <c r="H106" s="18"/>
    </row>
    <row r="107">
      <c r="A107" s="30">
        <v>46136.0</v>
      </c>
      <c r="B107" s="12" t="s">
        <v>282</v>
      </c>
      <c r="C107" s="13" t="s">
        <v>9</v>
      </c>
      <c r="D107" s="13" t="s">
        <v>18</v>
      </c>
      <c r="E107" s="18">
        <v>76.92</v>
      </c>
      <c r="F107" s="12">
        <v>1.0</v>
      </c>
    </row>
    <row r="108">
      <c r="A108" s="30">
        <v>46136.0</v>
      </c>
      <c r="B108" s="29" t="s">
        <v>284</v>
      </c>
      <c r="C108" s="13" t="s">
        <v>9</v>
      </c>
      <c r="D108" s="13" t="s">
        <v>18</v>
      </c>
      <c r="E108" s="18">
        <v>59.92</v>
      </c>
      <c r="F108" s="12">
        <v>1.0</v>
      </c>
    </row>
    <row r="109">
      <c r="A109" s="30">
        <v>46136.0</v>
      </c>
      <c r="B109" s="12" t="s">
        <v>287</v>
      </c>
      <c r="C109" s="13" t="s">
        <v>9</v>
      </c>
      <c r="D109" s="13" t="s">
        <v>18</v>
      </c>
      <c r="E109" s="18">
        <v>31.92</v>
      </c>
      <c r="F109" s="12">
        <v>2.0</v>
      </c>
    </row>
    <row r="110">
      <c r="A110" s="30">
        <v>46136.0</v>
      </c>
      <c r="B110" s="29" t="s">
        <v>290</v>
      </c>
      <c r="C110" s="13" t="s">
        <v>9</v>
      </c>
      <c r="D110" s="13" t="s">
        <v>18</v>
      </c>
      <c r="E110" s="18">
        <v>18.92</v>
      </c>
      <c r="F110" s="12">
        <v>1.0</v>
      </c>
    </row>
    <row r="111">
      <c r="A111" s="30">
        <v>46136.0</v>
      </c>
      <c r="B111" s="12" t="s">
        <v>293</v>
      </c>
      <c r="C111" s="13" t="s">
        <v>9</v>
      </c>
      <c r="D111" s="13" t="s">
        <v>18</v>
      </c>
      <c r="E111" s="18">
        <v>28.92</v>
      </c>
      <c r="F111" s="12">
        <v>1.0</v>
      </c>
    </row>
    <row r="112">
      <c r="A112" s="30">
        <v>46136.0</v>
      </c>
      <c r="B112" s="29" t="s">
        <v>296</v>
      </c>
      <c r="C112" s="13" t="s">
        <v>9</v>
      </c>
      <c r="D112" s="13" t="s">
        <v>18</v>
      </c>
      <c r="E112" s="18">
        <v>50.92</v>
      </c>
      <c r="F112" s="12">
        <v>1.0</v>
      </c>
    </row>
    <row r="113">
      <c r="A113" s="30">
        <v>46136.0</v>
      </c>
      <c r="B113" s="12" t="s">
        <v>299</v>
      </c>
      <c r="C113" s="13" t="s">
        <v>9</v>
      </c>
      <c r="D113" s="13" t="s">
        <v>18</v>
      </c>
      <c r="E113" s="18">
        <v>45.92</v>
      </c>
      <c r="F113" s="12">
        <v>1.0</v>
      </c>
    </row>
    <row r="114">
      <c r="A114" s="30">
        <v>46136.0</v>
      </c>
      <c r="B114" s="29" t="s">
        <v>301</v>
      </c>
      <c r="C114" s="13" t="s">
        <v>9</v>
      </c>
      <c r="D114" s="13" t="s">
        <v>18</v>
      </c>
      <c r="E114" s="18">
        <v>50.92</v>
      </c>
      <c r="F114" s="12">
        <v>1.0</v>
      </c>
    </row>
    <row r="115">
      <c r="A115" s="30">
        <v>46136.0</v>
      </c>
      <c r="B115" s="12" t="s">
        <v>303</v>
      </c>
      <c r="C115" s="13" t="s">
        <v>9</v>
      </c>
      <c r="D115" s="13" t="s">
        <v>18</v>
      </c>
      <c r="E115" s="18">
        <v>23.92</v>
      </c>
      <c r="F115" s="12">
        <v>1.0</v>
      </c>
    </row>
    <row r="116">
      <c r="A116" s="30">
        <v>46136.0</v>
      </c>
      <c r="B116" s="29">
        <v>1.40156010054E11</v>
      </c>
      <c r="C116" s="13" t="s">
        <v>9</v>
      </c>
      <c r="D116" s="13" t="s">
        <v>18</v>
      </c>
      <c r="E116" s="18">
        <v>21.92</v>
      </c>
      <c r="F116" s="12">
        <v>1.0</v>
      </c>
    </row>
    <row r="117">
      <c r="A117" s="30">
        <v>46136.0</v>
      </c>
      <c r="B117" s="12" t="s">
        <v>307</v>
      </c>
      <c r="C117" s="13" t="s">
        <v>9</v>
      </c>
      <c r="D117" s="13" t="s">
        <v>18</v>
      </c>
      <c r="E117" s="18">
        <v>70.92</v>
      </c>
      <c r="F117" s="12">
        <v>1.0</v>
      </c>
    </row>
    <row r="118">
      <c r="A118" s="30">
        <v>46136.0</v>
      </c>
      <c r="B118" s="29" t="s">
        <v>309</v>
      </c>
      <c r="C118" s="13" t="s">
        <v>9</v>
      </c>
      <c r="D118" s="13" t="s">
        <v>18</v>
      </c>
      <c r="E118" s="18">
        <v>25.92</v>
      </c>
      <c r="F118" s="12">
        <v>1.0</v>
      </c>
    </row>
    <row r="119">
      <c r="A119" s="30">
        <v>46136.0</v>
      </c>
      <c r="B119" s="12" t="s">
        <v>312</v>
      </c>
      <c r="C119" s="13" t="s">
        <v>9</v>
      </c>
      <c r="D119" s="13" t="s">
        <v>18</v>
      </c>
      <c r="E119" s="18">
        <v>25.92</v>
      </c>
      <c r="F119" s="12">
        <v>1.0</v>
      </c>
    </row>
    <row r="120">
      <c r="A120" s="30">
        <v>46136.0</v>
      </c>
      <c r="B120" s="29" t="s">
        <v>315</v>
      </c>
      <c r="C120" s="13" t="s">
        <v>9</v>
      </c>
      <c r="D120" s="13" t="s">
        <v>18</v>
      </c>
      <c r="E120" s="18">
        <v>21.92</v>
      </c>
      <c r="F120" s="12">
        <v>1.0</v>
      </c>
    </row>
    <row r="121">
      <c r="A121" s="30">
        <v>46136.0</v>
      </c>
      <c r="B121" s="12" t="s">
        <v>317</v>
      </c>
      <c r="C121" s="13" t="s">
        <v>9</v>
      </c>
      <c r="D121" s="13" t="s">
        <v>18</v>
      </c>
      <c r="E121" s="18">
        <v>60.92</v>
      </c>
      <c r="F121" s="12">
        <v>1.0</v>
      </c>
    </row>
    <row r="122">
      <c r="A122" s="30">
        <v>46136.0</v>
      </c>
      <c r="B122" s="29" t="s">
        <v>319</v>
      </c>
      <c r="C122" s="13" t="s">
        <v>9</v>
      </c>
      <c r="D122" s="13" t="s">
        <v>18</v>
      </c>
      <c r="E122" s="18">
        <v>50.92</v>
      </c>
      <c r="F122" s="12">
        <v>1.0</v>
      </c>
    </row>
    <row r="123">
      <c r="A123" s="30">
        <v>46136.0</v>
      </c>
      <c r="B123" s="12">
        <v>2.43297608E8</v>
      </c>
      <c r="C123" s="13" t="s">
        <v>9</v>
      </c>
      <c r="D123" s="13" t="s">
        <v>18</v>
      </c>
      <c r="E123" s="18">
        <v>65.92</v>
      </c>
      <c r="F123" s="12">
        <v>1.0</v>
      </c>
    </row>
    <row r="124">
      <c r="A124" s="30">
        <v>46136.0</v>
      </c>
      <c r="B124" s="29">
        <v>5.304534888E9</v>
      </c>
      <c r="C124" s="13" t="s">
        <v>9</v>
      </c>
      <c r="D124" s="13" t="s">
        <v>18</v>
      </c>
      <c r="E124" s="18">
        <v>124.92</v>
      </c>
      <c r="F124" s="12">
        <v>1.0</v>
      </c>
    </row>
    <row r="125">
      <c r="A125" s="30">
        <v>46136.0</v>
      </c>
      <c r="B125" s="12">
        <v>5.304528029E9</v>
      </c>
      <c r="C125" s="13" t="s">
        <v>9</v>
      </c>
      <c r="D125" s="13" t="s">
        <v>18</v>
      </c>
      <c r="E125" s="18">
        <v>40.92</v>
      </c>
      <c r="F125" s="12">
        <v>1.0</v>
      </c>
    </row>
    <row r="126">
      <c r="A126" s="30">
        <v>46136.0</v>
      </c>
      <c r="B126" s="29" t="s">
        <v>325</v>
      </c>
      <c r="C126" s="13" t="s">
        <v>9</v>
      </c>
      <c r="D126" s="13" t="s">
        <v>18</v>
      </c>
      <c r="E126" s="18">
        <v>24.92</v>
      </c>
      <c r="F126" s="12">
        <v>1.0</v>
      </c>
    </row>
    <row r="127">
      <c r="A127" s="30">
        <v>46136.0</v>
      </c>
      <c r="B127" s="12" t="s">
        <v>328</v>
      </c>
      <c r="C127" s="13" t="s">
        <v>9</v>
      </c>
      <c r="D127" s="13" t="s">
        <v>18</v>
      </c>
      <c r="E127" s="18">
        <v>18.92</v>
      </c>
      <c r="F127" s="12">
        <v>1.0</v>
      </c>
    </row>
    <row r="128">
      <c r="A128" s="30">
        <v>46136.0</v>
      </c>
      <c r="B128" s="29" t="s">
        <v>330</v>
      </c>
      <c r="C128" s="13" t="s">
        <v>9</v>
      </c>
      <c r="D128" s="13" t="s">
        <v>18</v>
      </c>
      <c r="E128" s="18">
        <v>70.92</v>
      </c>
      <c r="F128" s="12">
        <v>1.0</v>
      </c>
    </row>
    <row r="129">
      <c r="A129" s="30">
        <v>46136.0</v>
      </c>
      <c r="B129" s="12" t="s">
        <v>333</v>
      </c>
      <c r="C129" s="13" t="s">
        <v>9</v>
      </c>
      <c r="D129" s="13" t="s">
        <v>18</v>
      </c>
      <c r="E129" s="18">
        <v>9.92</v>
      </c>
      <c r="F129" s="12">
        <v>1.0</v>
      </c>
    </row>
    <row r="130">
      <c r="A130" s="30">
        <v>46136.0</v>
      </c>
      <c r="B130" s="29" t="s">
        <v>336</v>
      </c>
      <c r="C130" s="13" t="s">
        <v>9</v>
      </c>
      <c r="D130" s="13" t="s">
        <v>18</v>
      </c>
      <c r="E130" s="18">
        <v>16.92</v>
      </c>
      <c r="F130" s="12">
        <v>1.0</v>
      </c>
    </row>
    <row r="131">
      <c r="A131" s="30">
        <v>46136.0</v>
      </c>
      <c r="B131" s="12" t="s">
        <v>339</v>
      </c>
      <c r="C131" s="13" t="s">
        <v>9</v>
      </c>
      <c r="D131" s="13" t="s">
        <v>18</v>
      </c>
      <c r="E131" s="18">
        <v>199.92</v>
      </c>
      <c r="F131" s="12">
        <v>1.0</v>
      </c>
    </row>
    <row r="132">
      <c r="A132" s="30">
        <v>46136.0</v>
      </c>
      <c r="B132" s="29" t="s">
        <v>342</v>
      </c>
      <c r="C132" s="13" t="s">
        <v>9</v>
      </c>
      <c r="D132" s="13" t="s">
        <v>18</v>
      </c>
      <c r="E132" s="18">
        <v>19.92</v>
      </c>
      <c r="F132" s="12"/>
    </row>
    <row r="133">
      <c r="A133" s="30">
        <v>46136.0</v>
      </c>
      <c r="B133" s="4"/>
      <c r="C133" s="13" t="s">
        <v>9</v>
      </c>
      <c r="D133" s="13" t="s">
        <v>18</v>
      </c>
      <c r="E133" s="18"/>
      <c r="F133" s="12"/>
    </row>
    <row r="134">
      <c r="A134" s="30">
        <v>46136.0</v>
      </c>
      <c r="C134" s="13" t="s">
        <v>9</v>
      </c>
      <c r="D134" s="13" t="s">
        <v>18</v>
      </c>
      <c r="E134" s="18"/>
      <c r="F134" s="12"/>
    </row>
    <row r="135">
      <c r="A135" s="30">
        <v>46136.0</v>
      </c>
      <c r="B135" s="4"/>
      <c r="C135" s="13" t="s">
        <v>9</v>
      </c>
      <c r="D135" s="13" t="s">
        <v>18</v>
      </c>
      <c r="E135" s="18"/>
      <c r="F135" s="12"/>
    </row>
    <row r="136">
      <c r="E136" s="18"/>
      <c r="F136" s="12"/>
    </row>
    <row r="137">
      <c r="E137" s="18"/>
      <c r="F137" s="12"/>
    </row>
    <row r="138">
      <c r="A138" s="60" t="s">
        <v>345</v>
      </c>
      <c r="B138" s="61"/>
      <c r="C138" s="61"/>
      <c r="D138" s="61"/>
      <c r="E138" s="63"/>
      <c r="F138" s="64"/>
    </row>
    <row r="139">
      <c r="A139" s="30">
        <v>46136.0</v>
      </c>
      <c r="B139" s="29" t="s">
        <v>346</v>
      </c>
      <c r="C139" s="13" t="s">
        <v>9</v>
      </c>
      <c r="D139" s="13" t="s">
        <v>348</v>
      </c>
      <c r="E139" s="18">
        <v>178.89</v>
      </c>
      <c r="F139" s="12">
        <v>1.0</v>
      </c>
    </row>
    <row r="140">
      <c r="A140" s="30">
        <v>46136.0</v>
      </c>
      <c r="B140" s="29" t="s">
        <v>349</v>
      </c>
      <c r="C140" s="13" t="s">
        <v>9</v>
      </c>
      <c r="D140" s="13" t="s">
        <v>351</v>
      </c>
      <c r="E140" s="18">
        <v>35.89</v>
      </c>
      <c r="F140" s="12">
        <v>1.0</v>
      </c>
    </row>
    <row r="141">
      <c r="A141" s="30">
        <v>46136.0</v>
      </c>
      <c r="B141" s="29" t="s">
        <v>353</v>
      </c>
      <c r="C141" s="13" t="s">
        <v>9</v>
      </c>
      <c r="D141" s="13" t="s">
        <v>351</v>
      </c>
      <c r="E141" s="18">
        <v>120.89</v>
      </c>
      <c r="F141" s="12">
        <v>1.0</v>
      </c>
    </row>
    <row r="142">
      <c r="A142" s="30">
        <v>46136.0</v>
      </c>
      <c r="B142" s="29">
        <v>1.7438200000109E13</v>
      </c>
      <c r="C142" s="13" t="s">
        <v>9</v>
      </c>
      <c r="D142" s="13" t="s">
        <v>351</v>
      </c>
      <c r="E142" s="18">
        <v>94.89</v>
      </c>
      <c r="F142" s="12">
        <v>1.0</v>
      </c>
    </row>
    <row r="143">
      <c r="A143" s="30">
        <v>46136.0</v>
      </c>
      <c r="B143" s="29" t="s">
        <v>356</v>
      </c>
      <c r="C143" s="13" t="s">
        <v>9</v>
      </c>
      <c r="D143" s="13" t="s">
        <v>351</v>
      </c>
      <c r="E143" s="18">
        <v>43.89</v>
      </c>
      <c r="F143" s="12">
        <v>1.0</v>
      </c>
    </row>
    <row r="144">
      <c r="A144" s="30">
        <v>46136.0</v>
      </c>
      <c r="B144" s="29" t="s">
        <v>359</v>
      </c>
      <c r="C144" s="13" t="s">
        <v>9</v>
      </c>
      <c r="D144" s="13" t="s">
        <v>351</v>
      </c>
      <c r="E144" s="18">
        <v>158.89</v>
      </c>
      <c r="F144" s="12">
        <v>1.0</v>
      </c>
    </row>
    <row r="145">
      <c r="A145" s="30">
        <v>46136.0</v>
      </c>
      <c r="B145" s="29" t="s">
        <v>362</v>
      </c>
      <c r="C145" s="13" t="s">
        <v>9</v>
      </c>
      <c r="D145" s="13" t="s">
        <v>351</v>
      </c>
      <c r="E145" s="18">
        <v>110.89</v>
      </c>
      <c r="F145" s="12">
        <v>1.0</v>
      </c>
    </row>
    <row r="146">
      <c r="A146" s="30">
        <v>46136.0</v>
      </c>
      <c r="B146" s="29" t="s">
        <v>364</v>
      </c>
      <c r="C146" s="13" t="s">
        <v>9</v>
      </c>
      <c r="D146" s="13" t="s">
        <v>351</v>
      </c>
      <c r="E146" s="18">
        <v>258.89</v>
      </c>
      <c r="F146" s="12">
        <v>1.0</v>
      </c>
    </row>
    <row r="147">
      <c r="A147" s="30">
        <v>46136.0</v>
      </c>
      <c r="B147" s="29" t="s">
        <v>368</v>
      </c>
      <c r="C147" s="13" t="s">
        <v>9</v>
      </c>
      <c r="D147" s="13" t="s">
        <v>351</v>
      </c>
      <c r="E147" s="18">
        <v>142.89</v>
      </c>
      <c r="F147" s="12">
        <v>1.0</v>
      </c>
    </row>
    <row r="148">
      <c r="A148" s="30">
        <v>46136.0</v>
      </c>
      <c r="B148" s="29" t="s">
        <v>371</v>
      </c>
      <c r="C148" s="13" t="s">
        <v>9</v>
      </c>
      <c r="D148" s="13" t="s">
        <v>351</v>
      </c>
      <c r="E148" s="18">
        <v>144.89</v>
      </c>
      <c r="F148" s="12">
        <v>1.0</v>
      </c>
    </row>
    <row r="149">
      <c r="A149" s="30">
        <v>46136.0</v>
      </c>
      <c r="B149" s="29" t="s">
        <v>374</v>
      </c>
      <c r="C149" s="13" t="s">
        <v>9</v>
      </c>
      <c r="D149" s="13" t="s">
        <v>351</v>
      </c>
      <c r="E149" s="18">
        <v>34.89</v>
      </c>
      <c r="F149" s="12">
        <v>1.0</v>
      </c>
    </row>
    <row r="150">
      <c r="A150" s="30">
        <v>46136.0</v>
      </c>
      <c r="B150" s="29" t="s">
        <v>377</v>
      </c>
      <c r="C150" s="13" t="s">
        <v>9</v>
      </c>
      <c r="D150" s="13" t="s">
        <v>351</v>
      </c>
      <c r="E150" s="18">
        <v>25.89</v>
      </c>
      <c r="F150" s="12">
        <v>1.0</v>
      </c>
    </row>
    <row r="151">
      <c r="A151" s="30">
        <v>46136.0</v>
      </c>
      <c r="B151" s="29" t="s">
        <v>380</v>
      </c>
      <c r="C151" s="13" t="s">
        <v>9</v>
      </c>
      <c r="D151" s="13" t="s">
        <v>351</v>
      </c>
      <c r="E151" s="18">
        <v>35.89</v>
      </c>
      <c r="F151" s="12">
        <v>1.0</v>
      </c>
    </row>
    <row r="152">
      <c r="A152" s="30">
        <v>46136.0</v>
      </c>
      <c r="B152" s="29" t="s">
        <v>383</v>
      </c>
      <c r="C152" s="13" t="s">
        <v>9</v>
      </c>
      <c r="D152" s="13" t="s">
        <v>351</v>
      </c>
      <c r="E152" s="18">
        <v>245.89</v>
      </c>
      <c r="F152" s="12">
        <v>1.0</v>
      </c>
    </row>
    <row r="153">
      <c r="A153" s="30">
        <v>46136.0</v>
      </c>
      <c r="B153" s="29" t="s">
        <v>387</v>
      </c>
      <c r="C153" s="13" t="s">
        <v>9</v>
      </c>
      <c r="D153" s="13" t="s">
        <v>351</v>
      </c>
      <c r="E153" s="18">
        <v>103.89</v>
      </c>
      <c r="F153" s="12">
        <v>1.0</v>
      </c>
    </row>
    <row r="154">
      <c r="A154" s="30">
        <v>46136.0</v>
      </c>
      <c r="B154" s="29" t="s">
        <v>389</v>
      </c>
      <c r="C154" s="13" t="s">
        <v>9</v>
      </c>
      <c r="D154" s="13" t="s">
        <v>351</v>
      </c>
      <c r="E154" s="18">
        <v>102.89</v>
      </c>
      <c r="F154" s="12">
        <v>1.0</v>
      </c>
    </row>
    <row r="155">
      <c r="A155" s="30">
        <v>46136.0</v>
      </c>
      <c r="B155" s="29" t="s">
        <v>390</v>
      </c>
      <c r="C155" s="13" t="s">
        <v>9</v>
      </c>
      <c r="D155" s="13" t="s">
        <v>351</v>
      </c>
      <c r="E155" s="18">
        <v>31.89</v>
      </c>
      <c r="F155" s="12">
        <v>1.0</v>
      </c>
    </row>
    <row r="156">
      <c r="A156" s="30">
        <v>46136.0</v>
      </c>
      <c r="B156" s="29" t="s">
        <v>127</v>
      </c>
      <c r="C156" s="13" t="s">
        <v>9</v>
      </c>
      <c r="D156" s="13" t="s">
        <v>351</v>
      </c>
      <c r="E156" s="18">
        <v>21.89</v>
      </c>
      <c r="F156" s="12">
        <v>1.0</v>
      </c>
    </row>
    <row r="157">
      <c r="A157" s="30">
        <v>46136.0</v>
      </c>
      <c r="B157" s="29" t="s">
        <v>391</v>
      </c>
      <c r="C157" s="13" t="s">
        <v>9</v>
      </c>
      <c r="D157" s="13" t="s">
        <v>351</v>
      </c>
      <c r="E157" s="18">
        <v>45.89</v>
      </c>
      <c r="F157" s="12">
        <v>1.0</v>
      </c>
    </row>
    <row r="158">
      <c r="A158" s="72"/>
      <c r="B158" s="73"/>
      <c r="C158" s="75"/>
      <c r="D158" s="75"/>
      <c r="E158" s="76"/>
      <c r="F158" s="77"/>
      <c r="G158" s="73"/>
    </row>
    <row r="159">
      <c r="A159" s="30">
        <v>46141.0</v>
      </c>
      <c r="B159" s="29">
        <v>5.304533221E9</v>
      </c>
      <c r="C159" s="13" t="s">
        <v>9</v>
      </c>
      <c r="D159" s="13" t="s">
        <v>351</v>
      </c>
      <c r="E159" s="18">
        <v>37.89</v>
      </c>
      <c r="F159" s="12">
        <v>1.0</v>
      </c>
    </row>
    <row r="160">
      <c r="A160" s="30">
        <v>46141.0</v>
      </c>
      <c r="B160" s="29" t="s">
        <v>398</v>
      </c>
      <c r="C160" s="13" t="s">
        <v>9</v>
      </c>
      <c r="D160" s="13" t="s">
        <v>351</v>
      </c>
      <c r="E160" s="18">
        <v>220.89</v>
      </c>
      <c r="F160" s="12">
        <v>1.0</v>
      </c>
    </row>
    <row r="161">
      <c r="A161" s="30">
        <v>46141.0</v>
      </c>
      <c r="B161" s="29" t="s">
        <v>49</v>
      </c>
      <c r="C161" s="13" t="s">
        <v>9</v>
      </c>
      <c r="D161" s="13" t="s">
        <v>351</v>
      </c>
      <c r="E161" s="18">
        <v>93.89</v>
      </c>
      <c r="F161" s="12">
        <v>1.0</v>
      </c>
    </row>
    <row r="162">
      <c r="A162" s="30">
        <v>46141.0</v>
      </c>
      <c r="B162" s="29" t="s">
        <v>402</v>
      </c>
      <c r="C162" s="13" t="s">
        <v>9</v>
      </c>
      <c r="D162" s="13" t="s">
        <v>351</v>
      </c>
      <c r="E162" s="18">
        <v>185.89</v>
      </c>
      <c r="F162" s="12">
        <v>1.0</v>
      </c>
    </row>
    <row r="163">
      <c r="A163" s="30">
        <v>46141.0</v>
      </c>
      <c r="B163" s="29" t="s">
        <v>404</v>
      </c>
      <c r="C163" s="13" t="s">
        <v>9</v>
      </c>
      <c r="D163" s="13" t="s">
        <v>351</v>
      </c>
      <c r="E163" s="18">
        <v>55.89</v>
      </c>
      <c r="F163" s="12">
        <v>1.0</v>
      </c>
    </row>
    <row r="164">
      <c r="A164" s="30">
        <v>46141.0</v>
      </c>
      <c r="B164" s="29" t="s">
        <v>406</v>
      </c>
      <c r="C164" s="13" t="s">
        <v>9</v>
      </c>
      <c r="D164" s="13" t="s">
        <v>351</v>
      </c>
      <c r="E164" s="18">
        <v>93.89</v>
      </c>
      <c r="F164" s="12">
        <v>1.0</v>
      </c>
    </row>
    <row r="165">
      <c r="A165" s="30">
        <v>46141.0</v>
      </c>
      <c r="B165" s="29" t="s">
        <v>409</v>
      </c>
      <c r="C165" s="13" t="s">
        <v>9</v>
      </c>
      <c r="D165" s="13" t="s">
        <v>351</v>
      </c>
      <c r="E165" s="18">
        <v>75.89</v>
      </c>
      <c r="F165" s="12">
        <v>1.0</v>
      </c>
    </row>
    <row r="166">
      <c r="A166" s="30">
        <v>46141.0</v>
      </c>
      <c r="B166" s="29" t="s">
        <v>412</v>
      </c>
      <c r="C166" s="13" t="s">
        <v>9</v>
      </c>
      <c r="D166" s="13" t="s">
        <v>351</v>
      </c>
      <c r="E166" s="18">
        <v>32.89</v>
      </c>
      <c r="F166" s="12">
        <v>1.0</v>
      </c>
    </row>
    <row r="167">
      <c r="A167" s="30">
        <v>46141.0</v>
      </c>
      <c r="B167" s="29" t="s">
        <v>415</v>
      </c>
      <c r="C167" s="13" t="s">
        <v>9</v>
      </c>
      <c r="D167" s="13" t="s">
        <v>351</v>
      </c>
      <c r="E167" s="18">
        <v>31.89</v>
      </c>
      <c r="F167" s="12">
        <v>1.0</v>
      </c>
    </row>
    <row r="168">
      <c r="A168" s="30">
        <v>46141.0</v>
      </c>
      <c r="B168" s="29" t="s">
        <v>418</v>
      </c>
      <c r="C168" s="13" t="s">
        <v>9</v>
      </c>
      <c r="D168" s="13" t="s">
        <v>351</v>
      </c>
      <c r="E168" s="18">
        <v>43.89</v>
      </c>
      <c r="F168" s="12">
        <v>1.0</v>
      </c>
    </row>
    <row r="169">
      <c r="A169" s="30">
        <v>46141.0</v>
      </c>
      <c r="B169" s="29" t="s">
        <v>421</v>
      </c>
      <c r="C169" s="13" t="s">
        <v>9</v>
      </c>
      <c r="D169" s="13" t="s">
        <v>351</v>
      </c>
      <c r="E169" s="18">
        <v>43.89</v>
      </c>
      <c r="F169" s="12">
        <v>1.0</v>
      </c>
    </row>
    <row r="170">
      <c r="A170" s="30">
        <v>46141.0</v>
      </c>
      <c r="B170" s="29" t="s">
        <v>425</v>
      </c>
      <c r="C170" s="13" t="s">
        <v>9</v>
      </c>
      <c r="D170" s="13" t="s">
        <v>351</v>
      </c>
      <c r="E170" s="18">
        <v>38.89</v>
      </c>
      <c r="F170" s="12">
        <v>1.0</v>
      </c>
    </row>
    <row r="171">
      <c r="A171" s="30">
        <v>46141.0</v>
      </c>
      <c r="B171" s="29" t="s">
        <v>428</v>
      </c>
      <c r="C171" s="13" t="s">
        <v>9</v>
      </c>
      <c r="D171" s="13" t="s">
        <v>351</v>
      </c>
      <c r="E171" s="18">
        <v>30.89</v>
      </c>
      <c r="F171" s="12">
        <v>1.0</v>
      </c>
    </row>
    <row r="172">
      <c r="A172" s="30">
        <v>46141.0</v>
      </c>
      <c r="B172" s="29" t="s">
        <v>431</v>
      </c>
      <c r="C172" s="13" t="s">
        <v>9</v>
      </c>
      <c r="D172" s="13" t="s">
        <v>351</v>
      </c>
      <c r="E172" s="18">
        <v>18.89</v>
      </c>
      <c r="F172" s="12">
        <v>1.0</v>
      </c>
    </row>
    <row r="173">
      <c r="A173" s="30">
        <v>46141.0</v>
      </c>
      <c r="B173" s="29" t="s">
        <v>434</v>
      </c>
      <c r="C173" s="13" t="s">
        <v>9</v>
      </c>
      <c r="D173" s="13" t="s">
        <v>351</v>
      </c>
      <c r="E173" s="18">
        <v>51.89</v>
      </c>
      <c r="F173" s="12">
        <v>1.0</v>
      </c>
    </row>
    <row r="174">
      <c r="A174" s="79"/>
      <c r="B174" s="80"/>
      <c r="C174" s="81"/>
      <c r="D174" s="81"/>
      <c r="E174" s="82"/>
      <c r="F174" s="83"/>
    </row>
    <row r="175">
      <c r="A175" s="30">
        <v>46142.0</v>
      </c>
      <c r="B175" s="12" t="s">
        <v>127</v>
      </c>
      <c r="C175" s="84" t="s">
        <v>9</v>
      </c>
      <c r="D175" s="84" t="s">
        <v>351</v>
      </c>
      <c r="E175" s="18">
        <v>33.89</v>
      </c>
      <c r="F175" s="12">
        <v>1.0</v>
      </c>
    </row>
    <row r="176">
      <c r="A176" s="30">
        <v>46142.0</v>
      </c>
      <c r="B176" s="12" t="s">
        <v>446</v>
      </c>
      <c r="C176" s="84" t="s">
        <v>9</v>
      </c>
      <c r="D176" s="84" t="s">
        <v>351</v>
      </c>
      <c r="E176" s="18">
        <v>275.89</v>
      </c>
      <c r="F176" s="12">
        <v>1.0</v>
      </c>
    </row>
    <row r="177">
      <c r="A177" s="30">
        <v>46142.0</v>
      </c>
      <c r="B177" s="12">
        <v>1.40171068053E11</v>
      </c>
      <c r="C177" s="84" t="s">
        <v>9</v>
      </c>
      <c r="D177" s="84" t="s">
        <v>351</v>
      </c>
      <c r="E177" s="18">
        <v>65.89</v>
      </c>
      <c r="F177" s="12">
        <v>1.0</v>
      </c>
    </row>
    <row r="178">
      <c r="A178" s="30">
        <v>46142.0</v>
      </c>
      <c r="B178" s="12">
        <v>1.17518761E8</v>
      </c>
      <c r="C178" s="84" t="s">
        <v>9</v>
      </c>
      <c r="D178" s="84" t="s">
        <v>351</v>
      </c>
      <c r="E178" s="18">
        <v>143.89</v>
      </c>
      <c r="F178" s="12">
        <v>1.0</v>
      </c>
    </row>
    <row r="179">
      <c r="A179" s="30">
        <v>46142.0</v>
      </c>
      <c r="B179" s="12">
        <v>1.7476000017424E13</v>
      </c>
      <c r="C179" s="84" t="s">
        <v>9</v>
      </c>
      <c r="D179" s="84" t="s">
        <v>351</v>
      </c>
      <c r="E179" s="18">
        <v>31.89</v>
      </c>
      <c r="F179" s="12">
        <v>1.0</v>
      </c>
    </row>
    <row r="180">
      <c r="A180" s="30">
        <v>46142.0</v>
      </c>
      <c r="B180" s="12" t="s">
        <v>454</v>
      </c>
      <c r="C180" s="84" t="s">
        <v>9</v>
      </c>
      <c r="D180" s="84" t="s">
        <v>351</v>
      </c>
      <c r="E180" s="18">
        <v>35.89</v>
      </c>
      <c r="F180" s="12">
        <v>1.0</v>
      </c>
    </row>
    <row r="181">
      <c r="A181" s="30">
        <v>46142.0</v>
      </c>
      <c r="B181" s="12" t="s">
        <v>457</v>
      </c>
      <c r="C181" s="84" t="s">
        <v>9</v>
      </c>
      <c r="D181" s="84" t="s">
        <v>351</v>
      </c>
      <c r="E181" s="18">
        <v>148.89</v>
      </c>
      <c r="F181" s="12">
        <v>1.0</v>
      </c>
    </row>
    <row r="182">
      <c r="A182" s="30">
        <v>46142.0</v>
      </c>
      <c r="B182" s="12" t="s">
        <v>402</v>
      </c>
      <c r="C182" s="84" t="s">
        <v>9</v>
      </c>
      <c r="D182" s="84" t="s">
        <v>351</v>
      </c>
      <c r="E182" s="18">
        <v>185.89</v>
      </c>
      <c r="F182" s="12">
        <v>1.0</v>
      </c>
    </row>
    <row r="183">
      <c r="A183" s="30">
        <v>46142.0</v>
      </c>
      <c r="B183" s="12" t="s">
        <v>461</v>
      </c>
      <c r="C183" s="84" t="s">
        <v>9</v>
      </c>
      <c r="D183" s="84" t="s">
        <v>351</v>
      </c>
      <c r="E183" s="18">
        <v>262.89</v>
      </c>
      <c r="F183" s="12">
        <v>1.0</v>
      </c>
    </row>
    <row r="184">
      <c r="A184" s="30">
        <v>46142.0</v>
      </c>
      <c r="B184" s="12" t="s">
        <v>464</v>
      </c>
      <c r="C184" s="84" t="s">
        <v>9</v>
      </c>
      <c r="D184" s="84" t="s">
        <v>351</v>
      </c>
      <c r="E184" s="18">
        <v>21.89</v>
      </c>
      <c r="F184" s="12">
        <v>1.0</v>
      </c>
    </row>
    <row r="185">
      <c r="A185" s="30">
        <v>46142.0</v>
      </c>
      <c r="B185" s="12" t="s">
        <v>467</v>
      </c>
      <c r="C185" s="84" t="s">
        <v>9</v>
      </c>
      <c r="D185" s="84" t="s">
        <v>351</v>
      </c>
      <c r="E185" s="18">
        <v>35.89</v>
      </c>
      <c r="F185" s="12">
        <v>1.0</v>
      </c>
    </row>
    <row r="186">
      <c r="A186" s="30">
        <v>46142.0</v>
      </c>
      <c r="B186" s="12" t="s">
        <v>470</v>
      </c>
      <c r="C186" s="84" t="s">
        <v>9</v>
      </c>
      <c r="D186" s="84" t="s">
        <v>351</v>
      </c>
      <c r="E186" s="18">
        <v>48.89</v>
      </c>
      <c r="F186" s="12">
        <v>1.0</v>
      </c>
    </row>
    <row r="187">
      <c r="A187" s="30">
        <v>46142.0</v>
      </c>
      <c r="B187" s="12" t="s">
        <v>472</v>
      </c>
      <c r="C187" s="84" t="s">
        <v>9</v>
      </c>
      <c r="D187" s="84" t="s">
        <v>351</v>
      </c>
      <c r="E187" s="18">
        <v>90.89</v>
      </c>
      <c r="F187" s="12">
        <v>1.0</v>
      </c>
    </row>
    <row r="188">
      <c r="A188" s="30">
        <v>46142.0</v>
      </c>
      <c r="B188" s="12" t="s">
        <v>475</v>
      </c>
      <c r="C188" s="84" t="s">
        <v>9</v>
      </c>
      <c r="D188" s="84" t="s">
        <v>351</v>
      </c>
      <c r="E188" s="18">
        <v>20.89</v>
      </c>
      <c r="F188" s="12">
        <v>1.0</v>
      </c>
    </row>
    <row r="189">
      <c r="A189" s="30">
        <v>46142.0</v>
      </c>
      <c r="B189" s="12" t="s">
        <v>478</v>
      </c>
      <c r="C189" s="84" t="s">
        <v>9</v>
      </c>
      <c r="D189" s="84" t="s">
        <v>351</v>
      </c>
      <c r="E189" s="18">
        <v>204.89</v>
      </c>
      <c r="F189" s="12">
        <v>1.0</v>
      </c>
    </row>
    <row r="190">
      <c r="A190" s="30">
        <v>46142.0</v>
      </c>
      <c r="B190" s="12" t="s">
        <v>482</v>
      </c>
      <c r="C190" s="84" t="s">
        <v>9</v>
      </c>
      <c r="D190" s="84" t="s">
        <v>351</v>
      </c>
      <c r="E190" s="18">
        <v>20.89</v>
      </c>
      <c r="F190" s="12">
        <v>1.0</v>
      </c>
    </row>
    <row r="191">
      <c r="A191" s="30">
        <v>46142.0</v>
      </c>
      <c r="B191" s="12" t="s">
        <v>485</v>
      </c>
      <c r="C191" s="84" t="s">
        <v>9</v>
      </c>
      <c r="D191" s="84" t="s">
        <v>351</v>
      </c>
      <c r="E191" s="18">
        <v>22.89</v>
      </c>
      <c r="F191" s="12">
        <v>1.0</v>
      </c>
    </row>
    <row r="192">
      <c r="A192" s="30">
        <v>46142.0</v>
      </c>
      <c r="B192" s="12" t="s">
        <v>489</v>
      </c>
      <c r="C192" s="84" t="s">
        <v>9</v>
      </c>
      <c r="D192" s="84" t="s">
        <v>351</v>
      </c>
      <c r="E192" s="18">
        <v>44.89</v>
      </c>
      <c r="F192" s="12">
        <v>1.0</v>
      </c>
    </row>
    <row r="193">
      <c r="A193" s="30">
        <v>46142.0</v>
      </c>
      <c r="B193" s="12" t="s">
        <v>492</v>
      </c>
      <c r="C193" s="84" t="s">
        <v>9</v>
      </c>
      <c r="D193" s="84" t="s">
        <v>351</v>
      </c>
      <c r="E193" s="18">
        <v>47.89</v>
      </c>
      <c r="F193" s="12">
        <v>1.0</v>
      </c>
    </row>
    <row r="194">
      <c r="A194" s="30">
        <v>46142.0</v>
      </c>
      <c r="B194" s="12" t="s">
        <v>353</v>
      </c>
      <c r="C194" s="84" t="s">
        <v>9</v>
      </c>
      <c r="D194" s="84" t="s">
        <v>351</v>
      </c>
      <c r="E194" s="18">
        <v>120.89</v>
      </c>
      <c r="F194" s="12">
        <v>1.0</v>
      </c>
    </row>
    <row r="195">
      <c r="A195" s="30">
        <v>46142.0</v>
      </c>
      <c r="B195" s="12" t="s">
        <v>499</v>
      </c>
      <c r="C195" s="84" t="s">
        <v>9</v>
      </c>
      <c r="D195" s="84" t="s">
        <v>351</v>
      </c>
      <c r="E195" s="18">
        <v>240.89</v>
      </c>
      <c r="F195" s="12">
        <v>1.0</v>
      </c>
    </row>
    <row r="196">
      <c r="A196" s="30">
        <v>46142.0</v>
      </c>
      <c r="B196" s="12">
        <v>5.304528825E9</v>
      </c>
      <c r="C196" s="84" t="s">
        <v>9</v>
      </c>
      <c r="D196" s="84" t="s">
        <v>351</v>
      </c>
      <c r="E196" s="18">
        <v>112.89</v>
      </c>
      <c r="F196" s="12">
        <v>1.0</v>
      </c>
    </row>
    <row r="197">
      <c r="A197" s="30">
        <v>46142.0</v>
      </c>
      <c r="B197" s="12" t="s">
        <v>502</v>
      </c>
      <c r="C197" s="84" t="s">
        <v>9</v>
      </c>
      <c r="D197" s="84" t="s">
        <v>351</v>
      </c>
      <c r="E197" s="18">
        <v>98.89</v>
      </c>
      <c r="F197" s="12">
        <v>1.0</v>
      </c>
    </row>
    <row r="198">
      <c r="A198" s="30">
        <v>46142.0</v>
      </c>
      <c r="B198" s="12">
        <v>5.303918894E9</v>
      </c>
      <c r="C198" s="84" t="s">
        <v>9</v>
      </c>
      <c r="D198" s="84" t="s">
        <v>351</v>
      </c>
      <c r="E198" s="18">
        <v>157.89</v>
      </c>
      <c r="F198" s="12">
        <v>1.0</v>
      </c>
    </row>
    <row r="199">
      <c r="A199" s="30">
        <v>46142.0</v>
      </c>
      <c r="B199" s="12" t="s">
        <v>507</v>
      </c>
      <c r="C199" s="84" t="s">
        <v>9</v>
      </c>
      <c r="D199" s="84" t="s">
        <v>351</v>
      </c>
      <c r="E199" s="18">
        <v>285.89</v>
      </c>
      <c r="F199" s="12">
        <v>1.0</v>
      </c>
    </row>
    <row r="200">
      <c r="A200" s="30">
        <v>46143.0</v>
      </c>
      <c r="B200" s="12" t="s">
        <v>511</v>
      </c>
      <c r="C200" s="84" t="s">
        <v>9</v>
      </c>
      <c r="D200" s="84" t="s">
        <v>351</v>
      </c>
      <c r="E200" s="18">
        <v>172.89</v>
      </c>
      <c r="F200" s="12">
        <v>1.0</v>
      </c>
    </row>
    <row r="201">
      <c r="A201" s="30">
        <v>46143.0</v>
      </c>
      <c r="B201" s="4"/>
      <c r="C201" s="84" t="s">
        <v>9</v>
      </c>
      <c r="D201" s="84" t="s">
        <v>351</v>
      </c>
      <c r="E201" s="18"/>
      <c r="F201" s="12">
        <v>1.0</v>
      </c>
    </row>
    <row r="202">
      <c r="A202" s="88"/>
      <c r="B202" s="89"/>
      <c r="C202" s="90"/>
      <c r="D202" s="90"/>
      <c r="E202" s="63"/>
      <c r="F202" s="64"/>
    </row>
    <row r="203">
      <c r="A203" s="30">
        <v>46143.0</v>
      </c>
      <c r="B203" s="12" t="s">
        <v>521</v>
      </c>
      <c r="C203" s="84" t="s">
        <v>9</v>
      </c>
      <c r="D203" s="84" t="s">
        <v>351</v>
      </c>
      <c r="E203" s="18">
        <v>99.89</v>
      </c>
      <c r="F203" s="12">
        <v>1.0</v>
      </c>
    </row>
    <row r="204">
      <c r="A204" s="30">
        <v>46143.0</v>
      </c>
      <c r="B204" s="12" t="s">
        <v>525</v>
      </c>
      <c r="C204" s="84" t="s">
        <v>9</v>
      </c>
      <c r="D204" s="84" t="s">
        <v>351</v>
      </c>
      <c r="E204" s="18">
        <v>26.89</v>
      </c>
      <c r="F204" s="12">
        <v>1.0</v>
      </c>
    </row>
    <row r="205">
      <c r="A205" s="30">
        <v>46143.0</v>
      </c>
      <c r="B205" s="12" t="s">
        <v>528</v>
      </c>
      <c r="C205" s="84" t="s">
        <v>9</v>
      </c>
      <c r="D205" s="84" t="s">
        <v>351</v>
      </c>
      <c r="E205" s="18">
        <v>18.89</v>
      </c>
      <c r="F205" s="12">
        <v>1.0</v>
      </c>
    </row>
    <row r="206">
      <c r="A206" s="30">
        <v>46143.0</v>
      </c>
      <c r="B206" s="12" t="s">
        <v>531</v>
      </c>
      <c r="C206" s="84" t="s">
        <v>9</v>
      </c>
      <c r="D206" s="84" t="s">
        <v>351</v>
      </c>
      <c r="E206" s="18">
        <v>24.89</v>
      </c>
      <c r="F206" s="12">
        <v>1.0</v>
      </c>
    </row>
    <row r="207">
      <c r="A207" s="30">
        <v>46143.0</v>
      </c>
      <c r="B207" s="12" t="s">
        <v>535</v>
      </c>
      <c r="C207" s="84" t="s">
        <v>9</v>
      </c>
      <c r="D207" s="84" t="s">
        <v>351</v>
      </c>
      <c r="E207" s="18">
        <v>180.89</v>
      </c>
      <c r="F207" s="12">
        <v>1.0</v>
      </c>
    </row>
    <row r="208">
      <c r="A208" s="30">
        <v>46143.0</v>
      </c>
      <c r="B208" s="12" t="s">
        <v>539</v>
      </c>
      <c r="C208" s="84" t="s">
        <v>9</v>
      </c>
      <c r="D208" s="84" t="s">
        <v>351</v>
      </c>
      <c r="E208" s="18">
        <v>50.89</v>
      </c>
      <c r="F208" s="12">
        <v>1.0</v>
      </c>
    </row>
    <row r="209">
      <c r="A209" s="30">
        <v>46143.0</v>
      </c>
      <c r="B209" s="12" t="s">
        <v>539</v>
      </c>
      <c r="C209" s="84" t="s">
        <v>9</v>
      </c>
      <c r="D209" s="84" t="s">
        <v>351</v>
      </c>
      <c r="E209" s="18">
        <v>40.89</v>
      </c>
      <c r="F209" s="12">
        <v>1.0</v>
      </c>
    </row>
    <row r="210">
      <c r="A210" s="30">
        <v>46143.0</v>
      </c>
      <c r="B210" s="12" t="s">
        <v>545</v>
      </c>
      <c r="C210" s="84" t="s">
        <v>9</v>
      </c>
      <c r="D210" s="84" t="s">
        <v>351</v>
      </c>
      <c r="E210" s="18">
        <v>44.89</v>
      </c>
      <c r="F210" s="12">
        <v>1.0</v>
      </c>
    </row>
    <row r="211">
      <c r="A211" s="30">
        <v>46143.0</v>
      </c>
      <c r="B211" s="12" t="s">
        <v>548</v>
      </c>
      <c r="C211" s="84" t="s">
        <v>9</v>
      </c>
      <c r="D211" s="84" t="s">
        <v>351</v>
      </c>
      <c r="E211" s="18">
        <v>17.89</v>
      </c>
      <c r="F211" s="12">
        <v>1.0</v>
      </c>
    </row>
    <row r="212">
      <c r="A212" s="30">
        <v>46143.0</v>
      </c>
      <c r="B212" s="12" t="s">
        <v>551</v>
      </c>
      <c r="C212" s="84" t="s">
        <v>9</v>
      </c>
      <c r="D212" s="84" t="s">
        <v>351</v>
      </c>
      <c r="E212" s="18">
        <v>170.89</v>
      </c>
      <c r="F212" s="12">
        <v>1.0</v>
      </c>
    </row>
    <row r="213">
      <c r="A213" s="91"/>
      <c r="B213" s="92"/>
      <c r="C213" s="93"/>
      <c r="D213" s="93"/>
      <c r="E213" s="94"/>
      <c r="F213" s="95"/>
    </row>
    <row r="214">
      <c r="A214" s="30">
        <v>46146.0</v>
      </c>
      <c r="B214" s="12" t="s">
        <v>567</v>
      </c>
      <c r="C214" s="84" t="s">
        <v>9</v>
      </c>
      <c r="D214" s="84" t="s">
        <v>351</v>
      </c>
      <c r="E214" s="18">
        <v>68.89</v>
      </c>
      <c r="F214" s="12">
        <v>1.0</v>
      </c>
    </row>
    <row r="215">
      <c r="A215" s="30">
        <v>46146.0</v>
      </c>
      <c r="B215" s="12" t="s">
        <v>572</v>
      </c>
      <c r="C215" s="84" t="s">
        <v>9</v>
      </c>
      <c r="D215" s="84" t="s">
        <v>351</v>
      </c>
      <c r="E215" s="18">
        <v>84.89</v>
      </c>
      <c r="F215" s="12">
        <v>1.0</v>
      </c>
    </row>
    <row r="216">
      <c r="A216" s="30">
        <v>46146.0</v>
      </c>
      <c r="B216" s="12" t="s">
        <v>315</v>
      </c>
      <c r="C216" s="84" t="s">
        <v>9</v>
      </c>
      <c r="D216" s="84" t="s">
        <v>351</v>
      </c>
      <c r="E216" s="18">
        <v>20.89</v>
      </c>
      <c r="F216" s="12">
        <v>1.0</v>
      </c>
    </row>
    <row r="217">
      <c r="A217" s="30">
        <v>46146.0</v>
      </c>
      <c r="B217" s="12" t="s">
        <v>577</v>
      </c>
      <c r="C217" s="84" t="s">
        <v>9</v>
      </c>
      <c r="D217" s="84" t="s">
        <v>351</v>
      </c>
      <c r="E217" s="18">
        <v>80.89</v>
      </c>
      <c r="F217" s="12">
        <v>1.0</v>
      </c>
    </row>
    <row r="218">
      <c r="A218" s="30">
        <v>46146.0</v>
      </c>
      <c r="B218" s="12" t="s">
        <v>25</v>
      </c>
      <c r="C218" s="84" t="s">
        <v>9</v>
      </c>
      <c r="D218" s="84" t="s">
        <v>351</v>
      </c>
      <c r="E218" s="18">
        <v>219.89</v>
      </c>
      <c r="F218" s="12">
        <v>1.0</v>
      </c>
    </row>
    <row r="219">
      <c r="A219" s="30">
        <v>46146.0</v>
      </c>
      <c r="B219" s="12" t="s">
        <v>584</v>
      </c>
      <c r="C219" s="84" t="s">
        <v>9</v>
      </c>
      <c r="D219" s="84" t="s">
        <v>351</v>
      </c>
      <c r="E219" s="18">
        <v>89.89</v>
      </c>
      <c r="F219" s="12">
        <v>1.0</v>
      </c>
    </row>
    <row r="220">
      <c r="A220" s="30">
        <v>46146.0</v>
      </c>
      <c r="B220" s="12" t="s">
        <v>588</v>
      </c>
      <c r="C220" s="84" t="s">
        <v>9</v>
      </c>
      <c r="D220" s="84" t="s">
        <v>351</v>
      </c>
      <c r="E220" s="18">
        <v>210.89</v>
      </c>
      <c r="F220" s="12">
        <v>1.0</v>
      </c>
    </row>
    <row r="221">
      <c r="A221" s="30">
        <v>46146.0</v>
      </c>
      <c r="B221" s="12" t="s">
        <v>531</v>
      </c>
      <c r="C221" s="84" t="s">
        <v>9</v>
      </c>
      <c r="D221" s="84" t="s">
        <v>351</v>
      </c>
      <c r="E221" s="18">
        <v>24.89</v>
      </c>
      <c r="F221" s="12">
        <v>1.0</v>
      </c>
    </row>
    <row r="222">
      <c r="A222" s="30">
        <v>46146.0</v>
      </c>
      <c r="B222" s="12" t="s">
        <v>595</v>
      </c>
      <c r="C222" s="84" t="s">
        <v>9</v>
      </c>
      <c r="D222" s="84" t="s">
        <v>351</v>
      </c>
      <c r="E222" s="18">
        <v>14.89</v>
      </c>
      <c r="F222" s="12">
        <v>1.0</v>
      </c>
    </row>
    <row r="223">
      <c r="A223" s="30">
        <v>46146.0</v>
      </c>
      <c r="B223" s="12" t="s">
        <v>598</v>
      </c>
      <c r="C223" s="84" t="s">
        <v>9</v>
      </c>
      <c r="D223" s="84" t="s">
        <v>351</v>
      </c>
      <c r="E223" s="18">
        <v>66.89</v>
      </c>
      <c r="F223" s="12">
        <v>1.0</v>
      </c>
    </row>
    <row r="224">
      <c r="A224" s="30">
        <v>46146.0</v>
      </c>
      <c r="B224" s="12" t="s">
        <v>602</v>
      </c>
      <c r="C224" s="84" t="s">
        <v>9</v>
      </c>
      <c r="D224" s="84" t="s">
        <v>351</v>
      </c>
      <c r="E224" s="18">
        <v>149.89</v>
      </c>
      <c r="F224" s="12">
        <v>1.0</v>
      </c>
    </row>
    <row r="225">
      <c r="A225" s="30">
        <v>46146.0</v>
      </c>
      <c r="B225" s="12" t="s">
        <v>606</v>
      </c>
      <c r="C225" s="84" t="s">
        <v>9</v>
      </c>
      <c r="D225" s="84" t="s">
        <v>351</v>
      </c>
      <c r="E225" s="18">
        <v>89.89</v>
      </c>
      <c r="F225" s="12">
        <v>1.0</v>
      </c>
    </row>
    <row r="226">
      <c r="A226" s="30">
        <v>46146.0</v>
      </c>
      <c r="B226" s="12">
        <v>1.106322E7</v>
      </c>
      <c r="C226" s="84" t="s">
        <v>9</v>
      </c>
      <c r="D226" s="84" t="s">
        <v>351</v>
      </c>
      <c r="E226" s="18">
        <v>69.89</v>
      </c>
      <c r="F226" s="12">
        <v>1.0</v>
      </c>
    </row>
    <row r="227">
      <c r="A227" s="30">
        <v>46146.0</v>
      </c>
      <c r="B227" s="12" t="s">
        <v>614</v>
      </c>
      <c r="C227" s="84" t="s">
        <v>9</v>
      </c>
      <c r="D227" s="84" t="s">
        <v>351</v>
      </c>
      <c r="E227" s="18">
        <v>20.89</v>
      </c>
      <c r="F227" s="12">
        <v>1.0</v>
      </c>
    </row>
    <row r="228">
      <c r="A228" s="30">
        <v>46146.0</v>
      </c>
      <c r="B228" s="12" t="s">
        <v>23</v>
      </c>
      <c r="C228" s="84" t="s">
        <v>9</v>
      </c>
      <c r="D228" s="84" t="s">
        <v>351</v>
      </c>
      <c r="E228" s="18">
        <v>38.89</v>
      </c>
      <c r="F228" s="12">
        <v>1.0</v>
      </c>
    </row>
    <row r="229">
      <c r="A229" s="30">
        <v>46146.0</v>
      </c>
      <c r="B229" s="12" t="s">
        <v>618</v>
      </c>
      <c r="C229" s="84" t="s">
        <v>9</v>
      </c>
      <c r="D229" s="84" t="s">
        <v>351</v>
      </c>
      <c r="E229" s="18">
        <v>45.89</v>
      </c>
      <c r="F229" s="12">
        <v>1.0</v>
      </c>
    </row>
    <row r="230">
      <c r="A230" s="30">
        <v>46146.0</v>
      </c>
      <c r="B230" s="12" t="s">
        <v>54</v>
      </c>
      <c r="C230" s="84" t="s">
        <v>9</v>
      </c>
      <c r="D230" s="84" t="s">
        <v>351</v>
      </c>
      <c r="E230" s="18">
        <v>70.89</v>
      </c>
      <c r="F230" s="12">
        <v>1.0</v>
      </c>
    </row>
    <row r="231">
      <c r="A231" s="30">
        <v>46146.0</v>
      </c>
      <c r="B231" s="12" t="s">
        <v>73</v>
      </c>
      <c r="C231" s="84" t="s">
        <v>9</v>
      </c>
      <c r="D231" s="84" t="s">
        <v>351</v>
      </c>
      <c r="E231" s="18">
        <v>279.89</v>
      </c>
      <c r="F231" s="12">
        <v>2.0</v>
      </c>
    </row>
    <row r="232">
      <c r="A232" s="30">
        <v>46146.0</v>
      </c>
      <c r="B232" s="12" t="s">
        <v>627</v>
      </c>
      <c r="C232" s="84" t="s">
        <v>9</v>
      </c>
      <c r="D232" s="84" t="s">
        <v>351</v>
      </c>
      <c r="E232" s="18">
        <v>349.89</v>
      </c>
      <c r="F232" s="12">
        <v>1.0</v>
      </c>
    </row>
    <row r="233">
      <c r="A233" s="30">
        <v>46146.0</v>
      </c>
      <c r="B233" s="12" t="s">
        <v>26</v>
      </c>
      <c r="C233" s="84" t="s">
        <v>9</v>
      </c>
      <c r="D233" s="84" t="s">
        <v>351</v>
      </c>
      <c r="E233" s="18">
        <v>27.89</v>
      </c>
      <c r="F233" s="12">
        <v>1.0</v>
      </c>
    </row>
    <row r="234">
      <c r="A234" s="30">
        <v>46146.0</v>
      </c>
      <c r="B234" s="12" t="s">
        <v>631</v>
      </c>
      <c r="C234" s="84" t="s">
        <v>9</v>
      </c>
      <c r="D234" s="84" t="s">
        <v>351</v>
      </c>
      <c r="E234" s="18">
        <v>74.89</v>
      </c>
      <c r="F234" s="12">
        <v>1.0</v>
      </c>
    </row>
    <row r="235">
      <c r="A235" s="30">
        <v>46146.0</v>
      </c>
      <c r="B235" s="12" t="s">
        <v>636</v>
      </c>
      <c r="C235" s="84" t="s">
        <v>9</v>
      </c>
      <c r="D235" s="84" t="s">
        <v>351</v>
      </c>
      <c r="E235" s="18">
        <v>40.89</v>
      </c>
      <c r="F235" s="12">
        <v>1.0</v>
      </c>
    </row>
    <row r="236">
      <c r="A236" s="30">
        <v>46146.0</v>
      </c>
      <c r="B236" s="12" t="s">
        <v>639</v>
      </c>
      <c r="C236" s="84" t="s">
        <v>9</v>
      </c>
      <c r="D236" s="84" t="s">
        <v>351</v>
      </c>
      <c r="E236" s="18">
        <v>274.89</v>
      </c>
      <c r="F236" s="12">
        <v>1.0</v>
      </c>
    </row>
    <row r="237">
      <c r="A237" s="30">
        <v>46146.0</v>
      </c>
      <c r="B237" s="12">
        <v>1.106335E7</v>
      </c>
      <c r="C237" s="84" t="s">
        <v>9</v>
      </c>
      <c r="D237" s="84" t="s">
        <v>351</v>
      </c>
      <c r="E237" s="18">
        <v>390.89</v>
      </c>
      <c r="F237" s="12">
        <v>1.0</v>
      </c>
    </row>
    <row r="238">
      <c r="A238" s="30">
        <v>46146.0</v>
      </c>
      <c r="B238" s="12" t="s">
        <v>647</v>
      </c>
      <c r="C238" s="84" t="s">
        <v>9</v>
      </c>
      <c r="D238" s="84" t="s">
        <v>351</v>
      </c>
      <c r="E238" s="18">
        <v>120.89</v>
      </c>
      <c r="F238" s="12">
        <v>1.0</v>
      </c>
    </row>
    <row r="239">
      <c r="A239" s="30">
        <v>46146.0</v>
      </c>
      <c r="B239" s="12" t="s">
        <v>46</v>
      </c>
      <c r="C239" s="84" t="s">
        <v>9</v>
      </c>
      <c r="D239" s="84" t="s">
        <v>351</v>
      </c>
      <c r="E239" s="18">
        <v>60.89</v>
      </c>
      <c r="F239" s="12">
        <v>1.0</v>
      </c>
    </row>
    <row r="240">
      <c r="A240" s="30">
        <v>46146.0</v>
      </c>
      <c r="B240" s="12" t="s">
        <v>652</v>
      </c>
      <c r="C240" s="84" t="s">
        <v>9</v>
      </c>
      <c r="D240" s="84" t="s">
        <v>351</v>
      </c>
      <c r="E240" s="18">
        <v>28.89</v>
      </c>
      <c r="F240" s="12">
        <v>1.0</v>
      </c>
    </row>
    <row r="241">
      <c r="A241" s="30">
        <v>46146.0</v>
      </c>
      <c r="B241" s="12" t="s">
        <v>656</v>
      </c>
      <c r="C241" s="84" t="s">
        <v>9</v>
      </c>
      <c r="D241" s="84" t="s">
        <v>351</v>
      </c>
      <c r="E241" s="18">
        <v>22.89</v>
      </c>
      <c r="F241" s="12">
        <v>1.0</v>
      </c>
    </row>
    <row r="242">
      <c r="A242" s="30">
        <v>46146.0</v>
      </c>
      <c r="B242" s="12" t="s">
        <v>660</v>
      </c>
      <c r="C242" s="84" t="s">
        <v>9</v>
      </c>
      <c r="D242" s="84" t="s">
        <v>351</v>
      </c>
      <c r="E242" s="18">
        <v>10.89</v>
      </c>
      <c r="F242" s="12">
        <v>1.0</v>
      </c>
    </row>
    <row r="243">
      <c r="A243" s="30">
        <v>46146.0</v>
      </c>
      <c r="B243" s="12" t="s">
        <v>663</v>
      </c>
      <c r="C243" s="84" t="s">
        <v>9</v>
      </c>
      <c r="D243" s="84" t="s">
        <v>351</v>
      </c>
      <c r="E243" s="18">
        <v>22.89</v>
      </c>
      <c r="F243" s="12">
        <v>1.0</v>
      </c>
    </row>
    <row r="244">
      <c r="A244" s="30">
        <v>46146.0</v>
      </c>
      <c r="B244" s="12" t="s">
        <v>260</v>
      </c>
      <c r="C244" s="84" t="s">
        <v>9</v>
      </c>
      <c r="D244" s="84" t="s">
        <v>351</v>
      </c>
      <c r="E244" s="18">
        <v>16.89</v>
      </c>
      <c r="F244" s="12">
        <v>1.0</v>
      </c>
    </row>
    <row r="245">
      <c r="A245" s="30">
        <v>46146.0</v>
      </c>
      <c r="B245" s="12" t="s">
        <v>667</v>
      </c>
      <c r="C245" s="84" t="s">
        <v>9</v>
      </c>
      <c r="D245" s="84" t="s">
        <v>351</v>
      </c>
      <c r="E245" s="18">
        <v>20.89</v>
      </c>
      <c r="F245" s="12">
        <v>1.0</v>
      </c>
    </row>
    <row r="246">
      <c r="A246" s="30">
        <v>46146.0</v>
      </c>
      <c r="B246" s="12" t="s">
        <v>669</v>
      </c>
      <c r="C246" s="84" t="s">
        <v>9</v>
      </c>
      <c r="D246" s="84" t="s">
        <v>351</v>
      </c>
      <c r="E246" s="18">
        <v>18.89</v>
      </c>
      <c r="F246" s="12">
        <v>1.0</v>
      </c>
    </row>
    <row r="247">
      <c r="A247" s="30">
        <v>46146.0</v>
      </c>
      <c r="B247" s="12" t="s">
        <v>672</v>
      </c>
      <c r="C247" s="84" t="s">
        <v>9</v>
      </c>
      <c r="D247" s="84" t="s">
        <v>351</v>
      </c>
      <c r="E247" s="18">
        <v>21.89</v>
      </c>
      <c r="F247" s="12">
        <v>1.0</v>
      </c>
    </row>
    <row r="248">
      <c r="A248" s="30">
        <v>46146.0</v>
      </c>
      <c r="B248" s="12" t="s">
        <v>675</v>
      </c>
      <c r="C248" s="84" t="s">
        <v>9</v>
      </c>
      <c r="D248" s="84" t="s">
        <v>351</v>
      </c>
      <c r="E248" s="18">
        <v>18.89</v>
      </c>
      <c r="F248" s="12">
        <v>1.0</v>
      </c>
    </row>
    <row r="249">
      <c r="A249" s="79"/>
      <c r="B249" s="100"/>
      <c r="C249" s="101"/>
      <c r="D249" s="101"/>
      <c r="E249" s="82"/>
      <c r="F249" s="83"/>
    </row>
    <row r="250">
      <c r="A250" s="30">
        <v>46147.0</v>
      </c>
      <c r="B250" s="12" t="s">
        <v>685</v>
      </c>
      <c r="C250" s="84" t="s">
        <v>9</v>
      </c>
      <c r="D250" s="84" t="s">
        <v>351</v>
      </c>
      <c r="E250" s="18">
        <v>50.89</v>
      </c>
      <c r="F250" s="12">
        <v>1.0</v>
      </c>
    </row>
    <row r="251">
      <c r="A251" s="30">
        <v>46147.0</v>
      </c>
      <c r="B251" s="12" t="s">
        <v>688</v>
      </c>
      <c r="C251" s="84" t="s">
        <v>9</v>
      </c>
      <c r="D251" s="84" t="s">
        <v>351</v>
      </c>
      <c r="E251" s="18">
        <v>10.89</v>
      </c>
      <c r="F251" s="12">
        <v>1.0</v>
      </c>
    </row>
    <row r="252">
      <c r="A252" s="30">
        <v>46147.0</v>
      </c>
      <c r="B252" s="12" t="s">
        <v>691</v>
      </c>
      <c r="C252" s="84" t="s">
        <v>9</v>
      </c>
      <c r="D252" s="84" t="s">
        <v>351</v>
      </c>
      <c r="E252" s="18">
        <v>28.89</v>
      </c>
      <c r="F252" s="12">
        <v>1.0</v>
      </c>
    </row>
    <row r="253">
      <c r="A253" s="30">
        <v>46147.0</v>
      </c>
      <c r="B253" s="12" t="s">
        <v>695</v>
      </c>
      <c r="C253" s="84" t="s">
        <v>9</v>
      </c>
      <c r="D253" s="84" t="s">
        <v>351</v>
      </c>
      <c r="E253" s="18">
        <v>95.89</v>
      </c>
      <c r="F253" s="12">
        <v>1.0</v>
      </c>
    </row>
    <row r="254">
      <c r="A254" s="30">
        <v>46147.0</v>
      </c>
      <c r="B254" s="12" t="s">
        <v>260</v>
      </c>
      <c r="C254" s="84" t="s">
        <v>9</v>
      </c>
      <c r="D254" s="84" t="s">
        <v>351</v>
      </c>
      <c r="E254" s="18">
        <v>16.89</v>
      </c>
      <c r="F254" s="12">
        <v>1.0</v>
      </c>
    </row>
    <row r="255">
      <c r="A255" s="30">
        <v>46147.0</v>
      </c>
      <c r="B255" s="12">
        <v>279973.0</v>
      </c>
      <c r="C255" s="84" t="s">
        <v>9</v>
      </c>
      <c r="D255" s="84" t="s">
        <v>351</v>
      </c>
      <c r="E255" s="18">
        <v>17.89</v>
      </c>
      <c r="F255" s="12">
        <v>1.0</v>
      </c>
    </row>
    <row r="256">
      <c r="A256" s="30">
        <v>46147.0</v>
      </c>
      <c r="B256" s="12" t="s">
        <v>703</v>
      </c>
      <c r="C256" s="84" t="s">
        <v>9</v>
      </c>
      <c r="D256" s="84" t="s">
        <v>351</v>
      </c>
      <c r="E256" s="18">
        <v>36.89</v>
      </c>
      <c r="F256" s="12">
        <v>1.0</v>
      </c>
    </row>
    <row r="257">
      <c r="A257" s="30">
        <v>46147.0</v>
      </c>
      <c r="B257" s="4"/>
      <c r="C257" s="84" t="s">
        <v>9</v>
      </c>
      <c r="D257" s="84" t="s">
        <v>351</v>
      </c>
      <c r="E257" s="18"/>
      <c r="F257" s="12">
        <v>1.0</v>
      </c>
    </row>
    <row r="258">
      <c r="A258" s="30">
        <v>46147.0</v>
      </c>
      <c r="B258" s="4"/>
      <c r="C258" s="84" t="s">
        <v>9</v>
      </c>
      <c r="D258" s="84" t="s">
        <v>351</v>
      </c>
      <c r="E258" s="18"/>
      <c r="F258" s="12">
        <v>1.0</v>
      </c>
    </row>
    <row r="259">
      <c r="A259" s="30">
        <v>46147.0</v>
      </c>
      <c r="B259" s="4"/>
      <c r="C259" s="84" t="s">
        <v>9</v>
      </c>
      <c r="D259" s="84" t="s">
        <v>351</v>
      </c>
      <c r="E259" s="18"/>
      <c r="F259" s="12">
        <v>1.0</v>
      </c>
    </row>
    <row r="260">
      <c r="A260" s="30">
        <v>46147.0</v>
      </c>
      <c r="B260" s="4"/>
      <c r="C260" s="84" t="s">
        <v>9</v>
      </c>
      <c r="D260" s="84" t="s">
        <v>351</v>
      </c>
      <c r="E260" s="18"/>
      <c r="F260" s="12">
        <v>1.0</v>
      </c>
    </row>
    <row r="261">
      <c r="A261" s="30">
        <v>46147.0</v>
      </c>
      <c r="B261" s="4"/>
      <c r="C261" s="84" t="s">
        <v>9</v>
      </c>
      <c r="D261" s="84" t="s">
        <v>351</v>
      </c>
      <c r="E261" s="18"/>
      <c r="F261" s="12">
        <v>1.0</v>
      </c>
    </row>
    <row r="262">
      <c r="A262" s="30">
        <v>46147.0</v>
      </c>
      <c r="B262" s="4"/>
      <c r="C262" s="84" t="s">
        <v>9</v>
      </c>
      <c r="D262" s="84" t="s">
        <v>351</v>
      </c>
      <c r="E262" s="18"/>
      <c r="F262" s="12">
        <v>1.0</v>
      </c>
    </row>
    <row r="263">
      <c r="A263" s="30">
        <v>46147.0</v>
      </c>
      <c r="B263" s="4"/>
      <c r="C263" s="84" t="s">
        <v>9</v>
      </c>
      <c r="D263" s="84" t="s">
        <v>351</v>
      </c>
      <c r="E263" s="18"/>
      <c r="F263" s="12">
        <v>1.0</v>
      </c>
    </row>
    <row r="264">
      <c r="A264" s="30">
        <v>46147.0</v>
      </c>
      <c r="B264" s="4"/>
      <c r="C264" s="84" t="s">
        <v>9</v>
      </c>
      <c r="D264" s="84" t="s">
        <v>351</v>
      </c>
      <c r="E264" s="18"/>
      <c r="F264" s="12">
        <v>1.0</v>
      </c>
    </row>
    <row r="265">
      <c r="A265" s="30">
        <v>46147.0</v>
      </c>
      <c r="B265" s="4"/>
      <c r="C265" s="84" t="s">
        <v>9</v>
      </c>
      <c r="D265" s="84" t="s">
        <v>351</v>
      </c>
      <c r="E265" s="18"/>
      <c r="F265" s="12">
        <v>1.0</v>
      </c>
    </row>
    <row r="266">
      <c r="A266" s="30">
        <v>46147.0</v>
      </c>
      <c r="B266" s="4"/>
      <c r="C266" s="84" t="s">
        <v>9</v>
      </c>
      <c r="D266" s="84" t="s">
        <v>351</v>
      </c>
      <c r="E266" s="18"/>
      <c r="F266" s="12">
        <v>1.0</v>
      </c>
    </row>
    <row r="267">
      <c r="A267" s="30">
        <v>46147.0</v>
      </c>
      <c r="B267" s="4"/>
      <c r="C267" s="84" t="s">
        <v>9</v>
      </c>
      <c r="D267" s="84" t="s">
        <v>351</v>
      </c>
      <c r="E267" s="18"/>
      <c r="F267" s="12">
        <v>1.0</v>
      </c>
    </row>
    <row r="268">
      <c r="A268" s="30">
        <v>46147.0</v>
      </c>
      <c r="B268" s="4"/>
      <c r="C268" s="84" t="s">
        <v>9</v>
      </c>
      <c r="D268" s="84" t="s">
        <v>351</v>
      </c>
      <c r="E268" s="18"/>
      <c r="F268" s="12">
        <v>1.0</v>
      </c>
    </row>
    <row r="269">
      <c r="A269" s="30">
        <v>46147.0</v>
      </c>
      <c r="B269" s="4"/>
      <c r="C269" s="84" t="s">
        <v>9</v>
      </c>
      <c r="D269" s="84" t="s">
        <v>351</v>
      </c>
      <c r="E269" s="18"/>
      <c r="F269" s="12">
        <v>1.0</v>
      </c>
    </row>
    <row r="270">
      <c r="A270" s="30">
        <v>46147.0</v>
      </c>
      <c r="B270" s="4"/>
      <c r="C270" s="84" t="s">
        <v>9</v>
      </c>
      <c r="D270" s="84" t="s">
        <v>351</v>
      </c>
      <c r="E270" s="18"/>
      <c r="F270" s="12">
        <v>1.0</v>
      </c>
    </row>
    <row r="271">
      <c r="A271" s="30">
        <v>46147.0</v>
      </c>
      <c r="B271" s="4"/>
      <c r="C271" s="84" t="s">
        <v>9</v>
      </c>
      <c r="D271" s="84" t="s">
        <v>351</v>
      </c>
      <c r="E271" s="18"/>
      <c r="F271" s="12">
        <v>1.0</v>
      </c>
    </row>
    <row r="272">
      <c r="A272" s="30">
        <v>46147.0</v>
      </c>
      <c r="B272" s="4"/>
      <c r="C272" s="84" t="s">
        <v>9</v>
      </c>
      <c r="D272" s="84" t="s">
        <v>351</v>
      </c>
      <c r="E272" s="18"/>
      <c r="F272" s="12">
        <v>1.0</v>
      </c>
    </row>
    <row r="273">
      <c r="A273" s="30">
        <v>46147.0</v>
      </c>
      <c r="B273" s="4"/>
      <c r="C273" s="84" t="s">
        <v>9</v>
      </c>
      <c r="D273" s="84" t="s">
        <v>351</v>
      </c>
      <c r="E273" s="18"/>
      <c r="F273" s="12">
        <v>1.0</v>
      </c>
    </row>
    <row r="274">
      <c r="A274" s="30">
        <v>46147.0</v>
      </c>
      <c r="B274" s="4"/>
      <c r="C274" s="84" t="s">
        <v>9</v>
      </c>
      <c r="D274" s="84" t="s">
        <v>351</v>
      </c>
      <c r="E274" s="18"/>
      <c r="F274" s="12">
        <v>1.0</v>
      </c>
    </row>
    <row r="275">
      <c r="A275" s="30">
        <v>46147.0</v>
      </c>
      <c r="B275" s="4"/>
      <c r="C275" s="84" t="s">
        <v>9</v>
      </c>
      <c r="D275" s="84" t="s">
        <v>351</v>
      </c>
      <c r="E275" s="18"/>
      <c r="F275" s="12">
        <v>1.0</v>
      </c>
    </row>
    <row r="276">
      <c r="A276" s="30">
        <v>46147.0</v>
      </c>
      <c r="B276" s="4"/>
      <c r="C276" s="84" t="s">
        <v>9</v>
      </c>
      <c r="D276" s="84" t="s">
        <v>351</v>
      </c>
      <c r="E276" s="18"/>
      <c r="F276" s="12">
        <v>1.0</v>
      </c>
    </row>
    <row r="277">
      <c r="A277" s="30">
        <v>46147.0</v>
      </c>
      <c r="B277" s="4"/>
      <c r="C277" s="84" t="s">
        <v>9</v>
      </c>
      <c r="D277" s="84" t="s">
        <v>351</v>
      </c>
      <c r="E277" s="18"/>
      <c r="F277" s="12">
        <v>1.0</v>
      </c>
    </row>
    <row r="278">
      <c r="A278" s="30">
        <v>46147.0</v>
      </c>
      <c r="B278" s="4"/>
      <c r="C278" s="84" t="s">
        <v>9</v>
      </c>
      <c r="D278" s="84" t="s">
        <v>351</v>
      </c>
      <c r="E278" s="18"/>
      <c r="F278" s="12">
        <v>1.0</v>
      </c>
    </row>
    <row r="279">
      <c r="A279" s="30">
        <v>46147.0</v>
      </c>
      <c r="B279" s="4"/>
      <c r="C279" s="84" t="s">
        <v>9</v>
      </c>
      <c r="D279" s="84" t="s">
        <v>351</v>
      </c>
      <c r="E279" s="18"/>
      <c r="F279" s="12">
        <v>1.0</v>
      </c>
    </row>
    <row r="280">
      <c r="A280" s="30">
        <v>46147.0</v>
      </c>
      <c r="B280" s="4"/>
      <c r="C280" s="84" t="s">
        <v>9</v>
      </c>
      <c r="D280" s="84" t="s">
        <v>351</v>
      </c>
      <c r="E280" s="18"/>
      <c r="F280" s="12">
        <v>1.0</v>
      </c>
    </row>
    <row r="281">
      <c r="A281" s="30">
        <v>46147.0</v>
      </c>
      <c r="B281" s="4"/>
      <c r="C281" s="84" t="s">
        <v>9</v>
      </c>
      <c r="D281" s="84" t="s">
        <v>351</v>
      </c>
      <c r="E281" s="18"/>
      <c r="F281" s="12">
        <v>1.0</v>
      </c>
    </row>
    <row r="282">
      <c r="A282" s="30">
        <v>46147.0</v>
      </c>
      <c r="B282" s="4"/>
      <c r="C282" s="84" t="s">
        <v>9</v>
      </c>
      <c r="D282" s="84" t="s">
        <v>351</v>
      </c>
      <c r="E282" s="18"/>
      <c r="F282" s="12">
        <v>1.0</v>
      </c>
    </row>
    <row r="283">
      <c r="A283" s="30">
        <v>46147.0</v>
      </c>
      <c r="B283" s="4"/>
      <c r="C283" s="84" t="s">
        <v>9</v>
      </c>
      <c r="D283" s="84" t="s">
        <v>351</v>
      </c>
      <c r="E283" s="18"/>
      <c r="F283" s="12">
        <v>1.0</v>
      </c>
    </row>
    <row r="284">
      <c r="A284" s="30">
        <v>46147.0</v>
      </c>
      <c r="B284" s="4"/>
      <c r="C284" s="84" t="s">
        <v>9</v>
      </c>
      <c r="D284" s="84" t="s">
        <v>351</v>
      </c>
      <c r="E284" s="18"/>
      <c r="F284" s="12">
        <v>1.0</v>
      </c>
    </row>
    <row r="285">
      <c r="A285" s="30">
        <v>46147.0</v>
      </c>
      <c r="B285" s="4"/>
      <c r="C285" s="84" t="s">
        <v>9</v>
      </c>
      <c r="D285" s="84" t="s">
        <v>351</v>
      </c>
      <c r="E285" s="18"/>
      <c r="F285" s="12">
        <v>1.0</v>
      </c>
    </row>
    <row r="286">
      <c r="A286" s="30">
        <v>46147.0</v>
      </c>
      <c r="B286" s="4"/>
      <c r="C286" s="84" t="s">
        <v>9</v>
      </c>
      <c r="D286" s="84" t="s">
        <v>351</v>
      </c>
      <c r="E286" s="18"/>
      <c r="F286" s="12">
        <v>1.0</v>
      </c>
    </row>
    <row r="287">
      <c r="A287" s="30">
        <v>46147.0</v>
      </c>
      <c r="B287" s="4"/>
      <c r="C287" s="84" t="s">
        <v>9</v>
      </c>
      <c r="D287" s="84" t="s">
        <v>351</v>
      </c>
      <c r="E287" s="18"/>
      <c r="F287" s="12">
        <v>1.0</v>
      </c>
    </row>
    <row r="288">
      <c r="A288" s="30">
        <v>46147.0</v>
      </c>
      <c r="B288" s="4"/>
      <c r="C288" s="84" t="s">
        <v>9</v>
      </c>
      <c r="D288" s="84" t="s">
        <v>351</v>
      </c>
      <c r="E288" s="18"/>
      <c r="F288" s="12">
        <v>1.0</v>
      </c>
    </row>
    <row r="289">
      <c r="A289" s="30">
        <v>46147.0</v>
      </c>
      <c r="B289" s="4"/>
      <c r="C289" s="84" t="s">
        <v>9</v>
      </c>
      <c r="D289" s="84" t="s">
        <v>351</v>
      </c>
      <c r="E289" s="18"/>
      <c r="F289" s="12">
        <v>1.0</v>
      </c>
    </row>
    <row r="290">
      <c r="A290" s="30">
        <v>46147.0</v>
      </c>
      <c r="B290" s="4"/>
      <c r="C290" s="84" t="s">
        <v>9</v>
      </c>
      <c r="D290" s="84" t="s">
        <v>351</v>
      </c>
      <c r="E290" s="18"/>
      <c r="F290" s="12">
        <v>1.0</v>
      </c>
    </row>
    <row r="291">
      <c r="A291" s="30">
        <v>46147.0</v>
      </c>
      <c r="B291" s="4"/>
      <c r="C291" s="84" t="s">
        <v>9</v>
      </c>
      <c r="D291" s="84" t="s">
        <v>351</v>
      </c>
      <c r="E291" s="18"/>
      <c r="F291" s="12">
        <v>1.0</v>
      </c>
    </row>
    <row r="292">
      <c r="A292" s="30">
        <v>46147.0</v>
      </c>
      <c r="B292" s="4"/>
      <c r="C292" s="84" t="s">
        <v>9</v>
      </c>
      <c r="D292" s="84" t="s">
        <v>351</v>
      </c>
      <c r="E292" s="18"/>
      <c r="F292" s="12">
        <v>1.0</v>
      </c>
    </row>
    <row r="293">
      <c r="A293" s="30">
        <v>46147.0</v>
      </c>
      <c r="B293" s="4"/>
      <c r="C293" s="84" t="s">
        <v>9</v>
      </c>
      <c r="D293" s="84" t="s">
        <v>351</v>
      </c>
      <c r="E293" s="18"/>
      <c r="F293" s="12">
        <v>1.0</v>
      </c>
    </row>
    <row r="294">
      <c r="A294" s="30">
        <v>46147.0</v>
      </c>
      <c r="B294" s="4"/>
      <c r="C294" s="84" t="s">
        <v>9</v>
      </c>
      <c r="D294" s="84" t="s">
        <v>351</v>
      </c>
      <c r="E294" s="18"/>
      <c r="F294" s="12">
        <v>1.0</v>
      </c>
    </row>
    <row r="295">
      <c r="A295" s="30">
        <v>46147.0</v>
      </c>
      <c r="B295" s="4"/>
      <c r="C295" s="84" t="s">
        <v>9</v>
      </c>
      <c r="D295" s="84" t="s">
        <v>351</v>
      </c>
      <c r="E295" s="18"/>
      <c r="F295" s="12">
        <v>1.0</v>
      </c>
    </row>
    <row r="296">
      <c r="A296" s="30">
        <v>46147.0</v>
      </c>
      <c r="B296" s="4"/>
      <c r="C296" s="84" t="s">
        <v>9</v>
      </c>
      <c r="D296" s="84" t="s">
        <v>351</v>
      </c>
      <c r="E296" s="18"/>
      <c r="F296" s="12">
        <v>1.0</v>
      </c>
    </row>
    <row r="297">
      <c r="A297" s="102"/>
      <c r="B297" s="102"/>
      <c r="C297" s="102"/>
      <c r="D297" s="102"/>
      <c r="E297" s="102"/>
      <c r="F297" s="102"/>
    </row>
    <row r="298">
      <c r="A298" s="103">
        <v>46164.0</v>
      </c>
      <c r="B298" s="104" t="s">
        <v>791</v>
      </c>
      <c r="C298" s="105" t="s">
        <v>9</v>
      </c>
      <c r="D298" s="105" t="s">
        <v>351</v>
      </c>
      <c r="E298" s="106">
        <v>39.89</v>
      </c>
      <c r="F298" s="106">
        <v>3.0</v>
      </c>
    </row>
    <row r="299">
      <c r="A299" s="103">
        <v>46164.0</v>
      </c>
      <c r="B299" s="104" t="s">
        <v>800</v>
      </c>
      <c r="C299" s="105" t="s">
        <v>9</v>
      </c>
      <c r="D299" s="105" t="s">
        <v>351</v>
      </c>
      <c r="E299" s="106">
        <v>20.89</v>
      </c>
      <c r="F299" s="106">
        <v>1.0</v>
      </c>
    </row>
    <row r="300">
      <c r="A300" s="102"/>
      <c r="B300" s="102"/>
      <c r="C300" s="102"/>
      <c r="D300" s="102"/>
      <c r="E300" s="102"/>
      <c r="F300" s="102"/>
    </row>
    <row r="301">
      <c r="A301" s="103">
        <v>46168.0</v>
      </c>
      <c r="B301" s="104" t="s">
        <v>804</v>
      </c>
      <c r="C301" s="105" t="s">
        <v>9</v>
      </c>
      <c r="D301" s="105" t="s">
        <v>351</v>
      </c>
      <c r="E301" s="104">
        <v>20.89</v>
      </c>
      <c r="F301" s="107"/>
    </row>
    <row r="302">
      <c r="A302" s="103">
        <v>46168.0</v>
      </c>
      <c r="B302" s="104" t="s">
        <v>809</v>
      </c>
      <c r="C302" s="105" t="s">
        <v>9</v>
      </c>
      <c r="D302" s="105" t="s">
        <v>351</v>
      </c>
      <c r="E302" s="104">
        <v>29.89</v>
      </c>
      <c r="F302" s="107"/>
    </row>
    <row r="303">
      <c r="A303" s="103">
        <v>46168.0</v>
      </c>
      <c r="B303" s="104" t="s">
        <v>812</v>
      </c>
      <c r="C303" s="105" t="s">
        <v>9</v>
      </c>
      <c r="D303" s="105" t="s">
        <v>351</v>
      </c>
      <c r="E303" s="104">
        <v>34.89</v>
      </c>
      <c r="F303" s="107"/>
    </row>
    <row r="304">
      <c r="A304" s="103">
        <v>46168.0</v>
      </c>
      <c r="B304" s="108">
        <v>5.304494446E9</v>
      </c>
      <c r="C304" s="105" t="s">
        <v>9</v>
      </c>
      <c r="D304" s="105" t="s">
        <v>351</v>
      </c>
      <c r="E304" s="104">
        <v>20.89</v>
      </c>
      <c r="F304" s="107"/>
    </row>
    <row r="305">
      <c r="A305" s="103">
        <v>46168.0</v>
      </c>
      <c r="B305" s="104" t="s">
        <v>819</v>
      </c>
      <c r="C305" s="105" t="s">
        <v>9</v>
      </c>
      <c r="D305" s="105" t="s">
        <v>351</v>
      </c>
      <c r="E305" s="104">
        <v>20.89</v>
      </c>
      <c r="F305" s="107"/>
    </row>
    <row r="306">
      <c r="A306" s="103">
        <v>46168.0</v>
      </c>
      <c r="B306" s="104" t="s">
        <v>822</v>
      </c>
      <c r="C306" s="105" t="s">
        <v>9</v>
      </c>
      <c r="D306" s="105" t="s">
        <v>351</v>
      </c>
      <c r="E306" s="104">
        <v>20.89</v>
      </c>
      <c r="F306" s="107"/>
    </row>
    <row r="307">
      <c r="A307" s="103">
        <v>46168.0</v>
      </c>
      <c r="B307" s="104" t="s">
        <v>825</v>
      </c>
      <c r="C307" s="105" t="s">
        <v>9</v>
      </c>
      <c r="D307" s="105" t="s">
        <v>351</v>
      </c>
      <c r="E307" s="104">
        <v>69.89</v>
      </c>
      <c r="F307" s="107"/>
    </row>
    <row r="308">
      <c r="A308" s="103">
        <v>46168.0</v>
      </c>
      <c r="B308" s="104" t="s">
        <v>827</v>
      </c>
      <c r="C308" s="105" t="s">
        <v>9</v>
      </c>
      <c r="D308" s="105" t="s">
        <v>351</v>
      </c>
      <c r="E308" s="104">
        <v>20.89</v>
      </c>
      <c r="F308" s="107"/>
    </row>
    <row r="309">
      <c r="A309" s="103">
        <v>46168.0</v>
      </c>
      <c r="B309" s="104" t="s">
        <v>830</v>
      </c>
      <c r="C309" s="105" t="s">
        <v>9</v>
      </c>
      <c r="D309" s="105" t="s">
        <v>351</v>
      </c>
      <c r="E309" s="104">
        <v>179.89</v>
      </c>
      <c r="F309" s="107"/>
    </row>
    <row r="310">
      <c r="A310" s="103">
        <v>46168.0</v>
      </c>
      <c r="B310" s="108">
        <v>1.347193E8</v>
      </c>
      <c r="C310" s="105" t="s">
        <v>9</v>
      </c>
      <c r="D310" s="105" t="s">
        <v>351</v>
      </c>
      <c r="E310" s="104">
        <v>20.89</v>
      </c>
      <c r="F310" s="107"/>
    </row>
    <row r="311">
      <c r="A311" s="103">
        <v>46168.0</v>
      </c>
      <c r="B311" s="108">
        <v>5.304526183E9</v>
      </c>
      <c r="C311" s="105" t="s">
        <v>9</v>
      </c>
      <c r="D311" s="105" t="s">
        <v>351</v>
      </c>
      <c r="E311" s="104">
        <v>20.89</v>
      </c>
      <c r="F311" s="107"/>
    </row>
    <row r="312">
      <c r="A312" s="103">
        <v>46168.0</v>
      </c>
      <c r="B312" s="104" t="s">
        <v>837</v>
      </c>
      <c r="C312" s="105" t="s">
        <v>9</v>
      </c>
      <c r="D312" s="105" t="s">
        <v>351</v>
      </c>
      <c r="E312" s="104">
        <v>24.89</v>
      </c>
      <c r="F312" s="107"/>
    </row>
    <row r="313">
      <c r="A313" s="103">
        <v>46168.0</v>
      </c>
      <c r="B313" s="104" t="s">
        <v>840</v>
      </c>
      <c r="C313" s="105" t="s">
        <v>9</v>
      </c>
      <c r="D313" s="105" t="s">
        <v>351</v>
      </c>
      <c r="E313" s="104">
        <v>20.89</v>
      </c>
      <c r="F313" s="107"/>
    </row>
    <row r="314">
      <c r="A314" s="103">
        <v>46168.0</v>
      </c>
      <c r="B314" s="104" t="s">
        <v>106</v>
      </c>
      <c r="C314" s="105" t="s">
        <v>9</v>
      </c>
      <c r="D314" s="105" t="s">
        <v>351</v>
      </c>
      <c r="E314" s="104">
        <v>34.89</v>
      </c>
      <c r="F314" s="107"/>
    </row>
    <row r="315">
      <c r="A315" s="102"/>
      <c r="B315" s="102"/>
      <c r="C315" s="102"/>
      <c r="D315" s="102"/>
      <c r="E315" s="102"/>
      <c r="F315" s="102"/>
    </row>
    <row r="316">
      <c r="A316" s="103">
        <v>46169.0</v>
      </c>
      <c r="B316" s="104" t="s">
        <v>638</v>
      </c>
      <c r="C316" s="105" t="s">
        <v>9</v>
      </c>
      <c r="D316" s="105" t="s">
        <v>351</v>
      </c>
      <c r="E316" s="104">
        <v>20.89</v>
      </c>
      <c r="F316" s="107"/>
    </row>
    <row r="317">
      <c r="A317" s="103">
        <v>46169.0</v>
      </c>
      <c r="B317" s="104" t="s">
        <v>846</v>
      </c>
      <c r="C317" s="105" t="s">
        <v>9</v>
      </c>
      <c r="D317" s="105" t="s">
        <v>351</v>
      </c>
      <c r="E317" s="104">
        <v>69.89</v>
      </c>
      <c r="F317" s="107"/>
    </row>
    <row r="318">
      <c r="A318" s="103">
        <v>46169.0</v>
      </c>
      <c r="B318" s="104" t="s">
        <v>709</v>
      </c>
      <c r="C318" s="105" t="s">
        <v>9</v>
      </c>
      <c r="D318" s="105" t="s">
        <v>351</v>
      </c>
      <c r="E318" s="104">
        <v>39.89</v>
      </c>
      <c r="F318" s="107"/>
    </row>
    <row r="319">
      <c r="A319" s="103">
        <v>46169.0</v>
      </c>
      <c r="B319" s="104" t="s">
        <v>230</v>
      </c>
      <c r="C319" s="105" t="s">
        <v>9</v>
      </c>
      <c r="D319" s="105" t="s">
        <v>351</v>
      </c>
      <c r="E319" s="104">
        <v>20.89</v>
      </c>
      <c r="F319" s="107"/>
    </row>
    <row r="320">
      <c r="A320" s="103">
        <v>46169.0</v>
      </c>
      <c r="B320" s="104" t="s">
        <v>851</v>
      </c>
      <c r="C320" s="105" t="s">
        <v>9</v>
      </c>
      <c r="D320" s="105" t="s">
        <v>351</v>
      </c>
      <c r="E320" s="104">
        <v>20.89</v>
      </c>
      <c r="F320" s="107"/>
    </row>
    <row r="321">
      <c r="A321" s="103">
        <v>46169.0</v>
      </c>
      <c r="B321" s="104" t="s">
        <v>854</v>
      </c>
      <c r="C321" s="105" t="s">
        <v>9</v>
      </c>
      <c r="D321" s="105" t="s">
        <v>351</v>
      </c>
      <c r="E321" s="104">
        <v>20.89</v>
      </c>
      <c r="F321" s="107"/>
    </row>
    <row r="322">
      <c r="A322" s="103">
        <v>46169.0</v>
      </c>
      <c r="B322" s="104" t="s">
        <v>857</v>
      </c>
      <c r="C322" s="105" t="s">
        <v>9</v>
      </c>
      <c r="D322" s="105" t="s">
        <v>351</v>
      </c>
      <c r="E322" s="104">
        <v>20.89</v>
      </c>
      <c r="F322" s="107"/>
    </row>
    <row r="323">
      <c r="A323" s="103">
        <v>46169.0</v>
      </c>
      <c r="B323" s="104" t="s">
        <v>860</v>
      </c>
      <c r="C323" s="105" t="s">
        <v>9</v>
      </c>
      <c r="D323" s="105" t="s">
        <v>351</v>
      </c>
      <c r="E323" s="104">
        <v>29.89</v>
      </c>
      <c r="F323" s="107"/>
    </row>
    <row r="324">
      <c r="A324" s="103">
        <v>46169.0</v>
      </c>
      <c r="B324" s="104" t="s">
        <v>863</v>
      </c>
      <c r="C324" s="105" t="s">
        <v>9</v>
      </c>
      <c r="D324" s="105" t="s">
        <v>351</v>
      </c>
      <c r="E324" s="104">
        <v>84.89</v>
      </c>
      <c r="F324" s="107"/>
    </row>
    <row r="325">
      <c r="A325" s="103">
        <v>46169.0</v>
      </c>
      <c r="B325" s="104" t="s">
        <v>865</v>
      </c>
      <c r="C325" s="105" t="s">
        <v>9</v>
      </c>
      <c r="D325" s="105" t="s">
        <v>351</v>
      </c>
      <c r="E325" s="104">
        <v>20.89</v>
      </c>
      <c r="F325" s="107"/>
    </row>
    <row r="326">
      <c r="A326" s="103">
        <v>46169.0</v>
      </c>
      <c r="B326" s="104" t="s">
        <v>868</v>
      </c>
      <c r="C326" s="105" t="s">
        <v>9</v>
      </c>
      <c r="D326" s="105" t="s">
        <v>351</v>
      </c>
      <c r="E326" s="104">
        <v>99.89</v>
      </c>
      <c r="F326" s="107"/>
    </row>
    <row r="327">
      <c r="A327" s="103">
        <v>46169.0</v>
      </c>
      <c r="B327" s="104">
        <v>1.1002015016732E13</v>
      </c>
      <c r="C327" s="105" t="s">
        <v>9</v>
      </c>
      <c r="D327" s="105" t="s">
        <v>351</v>
      </c>
      <c r="E327" s="104">
        <v>33.89</v>
      </c>
      <c r="F327" s="107"/>
    </row>
    <row r="328">
      <c r="A328" s="103">
        <v>46169.0</v>
      </c>
      <c r="B328" s="104" t="s">
        <v>871</v>
      </c>
      <c r="C328" s="105" t="s">
        <v>9</v>
      </c>
      <c r="D328" s="105" t="s">
        <v>351</v>
      </c>
      <c r="E328" s="104">
        <v>99.89</v>
      </c>
      <c r="F328" s="107"/>
    </row>
    <row r="329">
      <c r="A329" s="103">
        <v>46169.0</v>
      </c>
      <c r="B329" s="109" t="s">
        <v>875</v>
      </c>
      <c r="C329" s="105" t="s">
        <v>9</v>
      </c>
      <c r="D329" s="105" t="s">
        <v>351</v>
      </c>
      <c r="E329" s="104">
        <v>29.89</v>
      </c>
      <c r="F329" s="107"/>
    </row>
    <row r="330">
      <c r="A330" s="103">
        <v>46169.0</v>
      </c>
      <c r="B330" s="104" t="s">
        <v>876</v>
      </c>
      <c r="C330" s="105" t="s">
        <v>9</v>
      </c>
      <c r="D330" s="105" t="s">
        <v>351</v>
      </c>
      <c r="E330" s="104">
        <v>20.89</v>
      </c>
      <c r="F330" s="107"/>
    </row>
    <row r="331">
      <c r="A331" s="103">
        <v>46169.0</v>
      </c>
      <c r="B331" s="109" t="s">
        <v>879</v>
      </c>
      <c r="C331" s="105" t="s">
        <v>9</v>
      </c>
      <c r="D331" s="105" t="s">
        <v>351</v>
      </c>
      <c r="E331" s="104">
        <v>39.89</v>
      </c>
      <c r="F331" s="107"/>
    </row>
    <row r="332">
      <c r="A332" s="102"/>
      <c r="B332" s="102"/>
      <c r="C332" s="102"/>
      <c r="D332" s="102"/>
      <c r="E332" s="102"/>
      <c r="F332" s="102"/>
    </row>
    <row r="333">
      <c r="A333" s="103">
        <v>46170.0</v>
      </c>
      <c r="B333" s="108">
        <v>5.304534878E9</v>
      </c>
      <c r="C333" s="105" t="s">
        <v>9</v>
      </c>
      <c r="D333" s="105" t="s">
        <v>351</v>
      </c>
      <c r="E333" s="104">
        <v>39.89</v>
      </c>
      <c r="F333" s="104">
        <v>1.0</v>
      </c>
    </row>
    <row r="334">
      <c r="A334" s="103">
        <v>46170.0</v>
      </c>
      <c r="B334" s="108" t="s">
        <v>885</v>
      </c>
      <c r="C334" s="105" t="s">
        <v>9</v>
      </c>
      <c r="D334" s="105" t="s">
        <v>351</v>
      </c>
      <c r="E334" s="104">
        <v>29.89</v>
      </c>
      <c r="F334" s="104">
        <v>1.0</v>
      </c>
    </row>
    <row r="335">
      <c r="A335" s="103">
        <v>46170.0</v>
      </c>
      <c r="B335" s="108" t="s">
        <v>889</v>
      </c>
      <c r="C335" s="105" t="s">
        <v>9</v>
      </c>
      <c r="D335" s="105" t="s">
        <v>351</v>
      </c>
      <c r="E335" s="104">
        <v>39.89</v>
      </c>
      <c r="F335" s="104">
        <v>1.0</v>
      </c>
    </row>
    <row r="336">
      <c r="A336" s="103">
        <v>46170.0</v>
      </c>
      <c r="B336" s="108" t="s">
        <v>892</v>
      </c>
      <c r="C336" s="105" t="s">
        <v>9</v>
      </c>
      <c r="D336" s="105" t="s">
        <v>351</v>
      </c>
      <c r="E336" s="104">
        <v>24.89</v>
      </c>
      <c r="F336" s="104">
        <v>1.0</v>
      </c>
    </row>
    <row r="337">
      <c r="A337" s="103">
        <v>46170.0</v>
      </c>
      <c r="B337" s="108" t="s">
        <v>809</v>
      </c>
      <c r="C337" s="105" t="s">
        <v>9</v>
      </c>
      <c r="D337" s="105" t="s">
        <v>351</v>
      </c>
      <c r="E337" s="104">
        <v>49.89</v>
      </c>
      <c r="F337" s="104">
        <v>1.0</v>
      </c>
    </row>
    <row r="338">
      <c r="A338" s="103">
        <v>46170.0</v>
      </c>
      <c r="B338" s="108" t="s">
        <v>897</v>
      </c>
      <c r="C338" s="105" t="s">
        <v>9</v>
      </c>
      <c r="D338" s="105" t="s">
        <v>351</v>
      </c>
      <c r="E338" s="104">
        <v>54.89</v>
      </c>
      <c r="F338" s="104">
        <v>1.0</v>
      </c>
    </row>
    <row r="339">
      <c r="A339" s="103">
        <v>46170.0</v>
      </c>
      <c r="B339" s="108" t="s">
        <v>109</v>
      </c>
      <c r="C339" s="105" t="s">
        <v>9</v>
      </c>
      <c r="D339" s="105" t="s">
        <v>351</v>
      </c>
      <c r="E339" s="104">
        <v>99.89</v>
      </c>
      <c r="F339" s="104">
        <v>1.0</v>
      </c>
    </row>
    <row r="340">
      <c r="A340" s="103">
        <v>46170.0</v>
      </c>
      <c r="B340" s="108">
        <v>5.304524866E9</v>
      </c>
      <c r="C340" s="105" t="s">
        <v>9</v>
      </c>
      <c r="D340" s="105" t="s">
        <v>351</v>
      </c>
      <c r="E340" s="104">
        <v>69.89</v>
      </c>
      <c r="F340" s="104">
        <v>1.0</v>
      </c>
    </row>
    <row r="341">
      <c r="A341" s="103">
        <v>46170.0</v>
      </c>
      <c r="B341" s="108">
        <v>5.304524953E9</v>
      </c>
      <c r="C341" s="105" t="s">
        <v>9</v>
      </c>
      <c r="D341" s="105" t="s">
        <v>351</v>
      </c>
      <c r="E341" s="104">
        <v>69.89</v>
      </c>
      <c r="F341" s="104">
        <v>1.0</v>
      </c>
    </row>
    <row r="342">
      <c r="A342" s="103">
        <v>46170.0</v>
      </c>
      <c r="B342" s="108">
        <v>5.304523741E9</v>
      </c>
      <c r="C342" s="105" t="s">
        <v>9</v>
      </c>
      <c r="D342" s="105" t="s">
        <v>351</v>
      </c>
      <c r="E342" s="104">
        <v>20.89</v>
      </c>
      <c r="F342" s="104">
        <v>1.0</v>
      </c>
    </row>
    <row r="343">
      <c r="A343" s="103">
        <v>46170.0</v>
      </c>
      <c r="B343" s="108">
        <v>5.304536819E9</v>
      </c>
      <c r="C343" s="105" t="s">
        <v>9</v>
      </c>
      <c r="D343" s="105" t="s">
        <v>351</v>
      </c>
      <c r="E343" s="104">
        <v>64.89</v>
      </c>
      <c r="F343" s="104">
        <v>1.0</v>
      </c>
    </row>
    <row r="344">
      <c r="A344" s="103">
        <v>46170.0</v>
      </c>
      <c r="B344" s="108" t="s">
        <v>903</v>
      </c>
      <c r="C344" s="105" t="s">
        <v>9</v>
      </c>
      <c r="D344" s="105" t="s">
        <v>351</v>
      </c>
      <c r="E344" s="104">
        <v>20.89</v>
      </c>
      <c r="F344" s="104">
        <v>1.0</v>
      </c>
    </row>
    <row r="345">
      <c r="A345" s="103">
        <v>46170.0</v>
      </c>
      <c r="B345" s="108" t="s">
        <v>530</v>
      </c>
      <c r="C345" s="105" t="s">
        <v>9</v>
      </c>
      <c r="D345" s="105" t="s">
        <v>351</v>
      </c>
      <c r="E345" s="104">
        <v>20.89</v>
      </c>
      <c r="F345" s="104">
        <v>1.0</v>
      </c>
    </row>
    <row r="346">
      <c r="A346" s="103">
        <v>46170.0</v>
      </c>
      <c r="B346" s="110" t="s">
        <v>907</v>
      </c>
      <c r="C346" s="105" t="s">
        <v>9</v>
      </c>
      <c r="D346" s="105" t="s">
        <v>351</v>
      </c>
      <c r="E346" s="104">
        <v>69.89</v>
      </c>
      <c r="F346" s="104">
        <v>1.0</v>
      </c>
    </row>
    <row r="347">
      <c r="A347" s="111">
        <v>46170.0</v>
      </c>
      <c r="B347" s="112" t="s">
        <v>915</v>
      </c>
      <c r="C347" s="113" t="s">
        <v>9</v>
      </c>
      <c r="D347" s="113" t="s">
        <v>351</v>
      </c>
      <c r="E347" s="114">
        <v>29.89</v>
      </c>
      <c r="F347" s="114">
        <v>1.0</v>
      </c>
    </row>
    <row r="348">
      <c r="A348" s="103">
        <v>46170.0</v>
      </c>
      <c r="B348" s="108">
        <v>5.304530909E9</v>
      </c>
      <c r="C348" s="105" t="s">
        <v>9</v>
      </c>
      <c r="D348" s="105" t="s">
        <v>351</v>
      </c>
      <c r="E348" s="104">
        <v>20.89</v>
      </c>
      <c r="F348" s="104">
        <v>1.0</v>
      </c>
    </row>
    <row r="349">
      <c r="A349" s="103">
        <v>46170.0</v>
      </c>
      <c r="B349" s="108" t="s">
        <v>924</v>
      </c>
      <c r="C349" s="105" t="s">
        <v>9</v>
      </c>
      <c r="D349" s="105" t="s">
        <v>351</v>
      </c>
      <c r="E349" s="104">
        <v>34.89</v>
      </c>
      <c r="F349" s="104">
        <v>1.0</v>
      </c>
    </row>
    <row r="350">
      <c r="A350" s="103">
        <v>46170.0</v>
      </c>
      <c r="B350" s="108" t="s">
        <v>44</v>
      </c>
      <c r="C350" s="105" t="s">
        <v>9</v>
      </c>
      <c r="D350" s="105" t="s">
        <v>351</v>
      </c>
      <c r="E350" s="104">
        <v>20.89</v>
      </c>
      <c r="F350" s="104">
        <v>1.0</v>
      </c>
    </row>
    <row r="351">
      <c r="A351" s="103">
        <v>46170.0</v>
      </c>
      <c r="B351" s="108" t="s">
        <v>929</v>
      </c>
      <c r="C351" s="105" t="s">
        <v>9</v>
      </c>
      <c r="D351" s="105" t="s">
        <v>351</v>
      </c>
      <c r="E351" s="104">
        <v>59.89</v>
      </c>
      <c r="F351" s="104">
        <v>1.0</v>
      </c>
    </row>
    <row r="352">
      <c r="A352" s="102"/>
      <c r="B352" s="102"/>
      <c r="C352" s="102"/>
      <c r="D352" s="102"/>
      <c r="E352" s="102"/>
      <c r="F352" s="102"/>
    </row>
    <row r="353">
      <c r="A353" s="103">
        <v>46175.0</v>
      </c>
      <c r="B353" s="104" t="s">
        <v>934</v>
      </c>
      <c r="C353" s="105" t="s">
        <v>9</v>
      </c>
      <c r="D353" s="105" t="s">
        <v>351</v>
      </c>
      <c r="E353" s="104">
        <v>79.89</v>
      </c>
      <c r="F353" s="104">
        <v>1.0</v>
      </c>
    </row>
    <row r="354">
      <c r="A354" s="103">
        <v>46175.0</v>
      </c>
      <c r="B354" s="104" t="s">
        <v>488</v>
      </c>
      <c r="C354" s="105" t="s">
        <v>9</v>
      </c>
      <c r="D354" s="105" t="s">
        <v>351</v>
      </c>
      <c r="E354" s="104">
        <v>29.89</v>
      </c>
      <c r="F354" s="104">
        <v>1.0</v>
      </c>
    </row>
    <row r="355">
      <c r="A355" s="103">
        <v>46175.0</v>
      </c>
      <c r="B355" s="104" t="s">
        <v>940</v>
      </c>
      <c r="C355" s="105" t="s">
        <v>9</v>
      </c>
      <c r="D355" s="105" t="s">
        <v>351</v>
      </c>
      <c r="E355" s="104">
        <v>39.89</v>
      </c>
      <c r="F355" s="104">
        <v>1.0</v>
      </c>
    </row>
    <row r="356">
      <c r="A356" s="103">
        <v>46175.0</v>
      </c>
      <c r="B356" s="104" t="s">
        <v>176</v>
      </c>
      <c r="C356" s="105" t="s">
        <v>9</v>
      </c>
      <c r="D356" s="105" t="s">
        <v>351</v>
      </c>
      <c r="E356" s="104">
        <v>20.89</v>
      </c>
      <c r="F356" s="104">
        <v>1.0</v>
      </c>
    </row>
    <row r="357">
      <c r="A357" s="103">
        <v>46175.0</v>
      </c>
      <c r="B357" s="108">
        <v>5.304529495E9</v>
      </c>
      <c r="C357" s="105" t="s">
        <v>9</v>
      </c>
      <c r="D357" s="105" t="s">
        <v>351</v>
      </c>
      <c r="E357" s="104">
        <v>24.89</v>
      </c>
      <c r="F357" s="104">
        <v>1.0</v>
      </c>
    </row>
    <row r="358">
      <c r="A358" s="103">
        <v>46175.0</v>
      </c>
      <c r="B358" s="108">
        <v>5.304539722E9</v>
      </c>
      <c r="C358" s="105" t="s">
        <v>9</v>
      </c>
      <c r="D358" s="105" t="s">
        <v>351</v>
      </c>
      <c r="E358" s="104">
        <v>74.89</v>
      </c>
      <c r="F358" s="104">
        <v>1.0</v>
      </c>
    </row>
    <row r="359">
      <c r="A359" s="102"/>
      <c r="B359" s="102"/>
      <c r="C359" s="102"/>
      <c r="D359" s="102"/>
      <c r="E359" s="102"/>
      <c r="F359" s="102"/>
    </row>
    <row r="360">
      <c r="A360" s="103">
        <v>46176.0</v>
      </c>
      <c r="B360" s="104" t="s">
        <v>948</v>
      </c>
      <c r="C360" s="105" t="s">
        <v>9</v>
      </c>
      <c r="D360" s="105" t="s">
        <v>351</v>
      </c>
      <c r="E360" s="104">
        <v>44.89</v>
      </c>
      <c r="F360" s="104">
        <v>1.0</v>
      </c>
    </row>
    <row r="361">
      <c r="A361" s="103">
        <v>46176.0</v>
      </c>
      <c r="B361" s="104" t="s">
        <v>206</v>
      </c>
      <c r="C361" s="105" t="s">
        <v>9</v>
      </c>
      <c r="D361" s="105" t="s">
        <v>351</v>
      </c>
      <c r="E361" s="104">
        <v>20.89</v>
      </c>
      <c r="F361" s="104">
        <v>1.0</v>
      </c>
    </row>
    <row r="362">
      <c r="A362" s="102"/>
      <c r="B362" s="102"/>
      <c r="C362" s="102"/>
      <c r="D362" s="102"/>
      <c r="E362" s="102"/>
      <c r="F362" s="102"/>
    </row>
  </sheetData>
  <dataValidations>
    <dataValidation type="list" allowBlank="1" showErrorMessage="1" sqref="D140:D173 D175:D201 D203:D212 D214:D296 D298:D299 D301:D314 D316:D331 D333:D351 D353:D358 D360:D361">
      <formula1>"MEMPHIS,NASHVILLE,CHATTANOOGA,TALLAHASSEE,ATLANTA,KNOXVILLE,SAVANNAH,MOBILE"</formula1>
    </dataValidation>
    <dataValidation type="list" allowBlank="1" showErrorMessage="1" sqref="C2:C11 C13:C44 C46:C75 C77:C105 C107:C135 C139:C173 C175:C201 C203:C212 C214:C296 C298:C299 C301:C314 C316:C331 C333:C351 C353:C358 C360:C361">
      <formula1>"Ebay (warehouse_101),Ebay (tekp07)"</formula1>
    </dataValidation>
    <dataValidation type="list" allowBlank="1" showErrorMessage="1" sqref="D2:D11 D13:D44 D46:D75 D77:D105 D107:D135">
      <formula1>"MEMPHIS,NASHVILLE,CHATTANOOGA,TALLAHASSEE,ATLANTA,KNOXVILLE,SAVANNAH"</formula1>
    </dataValidation>
    <dataValidation type="list" allowBlank="1" showErrorMessage="1" sqref="D139">
      <formula1>"MEMPHIS,NASHVILLE,CHATTANOOGA,TALLAHASSEE,ATLANTA,KNOXVILLE,SAVANNAH,Mobile"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23.13"/>
    <col customWidth="1" min="4" max="4" width="18.5"/>
    <col customWidth="1" min="7" max="7" width="18.63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24">
        <v>46181.0</v>
      </c>
      <c r="B2" s="125" t="s">
        <v>1129</v>
      </c>
      <c r="C2" s="106" t="s">
        <v>9</v>
      </c>
      <c r="D2" s="106" t="s">
        <v>1133</v>
      </c>
      <c r="E2" s="127">
        <v>168.74</v>
      </c>
      <c r="F2" s="106">
        <v>1.0</v>
      </c>
      <c r="G2" s="128"/>
    </row>
    <row r="3">
      <c r="A3" s="124">
        <v>46181.0</v>
      </c>
      <c r="B3" s="125" t="s">
        <v>1135</v>
      </c>
      <c r="C3" s="106" t="s">
        <v>9</v>
      </c>
      <c r="D3" s="106" t="s">
        <v>1133</v>
      </c>
      <c r="E3" s="127">
        <v>30.74</v>
      </c>
      <c r="F3" s="106">
        <v>1.0</v>
      </c>
      <c r="G3" s="128"/>
    </row>
    <row r="4">
      <c r="A4" s="124">
        <v>46181.0</v>
      </c>
      <c r="B4" s="125" t="s">
        <v>1136</v>
      </c>
      <c r="C4" s="106" t="s">
        <v>8</v>
      </c>
      <c r="D4" s="106" t="s">
        <v>1133</v>
      </c>
      <c r="E4" s="127">
        <v>10.74</v>
      </c>
      <c r="F4" s="106">
        <v>1.0</v>
      </c>
      <c r="G4" s="128"/>
    </row>
    <row r="5">
      <c r="A5" s="124">
        <v>46181.0</v>
      </c>
      <c r="B5" s="125" t="s">
        <v>1137</v>
      </c>
      <c r="C5" s="106" t="s">
        <v>9</v>
      </c>
      <c r="D5" s="106" t="s">
        <v>1133</v>
      </c>
      <c r="E5" s="127">
        <v>37.74</v>
      </c>
      <c r="F5" s="106">
        <v>1.0</v>
      </c>
      <c r="G5" s="128"/>
    </row>
    <row r="6">
      <c r="A6" s="124">
        <v>46182.0</v>
      </c>
      <c r="B6" s="125">
        <v>5.304535923E9</v>
      </c>
      <c r="C6" s="106" t="s">
        <v>9</v>
      </c>
      <c r="D6" s="106" t="s">
        <v>1133</v>
      </c>
      <c r="E6" s="127">
        <v>73.74</v>
      </c>
      <c r="F6" s="106">
        <v>1.0</v>
      </c>
      <c r="G6" s="128"/>
    </row>
    <row r="7">
      <c r="A7" s="124">
        <v>46182.0</v>
      </c>
      <c r="B7" s="125">
        <v>2.43297608E8</v>
      </c>
      <c r="C7" s="106" t="s">
        <v>9</v>
      </c>
      <c r="D7" s="106" t="s">
        <v>1133</v>
      </c>
      <c r="E7" s="127">
        <v>39.74</v>
      </c>
      <c r="F7" s="106">
        <v>1.0</v>
      </c>
      <c r="G7" s="128"/>
    </row>
    <row r="8">
      <c r="A8" s="124">
        <v>46182.0</v>
      </c>
      <c r="B8" s="125" t="s">
        <v>1138</v>
      </c>
      <c r="C8" s="106" t="s">
        <v>9</v>
      </c>
      <c r="D8" s="106" t="s">
        <v>1133</v>
      </c>
      <c r="E8" s="127">
        <v>23.74</v>
      </c>
      <c r="F8" s="106">
        <v>1.0</v>
      </c>
      <c r="G8" s="128"/>
    </row>
    <row r="9">
      <c r="A9" s="124">
        <v>46182.0</v>
      </c>
      <c r="B9" s="125">
        <v>5.304538492E9</v>
      </c>
      <c r="C9" s="106" t="s">
        <v>9</v>
      </c>
      <c r="D9" s="106" t="s">
        <v>1133</v>
      </c>
      <c r="E9" s="127">
        <v>30.74</v>
      </c>
      <c r="F9" s="106">
        <v>1.0</v>
      </c>
      <c r="G9" s="128"/>
    </row>
    <row r="10">
      <c r="A10" s="124">
        <v>46182.0</v>
      </c>
      <c r="B10" s="125" t="s">
        <v>773</v>
      </c>
      <c r="C10" s="106" t="s">
        <v>9</v>
      </c>
      <c r="D10" s="106" t="s">
        <v>1133</v>
      </c>
      <c r="E10" s="127">
        <v>17.74</v>
      </c>
      <c r="F10" s="106">
        <v>2.0</v>
      </c>
      <c r="G10" s="128"/>
    </row>
    <row r="11">
      <c r="A11" s="124">
        <v>46182.0</v>
      </c>
      <c r="B11" s="125" t="s">
        <v>1140</v>
      </c>
      <c r="C11" s="106" t="s">
        <v>9</v>
      </c>
      <c r="D11" s="106" t="s">
        <v>1133</v>
      </c>
      <c r="E11" s="127">
        <v>11.74</v>
      </c>
      <c r="F11" s="106">
        <v>1.0</v>
      </c>
      <c r="G11" s="128"/>
    </row>
    <row r="12">
      <c r="A12" s="124">
        <v>46182.0</v>
      </c>
      <c r="B12" s="125" t="s">
        <v>1141</v>
      </c>
      <c r="C12" s="106" t="s">
        <v>9</v>
      </c>
      <c r="D12" s="106" t="s">
        <v>1133</v>
      </c>
      <c r="E12" s="127">
        <v>10.74</v>
      </c>
      <c r="F12" s="106">
        <v>1.0</v>
      </c>
      <c r="G12" s="128"/>
    </row>
    <row r="13">
      <c r="A13" s="124">
        <v>46182.0</v>
      </c>
      <c r="B13" s="125" t="s">
        <v>1142</v>
      </c>
      <c r="C13" s="106" t="s">
        <v>9</v>
      </c>
      <c r="D13" s="106" t="s">
        <v>1133</v>
      </c>
      <c r="E13" s="127">
        <v>40.74</v>
      </c>
      <c r="F13" s="106">
        <v>2.0</v>
      </c>
      <c r="G13" s="106" t="s">
        <v>1143</v>
      </c>
    </row>
    <row r="14">
      <c r="A14" s="124">
        <v>46182.0</v>
      </c>
      <c r="B14" s="125" t="s">
        <v>1142</v>
      </c>
      <c r="C14" s="106" t="s">
        <v>9</v>
      </c>
      <c r="D14" s="106" t="s">
        <v>1133</v>
      </c>
      <c r="E14" s="127">
        <v>14.74</v>
      </c>
      <c r="F14" s="106">
        <v>1.0</v>
      </c>
      <c r="G14" s="106" t="s">
        <v>1144</v>
      </c>
    </row>
    <row r="15">
      <c r="A15" s="124">
        <v>46182.0</v>
      </c>
      <c r="B15" s="125" t="s">
        <v>1145</v>
      </c>
      <c r="C15" s="106" t="s">
        <v>9</v>
      </c>
      <c r="D15" s="106" t="s">
        <v>1133</v>
      </c>
      <c r="E15" s="127">
        <v>24.74</v>
      </c>
      <c r="F15" s="106">
        <v>2.0</v>
      </c>
      <c r="G15" s="128"/>
    </row>
    <row r="16">
      <c r="A16" s="124">
        <v>46182.0</v>
      </c>
      <c r="B16" s="125" t="s">
        <v>1146</v>
      </c>
      <c r="C16" s="106" t="s">
        <v>9</v>
      </c>
      <c r="D16" s="106" t="s">
        <v>1133</v>
      </c>
      <c r="E16" s="127">
        <v>124.74</v>
      </c>
      <c r="F16" s="106">
        <v>1.0</v>
      </c>
      <c r="G16" s="128"/>
    </row>
    <row r="17">
      <c r="A17" s="124">
        <v>46182.0</v>
      </c>
      <c r="B17" s="125">
        <v>5.304514775E9</v>
      </c>
      <c r="C17" s="106" t="s">
        <v>9</v>
      </c>
      <c r="D17" s="106" t="s">
        <v>1133</v>
      </c>
      <c r="E17" s="127">
        <v>55.74</v>
      </c>
      <c r="F17" s="106">
        <v>1.0</v>
      </c>
      <c r="G17" s="128"/>
    </row>
    <row r="18">
      <c r="A18" s="124">
        <v>46182.0</v>
      </c>
      <c r="B18" s="125" t="s">
        <v>1148</v>
      </c>
      <c r="C18" s="106" t="s">
        <v>9</v>
      </c>
      <c r="D18" s="106" t="s">
        <v>1133</v>
      </c>
      <c r="E18" s="127">
        <v>16.74</v>
      </c>
      <c r="F18" s="106">
        <v>1.0</v>
      </c>
      <c r="G18" s="128"/>
    </row>
    <row r="19">
      <c r="A19" s="124">
        <v>46182.0</v>
      </c>
      <c r="B19" s="125" t="s">
        <v>1149</v>
      </c>
      <c r="C19" s="106" t="s">
        <v>9</v>
      </c>
      <c r="D19" s="106" t="s">
        <v>1133</v>
      </c>
      <c r="E19" s="127">
        <v>20.74</v>
      </c>
      <c r="F19" s="106">
        <v>1.0</v>
      </c>
      <c r="G19" s="128"/>
    </row>
    <row r="20">
      <c r="A20" s="124">
        <v>46182.0</v>
      </c>
      <c r="B20" s="125">
        <v>5.304526053E9</v>
      </c>
      <c r="C20" s="106" t="s">
        <v>9</v>
      </c>
      <c r="D20" s="106" t="s">
        <v>1133</v>
      </c>
      <c r="E20" s="127">
        <v>30.74</v>
      </c>
      <c r="F20" s="106">
        <v>1.0</v>
      </c>
      <c r="G20" s="128"/>
    </row>
    <row r="21">
      <c r="A21" s="124">
        <v>46182.0</v>
      </c>
      <c r="B21" s="125" t="s">
        <v>1150</v>
      </c>
      <c r="C21" s="106" t="s">
        <v>9</v>
      </c>
      <c r="D21" s="106" t="s">
        <v>1133</v>
      </c>
      <c r="E21" s="127">
        <v>13.74</v>
      </c>
      <c r="F21" s="106">
        <v>1.0</v>
      </c>
      <c r="G21" s="128"/>
    </row>
    <row r="22">
      <c r="A22" s="132">
        <v>46182.0</v>
      </c>
      <c r="B22" s="133" t="s">
        <v>1151</v>
      </c>
      <c r="C22" s="134" t="s">
        <v>1152</v>
      </c>
      <c r="D22" s="134" t="s">
        <v>1133</v>
      </c>
      <c r="E22" s="135">
        <v>14.74</v>
      </c>
      <c r="F22" s="134">
        <v>1.0</v>
      </c>
      <c r="G22" s="136"/>
    </row>
    <row r="23">
      <c r="A23" s="124">
        <v>46182.0</v>
      </c>
      <c r="B23" s="125" t="s">
        <v>1153</v>
      </c>
      <c r="C23" s="106" t="s">
        <v>9</v>
      </c>
      <c r="D23" s="106" t="s">
        <v>1133</v>
      </c>
      <c r="E23" s="127">
        <v>42.74</v>
      </c>
      <c r="F23" s="106">
        <v>1.0</v>
      </c>
      <c r="G23" s="128"/>
    </row>
    <row r="24">
      <c r="A24" s="124">
        <v>46182.0</v>
      </c>
      <c r="B24" s="125" t="s">
        <v>1154</v>
      </c>
      <c r="C24" s="106" t="s">
        <v>9</v>
      </c>
      <c r="D24" s="106" t="s">
        <v>1133</v>
      </c>
      <c r="E24" s="127">
        <v>20.74</v>
      </c>
      <c r="F24" s="106">
        <v>1.0</v>
      </c>
      <c r="G24" s="128"/>
    </row>
    <row r="25">
      <c r="A25" s="124">
        <v>46182.0</v>
      </c>
      <c r="B25" s="125" t="s">
        <v>1155</v>
      </c>
      <c r="C25" s="106" t="s">
        <v>9</v>
      </c>
      <c r="D25" s="106" t="s">
        <v>1133</v>
      </c>
      <c r="E25" s="127">
        <v>9.74</v>
      </c>
      <c r="F25" s="106">
        <v>1.0</v>
      </c>
      <c r="G25" s="128"/>
    </row>
    <row r="26">
      <c r="A26" s="124">
        <v>46182.0</v>
      </c>
      <c r="B26" s="125" t="s">
        <v>1156</v>
      </c>
      <c r="C26" s="106" t="s">
        <v>9</v>
      </c>
      <c r="D26" s="106" t="s">
        <v>1133</v>
      </c>
      <c r="E26" s="127">
        <v>24.74</v>
      </c>
      <c r="F26" s="106">
        <v>1.0</v>
      </c>
      <c r="G26" s="128"/>
    </row>
    <row r="27">
      <c r="A27" s="124">
        <v>46182.0</v>
      </c>
      <c r="B27" s="125" t="s">
        <v>1157</v>
      </c>
      <c r="C27" s="106" t="s">
        <v>9</v>
      </c>
      <c r="D27" s="106" t="s">
        <v>1133</v>
      </c>
      <c r="E27" s="127">
        <v>40.74</v>
      </c>
      <c r="F27" s="106">
        <v>1.0</v>
      </c>
      <c r="G27" s="128"/>
    </row>
    <row r="28">
      <c r="A28" s="124">
        <v>46182.0</v>
      </c>
      <c r="B28" s="125" t="s">
        <v>1158</v>
      </c>
      <c r="C28" s="106" t="s">
        <v>9</v>
      </c>
      <c r="D28" s="106" t="s">
        <v>1133</v>
      </c>
      <c r="E28" s="127">
        <v>150.74</v>
      </c>
      <c r="F28" s="106">
        <v>2.0</v>
      </c>
      <c r="G28" s="128"/>
    </row>
    <row r="29">
      <c r="A29" s="124">
        <v>46182.0</v>
      </c>
      <c r="B29" s="125" t="s">
        <v>1160</v>
      </c>
      <c r="C29" s="106" t="s">
        <v>9</v>
      </c>
      <c r="D29" s="106" t="s">
        <v>1133</v>
      </c>
      <c r="E29" s="127">
        <v>120.74</v>
      </c>
      <c r="F29" s="106">
        <v>1.0</v>
      </c>
      <c r="G29" s="128"/>
    </row>
    <row r="30">
      <c r="A30" s="124">
        <v>46182.0</v>
      </c>
      <c r="B30" s="125" t="s">
        <v>1161</v>
      </c>
      <c r="C30" s="106" t="s">
        <v>9</v>
      </c>
      <c r="D30" s="106" t="s">
        <v>1133</v>
      </c>
      <c r="E30" s="127">
        <v>65.74</v>
      </c>
      <c r="F30" s="106">
        <v>1.0</v>
      </c>
      <c r="G30" s="128"/>
    </row>
    <row r="31">
      <c r="A31" s="124">
        <v>46182.0</v>
      </c>
      <c r="B31" s="125" t="s">
        <v>1164</v>
      </c>
      <c r="C31" s="106" t="s">
        <v>9</v>
      </c>
      <c r="D31" s="106" t="s">
        <v>1133</v>
      </c>
      <c r="E31" s="127">
        <v>34.74</v>
      </c>
      <c r="F31" s="106">
        <v>1.0</v>
      </c>
      <c r="G31" s="128"/>
    </row>
    <row r="32">
      <c r="A32" s="124">
        <v>46182.0</v>
      </c>
      <c r="B32" s="125" t="s">
        <v>1165</v>
      </c>
      <c r="C32" s="106" t="s">
        <v>9</v>
      </c>
      <c r="D32" s="106" t="s">
        <v>1133</v>
      </c>
      <c r="E32" s="127">
        <v>35.74</v>
      </c>
      <c r="F32" s="106">
        <v>1.0</v>
      </c>
      <c r="G32" s="128"/>
    </row>
    <row r="33">
      <c r="A33" s="124">
        <v>46182.0</v>
      </c>
      <c r="B33" s="125" t="s">
        <v>1167</v>
      </c>
      <c r="C33" s="106" t="s">
        <v>9</v>
      </c>
      <c r="D33" s="106" t="s">
        <v>1133</v>
      </c>
      <c r="E33" s="127">
        <v>48.74</v>
      </c>
      <c r="F33" s="106">
        <v>1.0</v>
      </c>
      <c r="G33" s="128"/>
    </row>
    <row r="34">
      <c r="A34" s="124">
        <v>46182.0</v>
      </c>
      <c r="B34" s="125" t="s">
        <v>1169</v>
      </c>
      <c r="C34" s="106" t="s">
        <v>9</v>
      </c>
      <c r="D34" s="106" t="s">
        <v>1133</v>
      </c>
      <c r="E34" s="127">
        <v>15.74</v>
      </c>
      <c r="F34" s="106">
        <v>1.0</v>
      </c>
      <c r="G34" s="128"/>
    </row>
    <row r="35">
      <c r="A35" s="137"/>
      <c r="B35" s="138"/>
      <c r="C35" s="139"/>
      <c r="D35" s="139"/>
      <c r="E35" s="140"/>
      <c r="F35" s="139"/>
      <c r="G35" s="141"/>
    </row>
    <row r="36">
      <c r="A36" s="124">
        <v>46183.0</v>
      </c>
      <c r="B36" s="125" t="s">
        <v>1175</v>
      </c>
      <c r="C36" s="106" t="s">
        <v>9</v>
      </c>
      <c r="D36" s="106" t="s">
        <v>1133</v>
      </c>
      <c r="E36" s="127">
        <v>26.74</v>
      </c>
      <c r="F36" s="106">
        <v>1.0</v>
      </c>
      <c r="G36" s="128"/>
    </row>
    <row r="37">
      <c r="A37" s="124">
        <v>46183.0</v>
      </c>
      <c r="B37" s="125" t="s">
        <v>1178</v>
      </c>
      <c r="C37" s="106" t="s">
        <v>9</v>
      </c>
      <c r="D37" s="106" t="s">
        <v>1133</v>
      </c>
      <c r="E37" s="127">
        <v>30.74</v>
      </c>
      <c r="F37" s="106">
        <v>1.0</v>
      </c>
      <c r="G37" s="128"/>
    </row>
    <row r="38">
      <c r="A38" s="124">
        <v>46183.0</v>
      </c>
      <c r="B38" s="125" t="s">
        <v>1180</v>
      </c>
      <c r="C38" s="106" t="s">
        <v>9</v>
      </c>
      <c r="D38" s="106" t="s">
        <v>1133</v>
      </c>
      <c r="E38" s="127">
        <v>22.74</v>
      </c>
      <c r="F38" s="106">
        <v>1.0</v>
      </c>
      <c r="G38" s="128"/>
    </row>
    <row r="39">
      <c r="A39" s="124">
        <v>46183.0</v>
      </c>
      <c r="B39" s="125" t="s">
        <v>1182</v>
      </c>
      <c r="C39" s="106" t="s">
        <v>9</v>
      </c>
      <c r="D39" s="106" t="s">
        <v>1133</v>
      </c>
      <c r="E39" s="127">
        <v>145.74</v>
      </c>
      <c r="F39" s="106">
        <v>1.0</v>
      </c>
      <c r="G39" s="128"/>
    </row>
    <row r="40">
      <c r="A40" s="124">
        <v>46183.0</v>
      </c>
      <c r="B40" s="125" t="s">
        <v>1184</v>
      </c>
      <c r="C40" s="106" t="s">
        <v>9</v>
      </c>
      <c r="D40" s="106" t="s">
        <v>1133</v>
      </c>
      <c r="E40" s="127">
        <v>40.74</v>
      </c>
      <c r="F40" s="106">
        <v>1.0</v>
      </c>
      <c r="G40" s="106" t="s">
        <v>1143</v>
      </c>
    </row>
    <row r="41">
      <c r="A41" s="132">
        <v>46183.0</v>
      </c>
      <c r="B41" s="133" t="s">
        <v>1185</v>
      </c>
      <c r="C41" s="134" t="s">
        <v>1152</v>
      </c>
      <c r="D41" s="134" t="s">
        <v>1133</v>
      </c>
      <c r="E41" s="135">
        <v>26.74</v>
      </c>
      <c r="F41" s="134">
        <v>1.0</v>
      </c>
      <c r="G41" s="136"/>
    </row>
    <row r="42">
      <c r="A42" s="124">
        <v>46183.0</v>
      </c>
      <c r="B42" s="125" t="s">
        <v>1187</v>
      </c>
      <c r="C42" s="106" t="s">
        <v>9</v>
      </c>
      <c r="D42" s="106" t="s">
        <v>1133</v>
      </c>
      <c r="E42" s="127">
        <v>95.74</v>
      </c>
      <c r="F42" s="106">
        <v>1.0</v>
      </c>
      <c r="G42" s="128"/>
    </row>
    <row r="43">
      <c r="A43" s="132">
        <v>46183.0</v>
      </c>
      <c r="B43" s="133" t="s">
        <v>1190</v>
      </c>
      <c r="C43" s="134" t="s">
        <v>9</v>
      </c>
      <c r="D43" s="134" t="s">
        <v>1133</v>
      </c>
      <c r="E43" s="135">
        <v>80.74</v>
      </c>
      <c r="F43" s="134">
        <v>1.0</v>
      </c>
      <c r="G43" s="134" t="s">
        <v>1192</v>
      </c>
    </row>
    <row r="44">
      <c r="A44" s="132">
        <v>46183.0</v>
      </c>
      <c r="B44" s="133" t="s">
        <v>1193</v>
      </c>
      <c r="C44" s="134" t="s">
        <v>1152</v>
      </c>
      <c r="D44" s="134" t="s">
        <v>1133</v>
      </c>
      <c r="E44" s="135">
        <v>33.74</v>
      </c>
      <c r="F44" s="134">
        <v>1.0</v>
      </c>
      <c r="G44" s="136"/>
    </row>
    <row r="45">
      <c r="A45" s="124">
        <v>46183.0</v>
      </c>
      <c r="B45" s="125" t="s">
        <v>1195</v>
      </c>
      <c r="C45" s="106" t="s">
        <v>9</v>
      </c>
      <c r="D45" s="106" t="s">
        <v>1133</v>
      </c>
      <c r="E45" s="127">
        <v>40.74</v>
      </c>
      <c r="F45" s="106">
        <v>1.0</v>
      </c>
      <c r="G45" s="128"/>
    </row>
    <row r="46">
      <c r="A46" s="124">
        <v>46183.0</v>
      </c>
      <c r="B46" s="125" t="s">
        <v>1197</v>
      </c>
      <c r="C46" s="106" t="s">
        <v>9</v>
      </c>
      <c r="D46" s="106" t="s">
        <v>1133</v>
      </c>
      <c r="E46" s="127">
        <v>43.74</v>
      </c>
      <c r="F46" s="106">
        <v>1.0</v>
      </c>
      <c r="G46" s="128"/>
    </row>
    <row r="47">
      <c r="A47" s="124">
        <v>46183.0</v>
      </c>
      <c r="B47" s="143" t="s">
        <v>1200</v>
      </c>
      <c r="C47" s="106" t="s">
        <v>9</v>
      </c>
      <c r="D47" s="106" t="s">
        <v>1133</v>
      </c>
      <c r="E47" s="127">
        <v>34.74</v>
      </c>
      <c r="F47" s="106">
        <v>1.0</v>
      </c>
      <c r="G47" s="128"/>
    </row>
    <row r="48">
      <c r="A48" s="124">
        <v>46183.0</v>
      </c>
      <c r="B48" s="125" t="s">
        <v>1203</v>
      </c>
      <c r="C48" s="106" t="s">
        <v>9</v>
      </c>
      <c r="D48" s="106" t="s">
        <v>1133</v>
      </c>
      <c r="E48" s="127">
        <v>175.74</v>
      </c>
      <c r="F48" s="106">
        <v>1.0</v>
      </c>
      <c r="G48" s="128"/>
    </row>
    <row r="49">
      <c r="A49" s="124">
        <v>46183.0</v>
      </c>
      <c r="B49" s="125" t="s">
        <v>1205</v>
      </c>
      <c r="C49" s="106" t="s">
        <v>9</v>
      </c>
      <c r="D49" s="106" t="s">
        <v>1133</v>
      </c>
      <c r="E49" s="127">
        <v>140.74</v>
      </c>
      <c r="F49" s="106">
        <v>1.0</v>
      </c>
      <c r="G49" s="128"/>
    </row>
    <row r="50">
      <c r="A50" s="124">
        <v>46183.0</v>
      </c>
      <c r="B50" s="125" t="s">
        <v>1208</v>
      </c>
      <c r="C50" s="106" t="s">
        <v>9</v>
      </c>
      <c r="D50" s="106" t="s">
        <v>1133</v>
      </c>
      <c r="E50" s="127">
        <v>220.74</v>
      </c>
      <c r="F50" s="106">
        <v>1.0</v>
      </c>
      <c r="G50" s="128"/>
    </row>
    <row r="51">
      <c r="A51" s="124">
        <v>46183.0</v>
      </c>
      <c r="B51" s="125" t="s">
        <v>1210</v>
      </c>
      <c r="C51" s="106" t="s">
        <v>9</v>
      </c>
      <c r="D51" s="106" t="s">
        <v>1133</v>
      </c>
      <c r="E51" s="127">
        <v>180.74</v>
      </c>
      <c r="F51" s="106">
        <v>1.0</v>
      </c>
      <c r="G51" s="128"/>
    </row>
    <row r="52">
      <c r="A52" s="124">
        <v>46183.0</v>
      </c>
      <c r="B52" s="125" t="s">
        <v>1212</v>
      </c>
      <c r="C52" s="106" t="s">
        <v>9</v>
      </c>
      <c r="D52" s="106" t="s">
        <v>1133</v>
      </c>
      <c r="E52" s="127">
        <v>89.74</v>
      </c>
      <c r="F52" s="106">
        <v>1.0</v>
      </c>
      <c r="G52" s="128"/>
    </row>
    <row r="53">
      <c r="A53" s="124">
        <v>46183.0</v>
      </c>
      <c r="B53" s="125" t="s">
        <v>1214</v>
      </c>
      <c r="C53" s="106" t="s">
        <v>9</v>
      </c>
      <c r="D53" s="106" t="s">
        <v>1133</v>
      </c>
      <c r="E53" s="127">
        <v>120.74</v>
      </c>
      <c r="F53" s="106">
        <v>1.0</v>
      </c>
      <c r="G53" s="128"/>
    </row>
    <row r="54">
      <c r="A54" s="124">
        <v>46183.0</v>
      </c>
      <c r="B54" s="125" t="s">
        <v>1217</v>
      </c>
      <c r="C54" s="106" t="s">
        <v>9</v>
      </c>
      <c r="D54" s="106" t="s">
        <v>1133</v>
      </c>
      <c r="E54" s="127">
        <v>35.74</v>
      </c>
      <c r="F54" s="106">
        <v>1.0</v>
      </c>
      <c r="G54" s="128"/>
    </row>
    <row r="55">
      <c r="A55" s="124">
        <v>46183.0</v>
      </c>
      <c r="B55" s="143" t="s">
        <v>1219</v>
      </c>
      <c r="C55" s="106" t="s">
        <v>9</v>
      </c>
      <c r="D55" s="106" t="s">
        <v>1133</v>
      </c>
      <c r="E55" s="127">
        <v>33.74</v>
      </c>
      <c r="F55" s="106">
        <v>1.0</v>
      </c>
      <c r="G55" s="128"/>
    </row>
    <row r="56">
      <c r="A56" s="124">
        <v>46183.0</v>
      </c>
      <c r="B56" s="144" t="s">
        <v>1221</v>
      </c>
      <c r="C56" s="106" t="s">
        <v>9</v>
      </c>
      <c r="D56" s="106" t="s">
        <v>1133</v>
      </c>
      <c r="E56" s="127">
        <v>86.74</v>
      </c>
      <c r="F56" s="106">
        <v>1.0</v>
      </c>
      <c r="G56" s="128"/>
    </row>
    <row r="57">
      <c r="A57" s="124">
        <v>46183.0</v>
      </c>
      <c r="B57" s="144" t="s">
        <v>1223</v>
      </c>
      <c r="C57" s="106" t="s">
        <v>9</v>
      </c>
      <c r="D57" s="106" t="s">
        <v>1133</v>
      </c>
      <c r="E57" s="127">
        <v>60.74</v>
      </c>
      <c r="F57" s="106">
        <v>2.0</v>
      </c>
      <c r="G57" s="128"/>
    </row>
    <row r="58">
      <c r="A58" s="124">
        <v>46183.0</v>
      </c>
      <c r="B58" s="144" t="s">
        <v>1225</v>
      </c>
      <c r="C58" s="106" t="s">
        <v>9</v>
      </c>
      <c r="D58" s="106" t="s">
        <v>1133</v>
      </c>
      <c r="E58" s="127">
        <v>36.74</v>
      </c>
      <c r="F58" s="106">
        <v>1.0</v>
      </c>
      <c r="G58" s="128"/>
    </row>
    <row r="59">
      <c r="A59" s="124">
        <v>46183.0</v>
      </c>
      <c r="B59" s="144" t="s">
        <v>1226</v>
      </c>
      <c r="C59" s="106" t="s">
        <v>9</v>
      </c>
      <c r="D59" s="106" t="s">
        <v>1133</v>
      </c>
      <c r="E59" s="127">
        <v>25.74</v>
      </c>
      <c r="F59" s="106">
        <v>1.0</v>
      </c>
      <c r="G59" s="128"/>
    </row>
    <row r="60">
      <c r="A60" s="132">
        <v>46183.0</v>
      </c>
      <c r="B60" s="134" t="s">
        <v>1228</v>
      </c>
      <c r="C60" s="134" t="s">
        <v>1152</v>
      </c>
      <c r="D60" s="134" t="s">
        <v>1133</v>
      </c>
      <c r="E60" s="135">
        <v>40.74</v>
      </c>
      <c r="F60" s="134">
        <v>1.0</v>
      </c>
      <c r="G60" s="136"/>
    </row>
    <row r="61">
      <c r="A61" s="137"/>
      <c r="B61" s="145"/>
      <c r="C61" s="139"/>
      <c r="D61" s="139"/>
      <c r="E61" s="140"/>
      <c r="F61" s="139"/>
      <c r="G61" s="141"/>
    </row>
    <row r="62">
      <c r="A62" s="124">
        <v>46185.0</v>
      </c>
      <c r="B62" s="144" t="s">
        <v>1232</v>
      </c>
      <c r="C62" s="106" t="s">
        <v>9</v>
      </c>
      <c r="D62" s="106" t="s">
        <v>1133</v>
      </c>
      <c r="E62" s="127">
        <v>235.74</v>
      </c>
      <c r="F62" s="106">
        <v>1.0</v>
      </c>
      <c r="G62" s="128"/>
    </row>
    <row r="63">
      <c r="A63" s="124">
        <v>46185.0</v>
      </c>
      <c r="B63" s="144" t="s">
        <v>1233</v>
      </c>
      <c r="C63" s="106" t="s">
        <v>9</v>
      </c>
      <c r="D63" s="106" t="s">
        <v>1133</v>
      </c>
      <c r="E63" s="127">
        <v>38.74</v>
      </c>
      <c r="F63" s="106">
        <v>1.0</v>
      </c>
      <c r="G63" s="128"/>
    </row>
    <row r="64">
      <c r="A64" s="124">
        <v>46185.0</v>
      </c>
      <c r="B64" s="144" t="s">
        <v>30</v>
      </c>
      <c r="C64" s="106" t="s">
        <v>9</v>
      </c>
      <c r="D64" s="106" t="s">
        <v>1133</v>
      </c>
      <c r="E64" s="127">
        <v>23.74</v>
      </c>
      <c r="F64" s="106">
        <v>1.0</v>
      </c>
      <c r="G64" s="128"/>
    </row>
    <row r="65">
      <c r="A65" s="132">
        <v>46185.0</v>
      </c>
      <c r="B65" s="134" t="s">
        <v>1236</v>
      </c>
      <c r="C65" s="134" t="s">
        <v>1152</v>
      </c>
      <c r="D65" s="134" t="s">
        <v>1133</v>
      </c>
      <c r="E65" s="135">
        <v>50.74</v>
      </c>
      <c r="F65" s="134">
        <v>1.0</v>
      </c>
      <c r="G65" s="136"/>
    </row>
    <row r="66">
      <c r="A66" s="132">
        <v>46185.0</v>
      </c>
      <c r="B66" s="134" t="s">
        <v>1239</v>
      </c>
      <c r="C66" s="134" t="s">
        <v>9</v>
      </c>
      <c r="D66" s="134" t="s">
        <v>1133</v>
      </c>
      <c r="E66" s="135">
        <v>160.74</v>
      </c>
      <c r="F66" s="134">
        <v>1.0</v>
      </c>
      <c r="G66" s="136"/>
    </row>
    <row r="67">
      <c r="A67" s="124">
        <v>46185.0</v>
      </c>
      <c r="B67" s="144" t="s">
        <v>1241</v>
      </c>
      <c r="C67" s="106" t="s">
        <v>9</v>
      </c>
      <c r="D67" s="106" t="s">
        <v>1133</v>
      </c>
      <c r="E67" s="127">
        <v>375.74</v>
      </c>
      <c r="F67" s="106">
        <v>1.0</v>
      </c>
      <c r="G67" s="128"/>
    </row>
    <row r="68">
      <c r="A68" s="124">
        <v>46185.0</v>
      </c>
      <c r="B68" s="144" t="s">
        <v>1243</v>
      </c>
      <c r="C68" s="106" t="s">
        <v>9</v>
      </c>
      <c r="D68" s="106" t="s">
        <v>1133</v>
      </c>
      <c r="E68" s="127">
        <v>350.74</v>
      </c>
      <c r="F68" s="106">
        <v>1.0</v>
      </c>
      <c r="G68" s="128"/>
    </row>
    <row r="69">
      <c r="A69" s="124">
        <v>46185.0</v>
      </c>
      <c r="B69" s="144" t="s">
        <v>1246</v>
      </c>
      <c r="C69" s="106" t="s">
        <v>9</v>
      </c>
      <c r="D69" s="106" t="s">
        <v>1133</v>
      </c>
      <c r="E69" s="127">
        <v>34.74</v>
      </c>
      <c r="F69" s="106">
        <v>1.0</v>
      </c>
      <c r="G69" s="128"/>
    </row>
    <row r="70">
      <c r="A70" s="124">
        <v>46185.0</v>
      </c>
      <c r="B70" s="144" t="s">
        <v>1247</v>
      </c>
      <c r="C70" s="106" t="s">
        <v>9</v>
      </c>
      <c r="D70" s="106" t="s">
        <v>1133</v>
      </c>
      <c r="E70" s="127">
        <v>50.74</v>
      </c>
      <c r="F70" s="106">
        <v>1.0</v>
      </c>
      <c r="G70" s="128"/>
    </row>
    <row r="71">
      <c r="A71" s="124">
        <v>46185.0</v>
      </c>
      <c r="B71" s="144" t="s">
        <v>1250</v>
      </c>
      <c r="C71" s="106" t="s">
        <v>9</v>
      </c>
      <c r="D71" s="106" t="s">
        <v>1133</v>
      </c>
      <c r="E71" s="127">
        <v>298.74</v>
      </c>
      <c r="F71" s="106">
        <v>1.0</v>
      </c>
      <c r="G71" s="128"/>
    </row>
    <row r="72">
      <c r="A72" s="124">
        <v>46185.0</v>
      </c>
      <c r="B72" s="144">
        <v>5.304505004E9</v>
      </c>
      <c r="C72" s="106" t="s">
        <v>9</v>
      </c>
      <c r="D72" s="106" t="s">
        <v>1133</v>
      </c>
      <c r="E72" s="127">
        <v>24.74</v>
      </c>
      <c r="F72" s="106">
        <v>1.0</v>
      </c>
      <c r="G72" s="128"/>
    </row>
    <row r="73">
      <c r="A73" s="124">
        <v>46185.0</v>
      </c>
      <c r="B73" s="144" t="s">
        <v>1253</v>
      </c>
      <c r="C73" s="106" t="s">
        <v>9</v>
      </c>
      <c r="D73" s="146" t="s">
        <v>1133</v>
      </c>
      <c r="E73" s="127">
        <v>40.74</v>
      </c>
      <c r="F73" s="106">
        <v>1.0</v>
      </c>
      <c r="G73" s="128"/>
    </row>
    <row r="74">
      <c r="A74" s="124">
        <v>46185.0</v>
      </c>
      <c r="B74" s="144" t="s">
        <v>1254</v>
      </c>
      <c r="C74" s="106" t="s">
        <v>9</v>
      </c>
      <c r="D74" s="146" t="s">
        <v>1133</v>
      </c>
      <c r="E74" s="127">
        <v>150.74</v>
      </c>
      <c r="F74" s="106">
        <v>1.0</v>
      </c>
      <c r="G74" s="128"/>
    </row>
    <row r="75">
      <c r="A75" s="124">
        <v>46185.0</v>
      </c>
      <c r="B75" s="125" t="s">
        <v>1256</v>
      </c>
      <c r="C75" s="106" t="s">
        <v>9</v>
      </c>
      <c r="D75" s="106" t="s">
        <v>1133</v>
      </c>
      <c r="E75" s="127">
        <v>100.74</v>
      </c>
      <c r="F75" s="106">
        <v>1.0</v>
      </c>
      <c r="G75" s="106" t="s">
        <v>1143</v>
      </c>
    </row>
    <row r="76">
      <c r="A76" s="147"/>
      <c r="B76" s="148"/>
      <c r="C76" s="139"/>
      <c r="D76" s="149"/>
      <c r="E76" s="140"/>
      <c r="F76" s="139"/>
      <c r="G76" s="141"/>
    </row>
    <row r="77">
      <c r="A77" s="150">
        <v>46189.0</v>
      </c>
      <c r="B77" s="152" t="s">
        <v>1264</v>
      </c>
      <c r="C77" s="106" t="s">
        <v>9</v>
      </c>
      <c r="D77" s="146" t="s">
        <v>1133</v>
      </c>
      <c r="E77" s="127">
        <v>16.74</v>
      </c>
      <c r="F77" s="106">
        <v>1.0</v>
      </c>
      <c r="G77" s="128"/>
    </row>
    <row r="78">
      <c r="A78" s="153">
        <v>46189.0</v>
      </c>
      <c r="B78" s="154" t="s">
        <v>925</v>
      </c>
      <c r="C78" s="106" t="s">
        <v>9</v>
      </c>
      <c r="D78" s="146" t="s">
        <v>1133</v>
      </c>
      <c r="E78" s="127">
        <v>62.74</v>
      </c>
      <c r="F78" s="106">
        <v>2.0</v>
      </c>
      <c r="G78" s="128"/>
    </row>
    <row r="79">
      <c r="A79" s="153">
        <v>46189.0</v>
      </c>
      <c r="B79" s="155">
        <v>5.304531885E9</v>
      </c>
      <c r="C79" s="106" t="s">
        <v>9</v>
      </c>
      <c r="D79" s="106" t="s">
        <v>1133</v>
      </c>
      <c r="E79" s="127">
        <v>115.74</v>
      </c>
      <c r="F79" s="106">
        <v>1.0</v>
      </c>
      <c r="G79" s="128"/>
    </row>
    <row r="80">
      <c r="A80" s="153">
        <v>46189.0</v>
      </c>
      <c r="B80" s="154" t="s">
        <v>1270</v>
      </c>
      <c r="C80" s="106" t="s">
        <v>9</v>
      </c>
      <c r="D80" s="146" t="s">
        <v>1133</v>
      </c>
      <c r="E80" s="127">
        <v>9.74</v>
      </c>
      <c r="F80" s="106">
        <v>1.0</v>
      </c>
      <c r="G80" s="128"/>
    </row>
    <row r="81">
      <c r="A81" s="153">
        <v>46189.0</v>
      </c>
      <c r="B81" s="155" t="s">
        <v>237</v>
      </c>
      <c r="C81" s="106" t="s">
        <v>9</v>
      </c>
      <c r="D81" s="146" t="s">
        <v>1133</v>
      </c>
      <c r="E81" s="127">
        <v>5.74</v>
      </c>
      <c r="F81" s="106">
        <v>1.0</v>
      </c>
      <c r="G81" s="128"/>
    </row>
    <row r="82">
      <c r="A82" s="153">
        <v>46189.0</v>
      </c>
      <c r="B82" s="144" t="s">
        <v>1273</v>
      </c>
      <c r="C82" s="106" t="s">
        <v>9</v>
      </c>
      <c r="D82" s="106" t="s">
        <v>1133</v>
      </c>
      <c r="E82" s="127">
        <v>12.74</v>
      </c>
      <c r="F82" s="106">
        <v>1.0</v>
      </c>
      <c r="G82" s="128"/>
    </row>
    <row r="83">
      <c r="A83" s="153">
        <v>46189.0</v>
      </c>
      <c r="B83" s="156" t="s">
        <v>23</v>
      </c>
      <c r="C83" s="106" t="s">
        <v>9</v>
      </c>
      <c r="D83" s="146" t="s">
        <v>1133</v>
      </c>
      <c r="E83" s="127">
        <v>25.74</v>
      </c>
      <c r="F83" s="106">
        <v>1.0</v>
      </c>
      <c r="G83" s="128"/>
    </row>
    <row r="84">
      <c r="A84" s="153">
        <v>46189.0</v>
      </c>
      <c r="B84" s="157" t="s">
        <v>144</v>
      </c>
      <c r="C84" s="106" t="s">
        <v>9</v>
      </c>
      <c r="D84" s="146" t="s">
        <v>1133</v>
      </c>
      <c r="E84" s="127">
        <v>18.74</v>
      </c>
      <c r="F84" s="106">
        <v>1.0</v>
      </c>
      <c r="G84" s="128"/>
    </row>
    <row r="85">
      <c r="A85" s="153">
        <v>46189.0</v>
      </c>
      <c r="B85" s="144" t="s">
        <v>1279</v>
      </c>
      <c r="C85" s="106" t="s">
        <v>9</v>
      </c>
      <c r="D85" s="106" t="s">
        <v>1133</v>
      </c>
      <c r="E85" s="127">
        <v>150.74</v>
      </c>
      <c r="F85" s="106">
        <v>1.0</v>
      </c>
      <c r="G85" s="128"/>
    </row>
    <row r="86">
      <c r="A86" s="153">
        <v>46189.0</v>
      </c>
      <c r="B86" s="144" t="s">
        <v>1282</v>
      </c>
      <c r="C86" s="106" t="s">
        <v>9</v>
      </c>
      <c r="D86" s="146" t="s">
        <v>1133</v>
      </c>
      <c r="E86" s="127">
        <v>20.74</v>
      </c>
      <c r="F86" s="106">
        <v>1.0</v>
      </c>
      <c r="G86" s="128"/>
    </row>
    <row r="87">
      <c r="A87" s="153">
        <v>46189.0</v>
      </c>
      <c r="B87" s="152" t="s">
        <v>1284</v>
      </c>
      <c r="C87" s="106" t="s">
        <v>9</v>
      </c>
      <c r="D87" s="146" t="s">
        <v>1133</v>
      </c>
      <c r="E87" s="127">
        <v>200.74</v>
      </c>
      <c r="F87" s="106">
        <v>1.0</v>
      </c>
      <c r="G87" s="128"/>
    </row>
    <row r="88">
      <c r="A88" s="153">
        <v>46189.0</v>
      </c>
      <c r="B88" s="156" t="s">
        <v>816</v>
      </c>
      <c r="C88" s="106" t="s">
        <v>9</v>
      </c>
      <c r="D88" s="106" t="s">
        <v>1133</v>
      </c>
      <c r="E88" s="127">
        <v>45.74</v>
      </c>
      <c r="F88" s="106">
        <v>1.0</v>
      </c>
      <c r="G88" s="128"/>
    </row>
    <row r="89">
      <c r="A89" s="153">
        <v>46189.0</v>
      </c>
      <c r="B89" s="152" t="s">
        <v>1287</v>
      </c>
      <c r="C89" s="106" t="s">
        <v>9</v>
      </c>
      <c r="D89" s="146" t="s">
        <v>1133</v>
      </c>
      <c r="E89" s="127">
        <v>35.74</v>
      </c>
      <c r="F89" s="106">
        <v>2.0</v>
      </c>
      <c r="G89" s="128"/>
    </row>
    <row r="90">
      <c r="A90" s="158"/>
      <c r="B90" s="158"/>
      <c r="C90" s="139" t="s">
        <v>9</v>
      </c>
      <c r="D90" s="149" t="s">
        <v>1133</v>
      </c>
      <c r="E90" s="140"/>
      <c r="F90" s="141"/>
      <c r="G90" s="141"/>
    </row>
    <row r="91">
      <c r="A91" s="153">
        <v>46190.0</v>
      </c>
      <c r="B91" s="144">
        <v>2.42253002E8</v>
      </c>
      <c r="C91" s="106" t="s">
        <v>9</v>
      </c>
      <c r="D91" s="106" t="s">
        <v>1133</v>
      </c>
      <c r="E91" s="127">
        <v>28.74</v>
      </c>
      <c r="F91" s="106">
        <v>1.0</v>
      </c>
      <c r="G91" s="128"/>
    </row>
    <row r="92">
      <c r="A92" s="153">
        <v>46190.0</v>
      </c>
      <c r="B92" s="152">
        <v>2.4222013E8</v>
      </c>
      <c r="C92" s="106" t="s">
        <v>9</v>
      </c>
      <c r="D92" s="146" t="s">
        <v>1133</v>
      </c>
      <c r="E92" s="127">
        <v>12.74</v>
      </c>
      <c r="F92" s="106">
        <v>1.0</v>
      </c>
      <c r="G92" s="128"/>
    </row>
    <row r="93">
      <c r="A93" s="153">
        <v>46190.0</v>
      </c>
      <c r="B93" s="152" t="s">
        <v>1293</v>
      </c>
      <c r="C93" s="106" t="s">
        <v>9</v>
      </c>
      <c r="D93" s="146" t="s">
        <v>1133</v>
      </c>
      <c r="E93" s="127">
        <v>12.74</v>
      </c>
      <c r="F93" s="106">
        <v>1.0</v>
      </c>
      <c r="G93" s="128"/>
    </row>
    <row r="94">
      <c r="A94" s="153">
        <v>46190.0</v>
      </c>
      <c r="B94" s="144" t="s">
        <v>1295</v>
      </c>
      <c r="C94" s="106" t="s">
        <v>9</v>
      </c>
      <c r="D94" s="106" t="s">
        <v>1133</v>
      </c>
      <c r="E94" s="127">
        <v>28.74</v>
      </c>
      <c r="F94" s="106">
        <v>1.0</v>
      </c>
      <c r="G94" s="157" t="s">
        <v>1143</v>
      </c>
    </row>
    <row r="95">
      <c r="A95" s="153">
        <v>46190.0</v>
      </c>
      <c r="B95" s="156" t="s">
        <v>854</v>
      </c>
      <c r="C95" s="106" t="s">
        <v>9</v>
      </c>
      <c r="D95" s="146" t="s">
        <v>1133</v>
      </c>
      <c r="E95" s="127">
        <v>19.74</v>
      </c>
      <c r="F95" s="106">
        <v>1.0</v>
      </c>
      <c r="G95" s="159"/>
    </row>
    <row r="96">
      <c r="A96" s="153">
        <v>46190.0</v>
      </c>
      <c r="B96" s="152" t="s">
        <v>715</v>
      </c>
      <c r="C96" s="106" t="s">
        <v>9</v>
      </c>
      <c r="D96" s="146" t="s">
        <v>1133</v>
      </c>
      <c r="E96" s="127">
        <v>18.74</v>
      </c>
      <c r="F96" s="106">
        <v>1.0</v>
      </c>
      <c r="G96" s="128"/>
    </row>
    <row r="97">
      <c r="A97" s="153">
        <v>46190.0</v>
      </c>
      <c r="B97" s="156" t="s">
        <v>166</v>
      </c>
      <c r="C97" s="106" t="s">
        <v>9</v>
      </c>
      <c r="D97" s="106" t="s">
        <v>1133</v>
      </c>
      <c r="E97" s="127">
        <v>20.74</v>
      </c>
      <c r="F97" s="106">
        <v>1.0</v>
      </c>
      <c r="G97" s="128"/>
    </row>
    <row r="98">
      <c r="A98" s="153">
        <v>46190.0</v>
      </c>
      <c r="B98" s="156" t="s">
        <v>1306</v>
      </c>
      <c r="C98" s="106" t="s">
        <v>9</v>
      </c>
      <c r="D98" s="146" t="s">
        <v>1133</v>
      </c>
      <c r="E98" s="127">
        <v>15.74</v>
      </c>
      <c r="F98" s="106">
        <v>1.0</v>
      </c>
      <c r="G98" s="128"/>
    </row>
    <row r="99">
      <c r="A99" s="153">
        <v>46190.0</v>
      </c>
      <c r="B99" s="152">
        <v>1.54825001E8</v>
      </c>
      <c r="C99" s="106" t="s">
        <v>9</v>
      </c>
      <c r="D99" s="146" t="s">
        <v>1133</v>
      </c>
      <c r="E99" s="127">
        <v>23.74</v>
      </c>
      <c r="F99" s="106">
        <v>1.0</v>
      </c>
      <c r="G99" s="128"/>
    </row>
    <row r="100">
      <c r="A100" s="153">
        <v>46190.0</v>
      </c>
      <c r="B100" s="144" t="s">
        <v>1310</v>
      </c>
      <c r="C100" s="106" t="s">
        <v>9</v>
      </c>
      <c r="D100" s="106" t="s">
        <v>1133</v>
      </c>
      <c r="E100" s="127">
        <v>32.74</v>
      </c>
      <c r="F100" s="106">
        <v>1.0</v>
      </c>
      <c r="G100" s="106" t="s">
        <v>1143</v>
      </c>
    </row>
    <row r="101">
      <c r="A101" s="153">
        <v>46190.0</v>
      </c>
      <c r="B101" s="161">
        <v>5.304531011E9</v>
      </c>
      <c r="C101" s="106" t="s">
        <v>9</v>
      </c>
      <c r="D101" s="146" t="s">
        <v>1133</v>
      </c>
      <c r="E101" s="127">
        <v>38.74</v>
      </c>
      <c r="F101" s="106">
        <v>1.0</v>
      </c>
      <c r="G101" s="128"/>
    </row>
    <row r="102">
      <c r="A102" s="153">
        <v>46190.0</v>
      </c>
      <c r="B102" s="144" t="s">
        <v>1315</v>
      </c>
      <c r="C102" s="106" t="s">
        <v>9</v>
      </c>
      <c r="D102" s="146" t="s">
        <v>1133</v>
      </c>
      <c r="E102" s="127">
        <v>43.74</v>
      </c>
      <c r="F102" s="106">
        <v>1.0</v>
      </c>
      <c r="G102" s="128"/>
    </row>
    <row r="103">
      <c r="A103" s="153">
        <v>46190.0</v>
      </c>
      <c r="B103" s="144" t="s">
        <v>1317</v>
      </c>
      <c r="C103" s="106" t="s">
        <v>9</v>
      </c>
      <c r="D103" s="106" t="s">
        <v>1133</v>
      </c>
      <c r="E103" s="127">
        <v>12.74</v>
      </c>
      <c r="F103" s="106">
        <v>1.0</v>
      </c>
      <c r="G103" s="128"/>
    </row>
    <row r="104">
      <c r="A104" s="153">
        <v>46190.0</v>
      </c>
      <c r="B104" s="162" t="s">
        <v>1319</v>
      </c>
      <c r="C104" s="106" t="s">
        <v>9</v>
      </c>
      <c r="D104" s="146" t="s">
        <v>1133</v>
      </c>
      <c r="E104" s="127">
        <v>62.74</v>
      </c>
      <c r="F104" s="106">
        <v>1.0</v>
      </c>
      <c r="G104" s="128"/>
    </row>
    <row r="105">
      <c r="A105" s="153">
        <v>46190.0</v>
      </c>
      <c r="B105" s="163" t="s">
        <v>1322</v>
      </c>
      <c r="C105" s="106" t="s">
        <v>9</v>
      </c>
      <c r="D105" s="146" t="s">
        <v>1133</v>
      </c>
      <c r="E105" s="127">
        <v>90.74</v>
      </c>
      <c r="F105" s="106">
        <v>1.0</v>
      </c>
      <c r="G105" s="128"/>
    </row>
    <row r="106">
      <c r="A106" s="153">
        <v>46190.0</v>
      </c>
      <c r="B106" s="144" t="s">
        <v>1324</v>
      </c>
      <c r="C106" s="106" t="s">
        <v>9</v>
      </c>
      <c r="D106" s="106" t="s">
        <v>1133</v>
      </c>
      <c r="E106" s="127">
        <v>10.74</v>
      </c>
      <c r="F106" s="106">
        <v>2.0</v>
      </c>
      <c r="G106" s="128"/>
    </row>
    <row r="107">
      <c r="A107" s="153">
        <v>46190.0</v>
      </c>
      <c r="B107" s="144" t="s">
        <v>1326</v>
      </c>
      <c r="C107" s="106" t="s">
        <v>9</v>
      </c>
      <c r="D107" s="146" t="s">
        <v>1133</v>
      </c>
      <c r="E107" s="127">
        <v>14.74</v>
      </c>
      <c r="F107" s="106">
        <v>1.0</v>
      </c>
      <c r="G107" s="128"/>
    </row>
    <row r="108">
      <c r="A108" s="153">
        <v>46190.0</v>
      </c>
      <c r="B108" s="144">
        <v>5.304532235E9</v>
      </c>
      <c r="C108" s="106" t="s">
        <v>9</v>
      </c>
      <c r="D108" s="146" t="s">
        <v>1133</v>
      </c>
      <c r="E108" s="127">
        <v>12.74</v>
      </c>
      <c r="F108" s="106">
        <v>1.0</v>
      </c>
      <c r="G108" s="128"/>
    </row>
    <row r="109">
      <c r="A109" s="153">
        <v>46190.0</v>
      </c>
      <c r="B109" s="162" t="s">
        <v>1328</v>
      </c>
      <c r="C109" s="106" t="s">
        <v>9</v>
      </c>
      <c r="D109" s="106" t="s">
        <v>1133</v>
      </c>
      <c r="E109" s="127">
        <v>90.74</v>
      </c>
      <c r="F109" s="106">
        <v>1.0</v>
      </c>
      <c r="G109" s="128"/>
    </row>
    <row r="110">
      <c r="A110" s="153">
        <v>46190.0</v>
      </c>
      <c r="B110" s="106" t="s">
        <v>1330</v>
      </c>
      <c r="C110" s="106" t="s">
        <v>9</v>
      </c>
      <c r="D110" s="146" t="s">
        <v>1133</v>
      </c>
      <c r="E110" s="127">
        <v>17.74</v>
      </c>
      <c r="F110" s="106">
        <v>1.0</v>
      </c>
      <c r="G110" s="106" t="s">
        <v>1332</v>
      </c>
    </row>
    <row r="111">
      <c r="A111" s="141"/>
      <c r="B111" s="141"/>
      <c r="C111" s="139" t="s">
        <v>9</v>
      </c>
      <c r="D111" s="149" t="s">
        <v>1133</v>
      </c>
      <c r="E111" s="140"/>
      <c r="F111" s="141"/>
      <c r="G111" s="141"/>
    </row>
    <row r="112">
      <c r="A112" s="150">
        <v>46191.0</v>
      </c>
      <c r="B112" s="106">
        <v>5.30453812E9</v>
      </c>
      <c r="C112" s="106" t="s">
        <v>9</v>
      </c>
      <c r="D112" s="106" t="s">
        <v>1133</v>
      </c>
      <c r="E112" s="127">
        <v>55.74</v>
      </c>
      <c r="F112" s="106">
        <v>1.0</v>
      </c>
      <c r="G112" s="128"/>
    </row>
    <row r="113">
      <c r="A113" s="150">
        <v>46191.0</v>
      </c>
      <c r="B113" s="106">
        <v>9.745766E8</v>
      </c>
      <c r="C113" s="106" t="s">
        <v>9</v>
      </c>
      <c r="D113" s="146" t="s">
        <v>1133</v>
      </c>
      <c r="E113" s="127">
        <v>90.74</v>
      </c>
      <c r="F113" s="106">
        <v>1.0</v>
      </c>
      <c r="G113" s="128"/>
    </row>
    <row r="114">
      <c r="A114" s="150">
        <v>46191.0</v>
      </c>
      <c r="B114" s="164" t="s">
        <v>1337</v>
      </c>
      <c r="C114" s="106" t="s">
        <v>9</v>
      </c>
      <c r="D114" s="146" t="s">
        <v>1133</v>
      </c>
      <c r="E114" s="127">
        <v>30.74</v>
      </c>
      <c r="F114" s="106">
        <v>1.0</v>
      </c>
      <c r="G114" s="128"/>
    </row>
    <row r="115">
      <c r="A115" s="150">
        <v>46191.0</v>
      </c>
      <c r="B115" s="47" t="s">
        <v>1250</v>
      </c>
      <c r="C115" s="106" t="s">
        <v>9</v>
      </c>
      <c r="D115" s="146" t="s">
        <v>1133</v>
      </c>
      <c r="E115" s="127">
        <v>185.74</v>
      </c>
      <c r="F115" s="106">
        <v>1.0</v>
      </c>
      <c r="G115" s="107"/>
    </row>
    <row r="116">
      <c r="A116" s="166">
        <v>46198.0</v>
      </c>
      <c r="B116" s="164" t="s">
        <v>259</v>
      </c>
      <c r="C116" s="167" t="s">
        <v>9</v>
      </c>
      <c r="D116" s="168" t="s">
        <v>1133</v>
      </c>
      <c r="E116" s="169">
        <v>18.74</v>
      </c>
      <c r="F116" s="167">
        <v>1.0</v>
      </c>
      <c r="G116" s="170"/>
    </row>
    <row r="117">
      <c r="A117" s="166">
        <v>46198.0</v>
      </c>
      <c r="B117" s="164" t="s">
        <v>1343</v>
      </c>
      <c r="C117" s="167" t="s">
        <v>9</v>
      </c>
      <c r="D117" s="168" t="s">
        <v>1133</v>
      </c>
      <c r="E117" s="169">
        <v>13.74</v>
      </c>
      <c r="F117" s="167">
        <v>2.0</v>
      </c>
      <c r="G117" s="170"/>
    </row>
    <row r="118">
      <c r="A118" s="166">
        <v>46198.0</v>
      </c>
      <c r="B118" s="171" t="s">
        <v>1346</v>
      </c>
      <c r="C118" s="167" t="s">
        <v>8</v>
      </c>
      <c r="D118" s="168" t="s">
        <v>1133</v>
      </c>
      <c r="E118" s="169">
        <v>80.74</v>
      </c>
      <c r="F118" s="167">
        <v>1.0</v>
      </c>
      <c r="G118" s="170"/>
    </row>
    <row r="119">
      <c r="A119" s="166">
        <v>46198.0</v>
      </c>
      <c r="B119" s="172" t="s">
        <v>1349</v>
      </c>
      <c r="C119" s="167" t="s">
        <v>8</v>
      </c>
      <c r="D119" s="168" t="s">
        <v>1133</v>
      </c>
      <c r="E119" s="169">
        <v>28.74</v>
      </c>
      <c r="F119" s="167">
        <v>1.0</v>
      </c>
      <c r="G119" s="170"/>
    </row>
    <row r="120">
      <c r="A120" s="166">
        <v>46204.0</v>
      </c>
      <c r="B120" s="155" t="s">
        <v>1352</v>
      </c>
      <c r="C120" s="167" t="s">
        <v>9</v>
      </c>
      <c r="D120" s="168" t="s">
        <v>1133</v>
      </c>
      <c r="E120" s="169">
        <v>165.74</v>
      </c>
      <c r="F120" s="167">
        <v>1.0</v>
      </c>
      <c r="G120" s="167" t="s">
        <v>1355</v>
      </c>
    </row>
    <row r="121">
      <c r="A121" s="166"/>
      <c r="B121" s="154"/>
      <c r="C121" s="167"/>
      <c r="D121" s="168" t="s">
        <v>1133</v>
      </c>
      <c r="E121" s="169"/>
      <c r="F121" s="170"/>
      <c r="G121" s="170"/>
    </row>
    <row r="122">
      <c r="A122" s="166"/>
      <c r="B122" s="155"/>
      <c r="C122" s="167"/>
      <c r="D122" s="168" t="s">
        <v>1133</v>
      </c>
      <c r="E122" s="169"/>
      <c r="F122" s="170"/>
      <c r="G122" s="170"/>
    </row>
  </sheetData>
  <dataValidations>
    <dataValidation type="list" allowBlank="1" showErrorMessage="1" sqref="C2:C122">
      <formula1>"Ebay (warehouse_101),Ebay (tekp07),Sold"</formula1>
    </dataValidation>
    <dataValidation type="list" allowBlank="1" showErrorMessage="1" sqref="D2:D122">
      <formula1>"MEMPHIS,NASHVILLE,CHATTANOOGA,TALLAHASSEE,ATLANTA,KNOXVILLE,RALEIGH,CHATTANOOGA"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3.13"/>
    <col customWidth="1" min="4" max="4" width="18.5"/>
    <col customWidth="1" min="5" max="5" width="13.25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24">
        <v>46197.0</v>
      </c>
      <c r="B2" s="187" t="s">
        <v>1589</v>
      </c>
      <c r="C2" s="106" t="s">
        <v>8</v>
      </c>
      <c r="D2" s="106" t="s">
        <v>1601</v>
      </c>
      <c r="E2" s="127">
        <v>120.88</v>
      </c>
      <c r="F2" s="106">
        <v>1.0</v>
      </c>
      <c r="G2" s="128"/>
    </row>
    <row r="3">
      <c r="A3" s="124">
        <v>46197.0</v>
      </c>
      <c r="B3" s="187" t="s">
        <v>1606</v>
      </c>
      <c r="C3" s="106" t="s">
        <v>9</v>
      </c>
      <c r="D3" s="106" t="s">
        <v>1601</v>
      </c>
      <c r="E3" s="127">
        <v>118.88</v>
      </c>
      <c r="F3" s="106">
        <v>1.0</v>
      </c>
      <c r="G3" s="128"/>
    </row>
    <row r="4">
      <c r="A4" s="124">
        <v>46197.0</v>
      </c>
      <c r="B4" s="187" t="s">
        <v>948</v>
      </c>
      <c r="C4" s="106" t="s">
        <v>8</v>
      </c>
      <c r="D4" s="106" t="s">
        <v>1601</v>
      </c>
      <c r="E4" s="127">
        <v>80.88</v>
      </c>
      <c r="F4" s="106">
        <v>1.0</v>
      </c>
      <c r="G4" s="128"/>
    </row>
    <row r="5">
      <c r="A5" s="124">
        <v>46197.0</v>
      </c>
      <c r="B5" s="187" t="s">
        <v>1404</v>
      </c>
      <c r="C5" s="106" t="s">
        <v>8</v>
      </c>
      <c r="D5" s="106" t="s">
        <v>1601</v>
      </c>
      <c r="E5" s="127">
        <v>95.88</v>
      </c>
      <c r="F5" s="106">
        <v>3.0</v>
      </c>
      <c r="G5" s="128"/>
    </row>
    <row r="6">
      <c r="A6" s="124">
        <v>46197.0</v>
      </c>
      <c r="B6" s="187" t="s">
        <v>1617</v>
      </c>
      <c r="C6" s="106" t="s">
        <v>9</v>
      </c>
      <c r="D6" s="106" t="s">
        <v>1601</v>
      </c>
      <c r="E6" s="127">
        <v>118.88</v>
      </c>
      <c r="F6" s="106">
        <v>2.0</v>
      </c>
      <c r="G6" s="128"/>
    </row>
    <row r="7">
      <c r="A7" s="124">
        <v>46197.0</v>
      </c>
      <c r="B7" s="187" t="s">
        <v>1621</v>
      </c>
      <c r="C7" s="106" t="s">
        <v>8</v>
      </c>
      <c r="D7" s="106" t="s">
        <v>1601</v>
      </c>
      <c r="E7" s="127">
        <v>125.88</v>
      </c>
      <c r="F7" s="106">
        <v>1.0</v>
      </c>
      <c r="G7" s="128"/>
    </row>
    <row r="8">
      <c r="A8" s="124">
        <v>46197.0</v>
      </c>
      <c r="B8" s="190" t="s">
        <v>1622</v>
      </c>
      <c r="C8" s="106" t="s">
        <v>8</v>
      </c>
      <c r="D8" s="106" t="s">
        <v>1601</v>
      </c>
      <c r="E8" s="127">
        <v>28.88</v>
      </c>
      <c r="F8" s="106">
        <v>1.0</v>
      </c>
      <c r="G8" s="128"/>
    </row>
    <row r="9">
      <c r="A9" s="124">
        <v>46197.0</v>
      </c>
      <c r="B9" s="187" t="s">
        <v>531</v>
      </c>
      <c r="C9" s="106" t="s">
        <v>8</v>
      </c>
      <c r="D9" s="106" t="s">
        <v>1601</v>
      </c>
      <c r="E9" s="127">
        <v>19.88</v>
      </c>
      <c r="F9" s="106">
        <v>2.0</v>
      </c>
      <c r="G9" s="128"/>
    </row>
    <row r="10">
      <c r="A10" s="124">
        <v>46197.0</v>
      </c>
      <c r="B10" s="187" t="s">
        <v>112</v>
      </c>
      <c r="C10" s="106" t="s">
        <v>8</v>
      </c>
      <c r="D10" s="106" t="s">
        <v>1601</v>
      </c>
      <c r="E10" s="127">
        <v>48.88</v>
      </c>
      <c r="F10" s="106">
        <v>1.0</v>
      </c>
      <c r="G10" s="128"/>
    </row>
    <row r="11">
      <c r="A11" s="124">
        <v>46197.0</v>
      </c>
      <c r="B11" s="187" t="s">
        <v>1630</v>
      </c>
      <c r="C11" s="106" t="s">
        <v>8</v>
      </c>
      <c r="D11" s="106" t="s">
        <v>1601</v>
      </c>
      <c r="E11" s="127">
        <v>34.88</v>
      </c>
      <c r="F11" s="106">
        <v>1.0</v>
      </c>
      <c r="G11" s="128"/>
    </row>
    <row r="12">
      <c r="A12" s="124">
        <v>46197.0</v>
      </c>
      <c r="B12" s="190" t="s">
        <v>1631</v>
      </c>
      <c r="C12" s="106" t="s">
        <v>8</v>
      </c>
      <c r="D12" s="106" t="s">
        <v>1601</v>
      </c>
      <c r="E12" s="127">
        <v>45.88</v>
      </c>
      <c r="F12" s="106">
        <v>1.0</v>
      </c>
      <c r="G12" s="128"/>
    </row>
    <row r="13">
      <c r="A13" s="124">
        <v>46197.0</v>
      </c>
      <c r="B13" s="191" t="s">
        <v>1636</v>
      </c>
      <c r="C13" s="106" t="s">
        <v>8</v>
      </c>
      <c r="D13" s="106" t="s">
        <v>1601</v>
      </c>
      <c r="E13" s="127">
        <v>78.88</v>
      </c>
      <c r="F13" s="106">
        <v>1.0</v>
      </c>
      <c r="G13" s="106"/>
    </row>
    <row r="14">
      <c r="A14" s="124">
        <v>46197.0</v>
      </c>
      <c r="B14" s="192" t="s">
        <v>649</v>
      </c>
      <c r="C14" s="106" t="s">
        <v>8</v>
      </c>
      <c r="D14" s="106" t="s">
        <v>1601</v>
      </c>
      <c r="E14" s="127">
        <v>84.88</v>
      </c>
      <c r="F14" s="106">
        <v>1.0</v>
      </c>
      <c r="G14" s="106"/>
    </row>
    <row r="15">
      <c r="A15" s="124">
        <v>46197.0</v>
      </c>
      <c r="B15" s="192" t="s">
        <v>1656</v>
      </c>
      <c r="C15" s="106" t="s">
        <v>8</v>
      </c>
      <c r="D15" s="106" t="s">
        <v>1601</v>
      </c>
      <c r="E15" s="127">
        <v>125.88</v>
      </c>
      <c r="F15" s="106">
        <v>1.0</v>
      </c>
      <c r="G15" s="128"/>
    </row>
    <row r="16">
      <c r="A16" s="124">
        <v>46197.0</v>
      </c>
      <c r="B16" s="192" t="s">
        <v>1659</v>
      </c>
      <c r="C16" s="106" t="s">
        <v>8</v>
      </c>
      <c r="D16" s="106" t="s">
        <v>1601</v>
      </c>
      <c r="E16" s="127">
        <v>135.88</v>
      </c>
      <c r="F16" s="106">
        <v>1.0</v>
      </c>
      <c r="G16" s="128"/>
    </row>
    <row r="17">
      <c r="A17" s="124">
        <v>46197.0</v>
      </c>
      <c r="B17" s="192" t="s">
        <v>1662</v>
      </c>
      <c r="C17" s="106" t="s">
        <v>8</v>
      </c>
      <c r="D17" s="106" t="s">
        <v>1601</v>
      </c>
      <c r="E17" s="127">
        <v>14.88</v>
      </c>
      <c r="F17" s="106">
        <v>1.0</v>
      </c>
      <c r="G17" s="128"/>
    </row>
    <row r="18">
      <c r="A18" s="124">
        <v>46197.0</v>
      </c>
      <c r="B18" s="192" t="s">
        <v>1664</v>
      </c>
      <c r="C18" s="106" t="s">
        <v>8</v>
      </c>
      <c r="D18" s="106" t="s">
        <v>1601</v>
      </c>
      <c r="E18" s="127">
        <v>30.88</v>
      </c>
      <c r="F18" s="106">
        <v>1.0</v>
      </c>
      <c r="G18" s="128"/>
    </row>
    <row r="19">
      <c r="A19" s="124">
        <v>46197.0</v>
      </c>
      <c r="B19" s="192" t="s">
        <v>1667</v>
      </c>
      <c r="C19" s="106" t="s">
        <v>8</v>
      </c>
      <c r="D19" s="106" t="s">
        <v>1601</v>
      </c>
      <c r="E19" s="127">
        <v>25.88</v>
      </c>
      <c r="F19" s="106">
        <v>1.0</v>
      </c>
      <c r="G19" s="128"/>
    </row>
    <row r="20">
      <c r="A20" s="124">
        <v>46197.0</v>
      </c>
      <c r="B20" s="192">
        <v>280148.0</v>
      </c>
      <c r="C20" s="106" t="s">
        <v>8</v>
      </c>
      <c r="D20" s="106" t="s">
        <v>1601</v>
      </c>
      <c r="E20" s="127">
        <v>22.88</v>
      </c>
      <c r="F20" s="106">
        <v>1.0</v>
      </c>
      <c r="G20" s="128"/>
    </row>
    <row r="21">
      <c r="A21" s="124">
        <v>46197.0</v>
      </c>
      <c r="B21" s="192" t="s">
        <v>1670</v>
      </c>
      <c r="C21" s="106" t="s">
        <v>8</v>
      </c>
      <c r="D21" s="106" t="s">
        <v>1601</v>
      </c>
      <c r="E21" s="127">
        <v>25.88</v>
      </c>
      <c r="F21" s="106">
        <v>1.0</v>
      </c>
      <c r="G21" s="128"/>
    </row>
    <row r="22">
      <c r="A22" s="124">
        <v>46197.0</v>
      </c>
      <c r="B22" s="190" t="s">
        <v>1673</v>
      </c>
      <c r="C22" s="106" t="s">
        <v>8</v>
      </c>
      <c r="D22" s="106" t="s">
        <v>1601</v>
      </c>
      <c r="E22" s="127">
        <v>17.88</v>
      </c>
      <c r="F22" s="106">
        <v>1.0</v>
      </c>
      <c r="G22" s="128"/>
    </row>
    <row r="23">
      <c r="A23" s="124">
        <v>46197.0</v>
      </c>
      <c r="B23" s="190" t="s">
        <v>1677</v>
      </c>
      <c r="C23" s="106" t="s">
        <v>8</v>
      </c>
      <c r="D23" s="106" t="s">
        <v>1601</v>
      </c>
      <c r="E23" s="127">
        <v>45.88</v>
      </c>
      <c r="F23" s="106">
        <v>1.0</v>
      </c>
      <c r="G23" s="128"/>
    </row>
    <row r="24">
      <c r="A24" s="124">
        <v>46197.0</v>
      </c>
      <c r="B24" s="192" t="s">
        <v>1680</v>
      </c>
      <c r="C24" s="106" t="s">
        <v>8</v>
      </c>
      <c r="D24" s="106" t="s">
        <v>1601</v>
      </c>
      <c r="E24" s="127">
        <v>13.88</v>
      </c>
      <c r="F24" s="106">
        <v>1.0</v>
      </c>
      <c r="G24" s="128"/>
    </row>
    <row r="25">
      <c r="A25" s="124">
        <v>46197.0</v>
      </c>
      <c r="B25" s="192" t="s">
        <v>1683</v>
      </c>
      <c r="C25" s="106" t="s">
        <v>8</v>
      </c>
      <c r="D25" s="106" t="s">
        <v>1601</v>
      </c>
      <c r="E25" s="127">
        <v>22.88</v>
      </c>
      <c r="F25" s="106">
        <v>1.0</v>
      </c>
      <c r="G25" s="128"/>
    </row>
    <row r="26">
      <c r="A26" s="124">
        <v>46197.0</v>
      </c>
      <c r="B26" s="192" t="s">
        <v>1686</v>
      </c>
      <c r="C26" s="106" t="s">
        <v>8</v>
      </c>
      <c r="D26" s="106" t="s">
        <v>1601</v>
      </c>
      <c r="E26" s="127">
        <v>10.88</v>
      </c>
      <c r="F26" s="106">
        <v>2.0</v>
      </c>
      <c r="G26" s="128"/>
    </row>
    <row r="27">
      <c r="A27" s="124">
        <v>46197.0</v>
      </c>
      <c r="B27" s="192" t="s">
        <v>656</v>
      </c>
      <c r="C27" s="106" t="s">
        <v>8</v>
      </c>
      <c r="D27" s="106" t="s">
        <v>1601</v>
      </c>
      <c r="E27" s="127">
        <v>25.88</v>
      </c>
      <c r="F27" s="106">
        <v>1.0</v>
      </c>
      <c r="G27" s="128"/>
    </row>
    <row r="28">
      <c r="A28" s="124">
        <v>46197.0</v>
      </c>
      <c r="B28" s="192" t="s">
        <v>1692</v>
      </c>
      <c r="C28" s="106" t="s">
        <v>8</v>
      </c>
      <c r="D28" s="106" t="s">
        <v>1601</v>
      </c>
      <c r="E28" s="127">
        <v>11.88</v>
      </c>
      <c r="F28" s="106">
        <v>3.0</v>
      </c>
      <c r="G28" s="128"/>
    </row>
    <row r="29">
      <c r="A29" s="124">
        <v>46197.0</v>
      </c>
      <c r="B29" s="192" t="s">
        <v>1696</v>
      </c>
      <c r="C29" s="106" t="s">
        <v>8</v>
      </c>
      <c r="D29" s="106" t="s">
        <v>1601</v>
      </c>
      <c r="E29" s="127">
        <v>9.88</v>
      </c>
      <c r="F29" s="106">
        <v>1.0</v>
      </c>
      <c r="G29" s="128"/>
    </row>
    <row r="30">
      <c r="A30" s="124">
        <v>46197.0</v>
      </c>
      <c r="B30" s="192" t="s">
        <v>1698</v>
      </c>
      <c r="C30" s="106" t="s">
        <v>8</v>
      </c>
      <c r="D30" s="106" t="s">
        <v>1601</v>
      </c>
      <c r="E30" s="127">
        <v>13.88</v>
      </c>
      <c r="F30" s="106">
        <v>1.0</v>
      </c>
      <c r="G30" s="128"/>
    </row>
    <row r="31">
      <c r="A31" s="124">
        <v>46197.0</v>
      </c>
      <c r="B31" s="192">
        <v>279973.0</v>
      </c>
      <c r="C31" s="106" t="s">
        <v>8</v>
      </c>
      <c r="D31" s="106" t="s">
        <v>1601</v>
      </c>
      <c r="E31" s="127">
        <v>16.88</v>
      </c>
      <c r="F31" s="106">
        <v>1.0</v>
      </c>
      <c r="G31" s="128"/>
    </row>
    <row r="32">
      <c r="A32" s="124">
        <v>46197.0</v>
      </c>
      <c r="B32" s="192" t="s">
        <v>380</v>
      </c>
      <c r="C32" s="106" t="s">
        <v>8</v>
      </c>
      <c r="D32" s="106" t="s">
        <v>1601</v>
      </c>
      <c r="E32" s="127">
        <v>40.88</v>
      </c>
      <c r="F32" s="106">
        <v>1.0</v>
      </c>
      <c r="G32" s="128"/>
    </row>
    <row r="33">
      <c r="A33" s="124">
        <v>46197.0</v>
      </c>
      <c r="B33" s="192" t="s">
        <v>1705</v>
      </c>
      <c r="C33" s="106" t="s">
        <v>8</v>
      </c>
      <c r="D33" s="106" t="s">
        <v>1601</v>
      </c>
      <c r="E33" s="127">
        <v>80.88</v>
      </c>
      <c r="F33" s="106">
        <v>1.0</v>
      </c>
      <c r="G33" s="128"/>
    </row>
    <row r="34">
      <c r="A34" s="124">
        <v>46197.0</v>
      </c>
      <c r="B34" s="192" t="s">
        <v>1706</v>
      </c>
      <c r="C34" s="106" t="s">
        <v>8</v>
      </c>
      <c r="D34" s="106" t="s">
        <v>1601</v>
      </c>
      <c r="E34" s="127">
        <v>50.88</v>
      </c>
      <c r="F34" s="106">
        <v>1.0</v>
      </c>
      <c r="G34" s="128"/>
    </row>
    <row r="35">
      <c r="A35" s="124">
        <v>46197.0</v>
      </c>
      <c r="B35" s="192" t="s">
        <v>1708</v>
      </c>
      <c r="C35" s="106" t="s">
        <v>8</v>
      </c>
      <c r="D35" s="106" t="s">
        <v>1601</v>
      </c>
      <c r="E35" s="127">
        <v>14.88</v>
      </c>
      <c r="F35" s="106">
        <v>1.0</v>
      </c>
      <c r="G35" s="128"/>
    </row>
    <row r="36">
      <c r="A36" s="124">
        <v>46197.0</v>
      </c>
      <c r="B36" s="192" t="s">
        <v>1710</v>
      </c>
      <c r="C36" s="106" t="s">
        <v>8</v>
      </c>
      <c r="D36" s="106" t="s">
        <v>1601</v>
      </c>
      <c r="E36" s="127">
        <v>10.88</v>
      </c>
      <c r="F36" s="106">
        <v>1.0</v>
      </c>
      <c r="G36" s="128"/>
    </row>
    <row r="37">
      <c r="A37" s="124">
        <v>46197.0</v>
      </c>
      <c r="B37" s="192" t="s">
        <v>667</v>
      </c>
      <c r="C37" s="106" t="s">
        <v>8</v>
      </c>
      <c r="D37" s="106" t="s">
        <v>1601</v>
      </c>
      <c r="E37" s="127">
        <v>16.88</v>
      </c>
      <c r="F37" s="106">
        <v>1.0</v>
      </c>
      <c r="G37" s="128"/>
    </row>
    <row r="38">
      <c r="A38" s="124">
        <v>46197.0</v>
      </c>
      <c r="B38" s="192" t="s">
        <v>1714</v>
      </c>
      <c r="C38" s="106" t="s">
        <v>8</v>
      </c>
      <c r="D38" s="106" t="s">
        <v>1601</v>
      </c>
      <c r="E38" s="127">
        <v>22.88</v>
      </c>
      <c r="F38" s="106">
        <v>1.0</v>
      </c>
      <c r="G38" s="128"/>
    </row>
    <row r="39">
      <c r="A39" s="124">
        <v>46197.0</v>
      </c>
      <c r="B39" s="192" t="s">
        <v>1715</v>
      </c>
      <c r="C39" s="106" t="s">
        <v>8</v>
      </c>
      <c r="D39" s="106" t="s">
        <v>1601</v>
      </c>
      <c r="E39" s="127">
        <v>20.88</v>
      </c>
      <c r="F39" s="106">
        <v>1.0</v>
      </c>
      <c r="G39" s="128"/>
    </row>
    <row r="40">
      <c r="A40" s="124">
        <v>46198.0</v>
      </c>
      <c r="B40" s="192" t="s">
        <v>663</v>
      </c>
      <c r="C40" s="106" t="s">
        <v>9</v>
      </c>
      <c r="D40" s="106" t="s">
        <v>1601</v>
      </c>
      <c r="E40" s="127">
        <v>20.88</v>
      </c>
      <c r="F40" s="106">
        <v>1.0</v>
      </c>
      <c r="G40" s="106"/>
    </row>
    <row r="41">
      <c r="A41" s="124">
        <v>46198.0</v>
      </c>
      <c r="B41" s="192" t="s">
        <v>1610</v>
      </c>
      <c r="C41" s="106" t="s">
        <v>8</v>
      </c>
      <c r="D41" s="106" t="s">
        <v>1601</v>
      </c>
      <c r="E41" s="127">
        <v>25.88</v>
      </c>
      <c r="F41" s="106">
        <v>1.0</v>
      </c>
      <c r="G41" s="128"/>
    </row>
    <row r="42">
      <c r="A42" s="124">
        <v>46198.0</v>
      </c>
      <c r="B42" s="192" t="s">
        <v>1308</v>
      </c>
      <c r="C42" s="106" t="s">
        <v>9</v>
      </c>
      <c r="D42" s="106" t="s">
        <v>1601</v>
      </c>
      <c r="E42" s="127">
        <v>8.88</v>
      </c>
      <c r="F42" s="106">
        <v>1.0</v>
      </c>
      <c r="G42" s="128"/>
    </row>
    <row r="43">
      <c r="A43" s="124">
        <v>46198.0</v>
      </c>
      <c r="B43" s="192" t="s">
        <v>1720</v>
      </c>
      <c r="C43" s="106" t="s">
        <v>8</v>
      </c>
      <c r="D43" s="106" t="s">
        <v>1601</v>
      </c>
      <c r="E43" s="127">
        <v>16.88</v>
      </c>
      <c r="F43" s="106">
        <v>1.0</v>
      </c>
      <c r="G43" s="128"/>
    </row>
    <row r="44">
      <c r="A44" s="124">
        <v>46198.0</v>
      </c>
      <c r="B44" s="105" t="s">
        <v>1314</v>
      </c>
      <c r="C44" s="106" t="s">
        <v>9</v>
      </c>
      <c r="D44" s="106" t="s">
        <v>1601</v>
      </c>
      <c r="E44" s="127">
        <v>9.88</v>
      </c>
      <c r="F44" s="106">
        <v>1.0</v>
      </c>
      <c r="G44" s="128"/>
    </row>
    <row r="45">
      <c r="A45" s="124">
        <v>46198.0</v>
      </c>
      <c r="B45" s="192" t="s">
        <v>1620</v>
      </c>
      <c r="C45" s="106" t="s">
        <v>8</v>
      </c>
      <c r="D45" s="106" t="s">
        <v>1601</v>
      </c>
      <c r="E45" s="127">
        <v>32.88</v>
      </c>
      <c r="F45" s="106">
        <v>3.0</v>
      </c>
      <c r="G45" s="128"/>
    </row>
    <row r="46">
      <c r="A46" s="124">
        <v>46198.0</v>
      </c>
      <c r="B46" s="192" t="s">
        <v>1126</v>
      </c>
      <c r="C46" s="106" t="s">
        <v>9</v>
      </c>
      <c r="D46" s="106" t="s">
        <v>1601</v>
      </c>
      <c r="E46" s="127">
        <v>44.88</v>
      </c>
      <c r="F46" s="106">
        <v>1.0</v>
      </c>
      <c r="G46" s="128"/>
    </row>
    <row r="47">
      <c r="A47" s="124">
        <v>46198.0</v>
      </c>
      <c r="B47" s="192" t="s">
        <v>1725</v>
      </c>
      <c r="C47" s="106" t="s">
        <v>8</v>
      </c>
      <c r="D47" s="106" t="s">
        <v>1601</v>
      </c>
      <c r="E47" s="127">
        <v>25.88</v>
      </c>
      <c r="F47" s="106">
        <v>1.0</v>
      </c>
      <c r="G47" s="128"/>
    </row>
    <row r="48">
      <c r="A48" s="124">
        <v>46198.0</v>
      </c>
      <c r="B48" s="192" t="s">
        <v>698</v>
      </c>
      <c r="C48" s="106" t="s">
        <v>8</v>
      </c>
      <c r="D48" s="106" t="s">
        <v>1601</v>
      </c>
      <c r="E48" s="127">
        <v>125.88</v>
      </c>
      <c r="F48" s="106">
        <v>1.0</v>
      </c>
      <c r="G48" s="128"/>
    </row>
    <row r="49">
      <c r="A49" s="124">
        <v>46198.0</v>
      </c>
      <c r="B49" s="192" t="s">
        <v>1014</v>
      </c>
      <c r="C49" s="106" t="s">
        <v>9</v>
      </c>
      <c r="D49" s="106" t="s">
        <v>1601</v>
      </c>
      <c r="E49" s="127">
        <v>26.88</v>
      </c>
      <c r="F49" s="106">
        <v>1.0</v>
      </c>
      <c r="G49" s="128"/>
    </row>
    <row r="50">
      <c r="A50" s="124">
        <v>46198.0</v>
      </c>
      <c r="B50" s="192" t="s">
        <v>1728</v>
      </c>
      <c r="C50" s="106" t="s">
        <v>8</v>
      </c>
      <c r="D50" s="106" t="s">
        <v>1601</v>
      </c>
      <c r="E50" s="127">
        <v>27.88</v>
      </c>
      <c r="F50" s="106">
        <v>2.0</v>
      </c>
      <c r="G50" s="128"/>
    </row>
    <row r="51">
      <c r="A51" s="124">
        <v>46198.0</v>
      </c>
      <c r="B51" s="192" t="s">
        <v>1730</v>
      </c>
      <c r="C51" s="106" t="s">
        <v>9</v>
      </c>
      <c r="D51" s="106" t="s">
        <v>1601</v>
      </c>
      <c r="E51" s="127">
        <v>50.88</v>
      </c>
      <c r="F51" s="106">
        <v>1.0</v>
      </c>
      <c r="G51" s="128"/>
    </row>
    <row r="52">
      <c r="A52" s="124">
        <v>46198.0</v>
      </c>
      <c r="B52" s="192" t="s">
        <v>1732</v>
      </c>
      <c r="C52" s="106" t="s">
        <v>8</v>
      </c>
      <c r="D52" s="106" t="s">
        <v>1601</v>
      </c>
      <c r="E52" s="127">
        <v>83.88</v>
      </c>
      <c r="F52" s="106">
        <v>1.0</v>
      </c>
      <c r="G52" s="128"/>
    </row>
    <row r="53">
      <c r="A53" s="124">
        <v>46198.0</v>
      </c>
      <c r="B53" s="192" t="s">
        <v>1734</v>
      </c>
      <c r="C53" s="106" t="s">
        <v>8</v>
      </c>
      <c r="D53" s="106" t="s">
        <v>1601</v>
      </c>
      <c r="E53" s="127">
        <v>100.88</v>
      </c>
      <c r="F53" s="106">
        <v>1.0</v>
      </c>
      <c r="G53" s="128"/>
    </row>
    <row r="54">
      <c r="A54" s="124">
        <v>46198.0</v>
      </c>
      <c r="B54" s="192" t="s">
        <v>1736</v>
      </c>
      <c r="C54" s="106" t="s">
        <v>8</v>
      </c>
      <c r="D54" s="106" t="s">
        <v>1601</v>
      </c>
      <c r="E54" s="127">
        <v>125.88</v>
      </c>
      <c r="F54" s="106">
        <v>1.0</v>
      </c>
      <c r="G54" s="128"/>
    </row>
    <row r="55">
      <c r="A55" s="124">
        <v>46198.0</v>
      </c>
      <c r="B55" s="197" t="s">
        <v>616</v>
      </c>
      <c r="C55" s="106" t="s">
        <v>8</v>
      </c>
      <c r="D55" s="106" t="s">
        <v>1601</v>
      </c>
      <c r="E55" s="127">
        <v>35.88</v>
      </c>
      <c r="F55" s="106">
        <v>1.0</v>
      </c>
      <c r="G55" s="106" t="s">
        <v>1740</v>
      </c>
    </row>
    <row r="56">
      <c r="A56" s="124">
        <v>46198.0</v>
      </c>
      <c r="B56" s="197" t="s">
        <v>1742</v>
      </c>
      <c r="C56" s="106" t="s">
        <v>8</v>
      </c>
      <c r="D56" s="106" t="s">
        <v>1601</v>
      </c>
      <c r="E56" s="127">
        <v>10.88</v>
      </c>
      <c r="F56" s="106">
        <v>1.0</v>
      </c>
      <c r="G56" s="128"/>
    </row>
    <row r="57">
      <c r="A57" s="124">
        <v>46203.0</v>
      </c>
      <c r="B57" s="198" t="s">
        <v>1747</v>
      </c>
      <c r="C57" s="106" t="s">
        <v>8</v>
      </c>
      <c r="D57" s="106" t="s">
        <v>1601</v>
      </c>
      <c r="E57" s="127">
        <v>26.88</v>
      </c>
      <c r="F57" s="106">
        <v>1.0</v>
      </c>
      <c r="G57" s="128"/>
    </row>
    <row r="58">
      <c r="A58" s="124">
        <v>46203.0</v>
      </c>
      <c r="B58" s="192" t="s">
        <v>1750</v>
      </c>
      <c r="C58" s="106" t="s">
        <v>8</v>
      </c>
      <c r="D58" s="106" t="s">
        <v>1601</v>
      </c>
      <c r="E58" s="127">
        <v>18.88</v>
      </c>
      <c r="F58" s="106">
        <v>1.0</v>
      </c>
      <c r="G58" s="128"/>
    </row>
    <row r="59">
      <c r="A59" s="124">
        <v>46203.0</v>
      </c>
      <c r="B59" s="192">
        <v>5.304522965E9</v>
      </c>
      <c r="C59" s="106" t="s">
        <v>8</v>
      </c>
      <c r="D59" s="106" t="s">
        <v>1601</v>
      </c>
      <c r="E59" s="127">
        <v>25.88</v>
      </c>
      <c r="F59" s="106">
        <v>1.0</v>
      </c>
      <c r="G59" s="128"/>
    </row>
    <row r="60">
      <c r="A60" s="124">
        <v>46203.0</v>
      </c>
      <c r="B60" s="192" t="s">
        <v>1473</v>
      </c>
      <c r="C60" s="106" t="s">
        <v>9</v>
      </c>
      <c r="D60" s="106" t="s">
        <v>1601</v>
      </c>
      <c r="E60" s="127">
        <v>20.88</v>
      </c>
      <c r="F60" s="106">
        <v>1.0</v>
      </c>
      <c r="G60" s="128"/>
    </row>
    <row r="61">
      <c r="A61" s="124">
        <v>46203.0</v>
      </c>
      <c r="B61" s="192">
        <v>5.304519199E9</v>
      </c>
      <c r="C61" s="106" t="s">
        <v>8</v>
      </c>
      <c r="D61" s="106" t="s">
        <v>1601</v>
      </c>
      <c r="E61" s="127">
        <v>18.88</v>
      </c>
      <c r="F61" s="106">
        <v>1.0</v>
      </c>
      <c r="G61" s="128"/>
    </row>
    <row r="62">
      <c r="A62" s="124">
        <v>46203.0</v>
      </c>
      <c r="B62" s="192">
        <v>5.304522267E9</v>
      </c>
      <c r="C62" s="106" t="s">
        <v>9</v>
      </c>
      <c r="D62" s="106" t="s">
        <v>1601</v>
      </c>
      <c r="E62" s="127">
        <v>20.88</v>
      </c>
      <c r="F62" s="106">
        <v>1.0</v>
      </c>
      <c r="G62" s="128"/>
    </row>
    <row r="63">
      <c r="A63" s="124">
        <v>46203.0</v>
      </c>
      <c r="B63" s="192">
        <v>5.304526183E9</v>
      </c>
      <c r="C63" s="106" t="s">
        <v>8</v>
      </c>
      <c r="D63" s="106" t="s">
        <v>1601</v>
      </c>
      <c r="E63" s="127">
        <v>18.88</v>
      </c>
      <c r="F63" s="106">
        <v>4.0</v>
      </c>
      <c r="G63" s="128"/>
    </row>
    <row r="64">
      <c r="A64" s="124">
        <v>46203.0</v>
      </c>
      <c r="B64" s="192">
        <v>2.40597203E8</v>
      </c>
      <c r="C64" s="106" t="s">
        <v>8</v>
      </c>
      <c r="D64" s="106" t="s">
        <v>1601</v>
      </c>
      <c r="E64" s="127">
        <v>10.88</v>
      </c>
      <c r="F64" s="106">
        <v>2.0</v>
      </c>
      <c r="G64" s="128"/>
    </row>
    <row r="65">
      <c r="A65" s="124">
        <v>46203.0</v>
      </c>
      <c r="B65" s="192">
        <v>5.304525991E9</v>
      </c>
      <c r="C65" s="144" t="s">
        <v>8</v>
      </c>
      <c r="D65" s="144" t="s">
        <v>1601</v>
      </c>
      <c r="E65" s="204">
        <v>20.88</v>
      </c>
      <c r="F65" s="144">
        <v>1.0</v>
      </c>
      <c r="G65" s="136"/>
    </row>
    <row r="66">
      <c r="A66" s="124">
        <v>46203.0</v>
      </c>
      <c r="B66" s="205" t="s">
        <v>1768</v>
      </c>
      <c r="C66" s="106" t="s">
        <v>8</v>
      </c>
      <c r="D66" s="106" t="s">
        <v>1601</v>
      </c>
      <c r="E66" s="127">
        <v>12.88</v>
      </c>
      <c r="F66" s="106">
        <v>1.0</v>
      </c>
      <c r="G66" s="128"/>
    </row>
    <row r="67">
      <c r="A67" s="124">
        <v>46203.0</v>
      </c>
      <c r="B67" s="192">
        <v>5.304526032E9</v>
      </c>
      <c r="C67" s="106" t="s">
        <v>8</v>
      </c>
      <c r="D67" s="106" t="s">
        <v>1601</v>
      </c>
      <c r="E67" s="127">
        <v>40.88</v>
      </c>
      <c r="F67" s="106">
        <v>1.0</v>
      </c>
      <c r="G67" s="128"/>
    </row>
    <row r="68">
      <c r="A68" s="124">
        <v>46203.0</v>
      </c>
      <c r="B68" s="192" t="s">
        <v>1773</v>
      </c>
      <c r="C68" s="106" t="s">
        <v>9</v>
      </c>
      <c r="D68" s="106" t="s">
        <v>1601</v>
      </c>
      <c r="E68" s="127">
        <v>15.88</v>
      </c>
      <c r="F68" s="106">
        <v>1.0</v>
      </c>
      <c r="G68" s="128"/>
    </row>
    <row r="69">
      <c r="A69" s="124">
        <v>46203.0</v>
      </c>
      <c r="B69" s="192">
        <v>5.304523072E9</v>
      </c>
      <c r="C69" s="106" t="s">
        <v>8</v>
      </c>
      <c r="D69" s="106" t="s">
        <v>1601</v>
      </c>
      <c r="E69" s="127">
        <v>18.88</v>
      </c>
      <c r="F69" s="106">
        <v>1.0</v>
      </c>
      <c r="G69" s="128"/>
    </row>
    <row r="70">
      <c r="A70" s="124">
        <v>46203.0</v>
      </c>
      <c r="B70" s="192">
        <v>5.30452233E9</v>
      </c>
      <c r="C70" s="106" t="s">
        <v>9</v>
      </c>
      <c r="D70" s="106" t="s">
        <v>1601</v>
      </c>
      <c r="E70" s="127">
        <v>19.88</v>
      </c>
      <c r="F70" s="106">
        <v>2.0</v>
      </c>
      <c r="G70" s="128"/>
    </row>
    <row r="71">
      <c r="A71" s="124">
        <v>46203.0</v>
      </c>
      <c r="B71" s="192">
        <v>5.303918775E9</v>
      </c>
      <c r="C71" s="106" t="s">
        <v>9</v>
      </c>
      <c r="D71" s="106" t="s">
        <v>1601</v>
      </c>
      <c r="E71" s="127">
        <v>19.88</v>
      </c>
      <c r="F71" s="106">
        <v>2.0</v>
      </c>
      <c r="G71" s="128"/>
    </row>
    <row r="72">
      <c r="A72" s="124">
        <v>46203.0</v>
      </c>
      <c r="B72" s="192">
        <v>5.303305677E9</v>
      </c>
      <c r="C72" s="106" t="s">
        <v>9</v>
      </c>
      <c r="D72" s="106" t="s">
        <v>1601</v>
      </c>
      <c r="E72" s="127">
        <v>9.88</v>
      </c>
      <c r="F72" s="106">
        <v>2.0</v>
      </c>
      <c r="G72" s="128"/>
    </row>
    <row r="73">
      <c r="A73" s="124">
        <v>46203.0</v>
      </c>
      <c r="B73" s="192">
        <v>5.304517203E9</v>
      </c>
      <c r="C73" s="106" t="s">
        <v>9</v>
      </c>
      <c r="D73" s="106" t="s">
        <v>1601</v>
      </c>
      <c r="E73" s="127">
        <v>19.88</v>
      </c>
      <c r="F73" s="106">
        <v>1.0</v>
      </c>
      <c r="G73" s="128"/>
    </row>
    <row r="74">
      <c r="A74" s="124">
        <v>46203.0</v>
      </c>
      <c r="B74" s="192">
        <v>3.186473E8</v>
      </c>
      <c r="C74" s="106" t="s">
        <v>9</v>
      </c>
      <c r="D74" s="106" t="s">
        <v>1601</v>
      </c>
      <c r="E74" s="127">
        <v>28.88</v>
      </c>
      <c r="F74" s="106">
        <v>1.0</v>
      </c>
      <c r="G74" s="106"/>
    </row>
    <row r="75">
      <c r="A75" s="124">
        <v>46203.0</v>
      </c>
      <c r="B75" s="192">
        <v>5.304519752E9</v>
      </c>
      <c r="C75" s="106" t="s">
        <v>9</v>
      </c>
      <c r="D75" s="106" t="s">
        <v>1601</v>
      </c>
      <c r="E75" s="127">
        <v>14.88</v>
      </c>
      <c r="F75" s="106">
        <v>1.0</v>
      </c>
      <c r="G75" s="128"/>
    </row>
    <row r="76">
      <c r="A76" s="124">
        <v>46203.0</v>
      </c>
      <c r="B76" s="192">
        <v>5.304524817E9</v>
      </c>
      <c r="C76" s="106" t="s">
        <v>9</v>
      </c>
      <c r="D76" s="106" t="s">
        <v>1601</v>
      </c>
      <c r="E76" s="127">
        <v>20.88</v>
      </c>
      <c r="F76" s="106">
        <v>1.0</v>
      </c>
      <c r="G76" s="128"/>
    </row>
    <row r="77">
      <c r="A77" s="124">
        <v>46203.0</v>
      </c>
      <c r="B77" s="192">
        <v>5.30452619E9</v>
      </c>
      <c r="C77" s="106" t="s">
        <v>9</v>
      </c>
      <c r="D77" s="106" t="s">
        <v>1601</v>
      </c>
      <c r="E77" s="127">
        <v>55.88</v>
      </c>
      <c r="F77" s="106">
        <v>1.0</v>
      </c>
      <c r="G77" s="128"/>
    </row>
    <row r="78">
      <c r="A78" s="124">
        <v>46203.0</v>
      </c>
      <c r="B78" s="192">
        <v>5.304530888E9</v>
      </c>
      <c r="C78" s="106" t="s">
        <v>9</v>
      </c>
      <c r="D78" s="106" t="s">
        <v>1601</v>
      </c>
      <c r="E78" s="127">
        <v>12.88</v>
      </c>
      <c r="F78" s="106">
        <v>1.0</v>
      </c>
      <c r="G78" s="128"/>
    </row>
    <row r="79">
      <c r="A79" s="124">
        <v>46203.0</v>
      </c>
      <c r="B79" s="192" t="s">
        <v>1790</v>
      </c>
      <c r="C79" s="106" t="s">
        <v>9</v>
      </c>
      <c r="D79" s="106" t="s">
        <v>1601</v>
      </c>
      <c r="E79" s="127">
        <v>60.88</v>
      </c>
      <c r="F79" s="106">
        <v>1.0</v>
      </c>
      <c r="G79" s="128"/>
    </row>
    <row r="80">
      <c r="A80" s="124">
        <v>46203.0</v>
      </c>
      <c r="B80" s="192" t="s">
        <v>600</v>
      </c>
      <c r="C80" s="106" t="s">
        <v>9</v>
      </c>
      <c r="D80" s="106" t="s">
        <v>1601</v>
      </c>
      <c r="E80" s="127">
        <v>24.88</v>
      </c>
      <c r="F80" s="106">
        <v>1.0</v>
      </c>
      <c r="G80" s="128"/>
    </row>
    <row r="81">
      <c r="A81" s="124">
        <v>46203.0</v>
      </c>
      <c r="B81" s="192" t="s">
        <v>1795</v>
      </c>
      <c r="C81" s="106" t="s">
        <v>9</v>
      </c>
      <c r="D81" s="106" t="s">
        <v>1601</v>
      </c>
      <c r="E81" s="127">
        <v>28.88</v>
      </c>
      <c r="F81" s="106">
        <v>1.0</v>
      </c>
      <c r="G81" s="128"/>
    </row>
    <row r="82">
      <c r="A82" s="124">
        <v>46203.0</v>
      </c>
      <c r="B82" s="197" t="s">
        <v>461</v>
      </c>
      <c r="C82" s="106" t="s">
        <v>9</v>
      </c>
      <c r="D82" s="106" t="s">
        <v>1601</v>
      </c>
      <c r="E82" s="127">
        <v>260.88</v>
      </c>
      <c r="F82" s="106">
        <v>1.0</v>
      </c>
      <c r="G82" s="128"/>
    </row>
    <row r="83">
      <c r="A83" s="124">
        <v>46203.0</v>
      </c>
      <c r="B83" s="197" t="s">
        <v>1303</v>
      </c>
      <c r="C83" s="106" t="s">
        <v>9</v>
      </c>
      <c r="D83" s="106" t="s">
        <v>1601</v>
      </c>
      <c r="E83" s="127">
        <v>50.88</v>
      </c>
      <c r="F83" s="106">
        <v>1.0</v>
      </c>
      <c r="G83" s="128"/>
    </row>
    <row r="84">
      <c r="A84" s="124">
        <v>46204.0</v>
      </c>
      <c r="B84" s="197" t="s">
        <v>625</v>
      </c>
      <c r="C84" s="106" t="s">
        <v>9</v>
      </c>
      <c r="D84" s="106" t="s">
        <v>1601</v>
      </c>
      <c r="E84" s="127">
        <v>23.88</v>
      </c>
      <c r="F84" s="106">
        <v>1.0</v>
      </c>
      <c r="G84" s="128"/>
    </row>
    <row r="85">
      <c r="A85" s="124">
        <v>46204.0</v>
      </c>
      <c r="B85" s="197" t="s">
        <v>318</v>
      </c>
      <c r="C85" s="106" t="s">
        <v>9</v>
      </c>
      <c r="D85" s="106" t="s">
        <v>1601</v>
      </c>
      <c r="E85" s="127">
        <v>23.88</v>
      </c>
      <c r="F85" s="106">
        <v>2.0</v>
      </c>
      <c r="G85" s="128"/>
    </row>
    <row r="86">
      <c r="A86" s="124">
        <v>46204.0</v>
      </c>
      <c r="B86" s="197" t="s">
        <v>1805</v>
      </c>
      <c r="C86" s="106" t="s">
        <v>9</v>
      </c>
      <c r="D86" s="106" t="s">
        <v>1601</v>
      </c>
      <c r="E86" s="127">
        <v>13.88</v>
      </c>
      <c r="F86" s="106">
        <v>1.0</v>
      </c>
      <c r="G86" s="128"/>
    </row>
    <row r="87">
      <c r="A87" s="124">
        <v>46204.0</v>
      </c>
      <c r="B87" s="197" t="s">
        <v>217</v>
      </c>
      <c r="C87" s="106" t="s">
        <v>9</v>
      </c>
      <c r="D87" s="106" t="s">
        <v>1601</v>
      </c>
      <c r="E87" s="127">
        <v>19.88</v>
      </c>
      <c r="F87" s="106">
        <v>3.0</v>
      </c>
      <c r="G87" s="128"/>
    </row>
    <row r="88">
      <c r="A88" s="124">
        <v>46204.0</v>
      </c>
      <c r="B88" s="197" t="s">
        <v>1274</v>
      </c>
      <c r="C88" s="106" t="s">
        <v>9</v>
      </c>
      <c r="D88" s="106" t="s">
        <v>1601</v>
      </c>
      <c r="E88" s="127">
        <v>9.88</v>
      </c>
      <c r="F88" s="106">
        <v>2.0</v>
      </c>
      <c r="G88" s="128"/>
    </row>
    <row r="89">
      <c r="A89" s="124">
        <v>46204.0</v>
      </c>
      <c r="B89" s="197" t="s">
        <v>197</v>
      </c>
      <c r="C89" s="106" t="s">
        <v>9</v>
      </c>
      <c r="D89" s="106" t="s">
        <v>1601</v>
      </c>
      <c r="E89" s="127">
        <v>19.88</v>
      </c>
      <c r="F89" s="106">
        <v>2.0</v>
      </c>
      <c r="G89" s="128"/>
    </row>
    <row r="90">
      <c r="A90" s="124">
        <v>46204.0</v>
      </c>
      <c r="B90" s="197" t="s">
        <v>312</v>
      </c>
      <c r="C90" s="106" t="s">
        <v>9</v>
      </c>
      <c r="D90" s="106" t="s">
        <v>1601</v>
      </c>
      <c r="E90" s="127">
        <v>24.88</v>
      </c>
      <c r="F90" s="106">
        <v>1.0</v>
      </c>
      <c r="G90" s="128"/>
    </row>
    <row r="91">
      <c r="A91" s="124">
        <v>46204.0</v>
      </c>
      <c r="B91" s="197" t="s">
        <v>1814</v>
      </c>
      <c r="C91" s="106" t="s">
        <v>9</v>
      </c>
      <c r="D91" s="106" t="s">
        <v>1601</v>
      </c>
      <c r="E91" s="127">
        <v>19.88</v>
      </c>
      <c r="F91" s="106">
        <v>1.0</v>
      </c>
      <c r="G91" s="157"/>
    </row>
    <row r="92">
      <c r="A92" s="124">
        <v>46204.0</v>
      </c>
      <c r="B92" s="207" t="s">
        <v>1819</v>
      </c>
      <c r="C92" s="106" t="s">
        <v>9</v>
      </c>
      <c r="D92" s="106" t="s">
        <v>1601</v>
      </c>
      <c r="E92" s="127">
        <v>19.88</v>
      </c>
      <c r="F92" s="106">
        <v>1.0</v>
      </c>
      <c r="G92" s="159"/>
    </row>
    <row r="93">
      <c r="A93" s="124">
        <v>46204.0</v>
      </c>
      <c r="B93" s="197" t="s">
        <v>169</v>
      </c>
      <c r="C93" s="106" t="s">
        <v>9</v>
      </c>
      <c r="D93" s="106" t="s">
        <v>1601</v>
      </c>
      <c r="E93" s="127">
        <v>10.88</v>
      </c>
      <c r="F93" s="106">
        <v>1.0</v>
      </c>
      <c r="G93" s="128"/>
    </row>
    <row r="94">
      <c r="A94" s="124">
        <v>46204.0</v>
      </c>
      <c r="B94" s="197" t="s">
        <v>106</v>
      </c>
      <c r="C94" s="106" t="s">
        <v>9</v>
      </c>
      <c r="D94" s="106" t="s">
        <v>1601</v>
      </c>
      <c r="E94" s="127">
        <v>33.88</v>
      </c>
      <c r="F94" s="106">
        <v>1.0</v>
      </c>
      <c r="G94" s="128"/>
    </row>
    <row r="95">
      <c r="A95" s="124">
        <v>46204.0</v>
      </c>
      <c r="B95" s="197" t="s">
        <v>1827</v>
      </c>
      <c r="C95" s="106" t="s">
        <v>9</v>
      </c>
      <c r="D95" s="106" t="s">
        <v>1601</v>
      </c>
      <c r="E95" s="127">
        <v>34.88</v>
      </c>
      <c r="F95" s="106">
        <v>1.0</v>
      </c>
      <c r="G95" s="128"/>
    </row>
    <row r="96">
      <c r="A96" s="124">
        <v>46204.0</v>
      </c>
      <c r="B96" s="197" t="s">
        <v>260</v>
      </c>
      <c r="C96" s="106" t="s">
        <v>9</v>
      </c>
      <c r="D96" s="106" t="s">
        <v>1601</v>
      </c>
      <c r="E96" s="127">
        <v>15.88</v>
      </c>
      <c r="F96" s="106">
        <v>5.0</v>
      </c>
      <c r="G96" s="128"/>
    </row>
    <row r="97">
      <c r="A97" s="124">
        <v>46204.0</v>
      </c>
      <c r="B97" s="198" t="s">
        <v>206</v>
      </c>
      <c r="C97" s="106" t="s">
        <v>9</v>
      </c>
      <c r="D97" s="106" t="s">
        <v>1601</v>
      </c>
      <c r="E97" s="127">
        <v>16.88</v>
      </c>
      <c r="F97" s="106">
        <v>2.0</v>
      </c>
      <c r="G97" s="106"/>
    </row>
    <row r="98">
      <c r="A98" s="124">
        <v>46204.0</v>
      </c>
      <c r="B98" s="197" t="s">
        <v>1830</v>
      </c>
      <c r="C98" s="106" t="s">
        <v>9</v>
      </c>
      <c r="D98" s="106" t="s">
        <v>1601</v>
      </c>
      <c r="E98" s="127">
        <v>39.88</v>
      </c>
      <c r="F98" s="106">
        <v>1.0</v>
      </c>
      <c r="G98" s="128"/>
    </row>
    <row r="99">
      <c r="A99" s="124">
        <v>46204.0</v>
      </c>
      <c r="B99" s="197" t="s">
        <v>1235</v>
      </c>
      <c r="C99" s="106" t="s">
        <v>9</v>
      </c>
      <c r="D99" s="106" t="s">
        <v>1601</v>
      </c>
      <c r="E99" s="127">
        <v>19.88</v>
      </c>
      <c r="F99" s="106">
        <v>8.0</v>
      </c>
      <c r="G99" s="128"/>
    </row>
    <row r="100">
      <c r="A100" s="124">
        <v>46212.0</v>
      </c>
      <c r="B100" s="197" t="s">
        <v>1831</v>
      </c>
      <c r="C100" s="106" t="s">
        <v>9</v>
      </c>
      <c r="D100" s="106" t="s">
        <v>1601</v>
      </c>
      <c r="E100" s="127">
        <v>28.88</v>
      </c>
      <c r="F100" s="106">
        <v>1.0</v>
      </c>
      <c r="G100" s="128"/>
    </row>
    <row r="101">
      <c r="A101" s="124">
        <v>46212.0</v>
      </c>
      <c r="B101" s="197" t="s">
        <v>602</v>
      </c>
      <c r="C101" s="106" t="s">
        <v>9</v>
      </c>
      <c r="D101" s="106" t="s">
        <v>1601</v>
      </c>
      <c r="E101" s="127">
        <v>58.88</v>
      </c>
      <c r="F101" s="106">
        <v>2.0</v>
      </c>
      <c r="G101" s="128"/>
    </row>
    <row r="102">
      <c r="A102" s="124">
        <v>46212.0</v>
      </c>
      <c r="B102" s="208" t="s">
        <v>548</v>
      </c>
      <c r="C102" s="106" t="s">
        <v>9</v>
      </c>
      <c r="D102" s="106" t="s">
        <v>1601</v>
      </c>
      <c r="E102" s="127">
        <v>16.88</v>
      </c>
      <c r="F102" s="106">
        <v>2.0</v>
      </c>
      <c r="G102" s="128"/>
    </row>
    <row r="103">
      <c r="A103" s="124">
        <v>46212.0</v>
      </c>
      <c r="B103" s="208" t="s">
        <v>33</v>
      </c>
      <c r="C103" s="106" t="s">
        <v>9</v>
      </c>
      <c r="D103" s="106" t="s">
        <v>1601</v>
      </c>
      <c r="E103" s="127">
        <v>38.88</v>
      </c>
      <c r="F103" s="106">
        <v>1.0</v>
      </c>
      <c r="G103" s="128"/>
    </row>
    <row r="104">
      <c r="A104" s="124">
        <v>46212.0</v>
      </c>
      <c r="B104" s="197" t="s">
        <v>1833</v>
      </c>
      <c r="C104" s="106" t="s">
        <v>9</v>
      </c>
      <c r="D104" s="106" t="s">
        <v>1601</v>
      </c>
      <c r="E104" s="127">
        <v>98.88</v>
      </c>
      <c r="F104" s="106">
        <v>1.0</v>
      </c>
      <c r="G104" s="128"/>
    </row>
    <row r="105">
      <c r="A105" s="124">
        <v>46212.0</v>
      </c>
      <c r="B105" s="208" t="s">
        <v>171</v>
      </c>
      <c r="C105" s="106" t="s">
        <v>9</v>
      </c>
      <c r="D105" s="106" t="s">
        <v>1601</v>
      </c>
      <c r="E105" s="127">
        <v>38.88</v>
      </c>
      <c r="F105" s="106">
        <v>1.0</v>
      </c>
      <c r="G105" s="128"/>
    </row>
    <row r="106">
      <c r="A106" s="124">
        <v>46212.0</v>
      </c>
      <c r="B106" s="197" t="s">
        <v>1213</v>
      </c>
      <c r="C106" s="106" t="s">
        <v>9</v>
      </c>
      <c r="D106" s="106" t="s">
        <v>1601</v>
      </c>
      <c r="E106" s="127">
        <v>298.88</v>
      </c>
      <c r="F106" s="106">
        <v>1.0</v>
      </c>
      <c r="G106" s="128"/>
    </row>
    <row r="107">
      <c r="A107" s="124">
        <v>46212.0</v>
      </c>
      <c r="B107" s="197" t="s">
        <v>1428</v>
      </c>
      <c r="C107" s="106" t="s">
        <v>9</v>
      </c>
      <c r="D107" s="106" t="s">
        <v>1601</v>
      </c>
      <c r="E107" s="127">
        <v>50.88</v>
      </c>
      <c r="F107" s="106">
        <v>1.0</v>
      </c>
      <c r="G107" s="106" t="s">
        <v>1834</v>
      </c>
    </row>
    <row r="108">
      <c r="A108" s="124">
        <v>46212.0</v>
      </c>
      <c r="B108" s="197" t="s">
        <v>1200</v>
      </c>
      <c r="C108" s="106" t="s">
        <v>9</v>
      </c>
      <c r="D108" s="106" t="s">
        <v>1601</v>
      </c>
      <c r="E108" s="127">
        <v>32.88</v>
      </c>
      <c r="F108" s="106">
        <v>1.0</v>
      </c>
      <c r="G108" s="128"/>
    </row>
    <row r="109">
      <c r="A109" s="124">
        <v>46212.0</v>
      </c>
      <c r="B109" s="197" t="s">
        <v>872</v>
      </c>
      <c r="C109" s="106" t="s">
        <v>9</v>
      </c>
      <c r="D109" s="106" t="s">
        <v>1601</v>
      </c>
      <c r="E109" s="127">
        <v>68.88</v>
      </c>
      <c r="F109" s="106">
        <v>2.0</v>
      </c>
      <c r="G109" s="128"/>
    </row>
    <row r="110">
      <c r="A110" s="124">
        <v>46212.0</v>
      </c>
      <c r="B110" s="197" t="s">
        <v>49</v>
      </c>
      <c r="C110" s="106" t="s">
        <v>9</v>
      </c>
      <c r="D110" s="106" t="s">
        <v>1601</v>
      </c>
      <c r="E110" s="127">
        <v>60.88</v>
      </c>
      <c r="F110" s="106">
        <v>2.0</v>
      </c>
      <c r="G110" s="128"/>
    </row>
    <row r="111">
      <c r="A111" s="124">
        <v>46212.0</v>
      </c>
      <c r="B111" s="208" t="s">
        <v>1492</v>
      </c>
      <c r="C111" s="106" t="s">
        <v>9</v>
      </c>
      <c r="D111" s="106" t="s">
        <v>1601</v>
      </c>
      <c r="E111" s="127">
        <v>23.88</v>
      </c>
      <c r="F111" s="106">
        <v>3.0</v>
      </c>
      <c r="G111" s="107"/>
    </row>
    <row r="112">
      <c r="A112" s="124">
        <v>46212.0</v>
      </c>
      <c r="B112" s="197" t="s">
        <v>1835</v>
      </c>
      <c r="C112" s="106" t="s">
        <v>9</v>
      </c>
      <c r="D112" s="106" t="s">
        <v>1601</v>
      </c>
      <c r="E112" s="127">
        <v>150.88</v>
      </c>
      <c r="F112" s="106">
        <v>1.0</v>
      </c>
      <c r="G112" s="107"/>
    </row>
    <row r="113">
      <c r="A113" s="124">
        <v>46212.0</v>
      </c>
      <c r="B113" s="197" t="s">
        <v>1836</v>
      </c>
      <c r="C113" s="106" t="s">
        <v>9</v>
      </c>
      <c r="D113" s="106" t="s">
        <v>1601</v>
      </c>
      <c r="E113" s="127">
        <v>27.88</v>
      </c>
      <c r="F113" s="106">
        <v>2.0</v>
      </c>
      <c r="G113" s="107"/>
    </row>
    <row r="114">
      <c r="A114" s="124">
        <v>46212.0</v>
      </c>
      <c r="B114" s="197" t="s">
        <v>1837</v>
      </c>
      <c r="C114" s="106" t="s">
        <v>9</v>
      </c>
      <c r="D114" s="106" t="s">
        <v>1601</v>
      </c>
      <c r="E114" s="127">
        <v>60.88</v>
      </c>
      <c r="F114" s="106">
        <v>1.0</v>
      </c>
      <c r="G114" s="107"/>
    </row>
    <row r="115">
      <c r="A115" s="124">
        <v>46212.0</v>
      </c>
      <c r="B115" s="208" t="s">
        <v>891</v>
      </c>
      <c r="C115" s="106" t="s">
        <v>9</v>
      </c>
      <c r="D115" s="106" t="s">
        <v>1601</v>
      </c>
      <c r="E115" s="127">
        <v>90.88</v>
      </c>
      <c r="F115" s="106">
        <v>1.0</v>
      </c>
      <c r="G115" s="107"/>
    </row>
    <row r="116">
      <c r="A116" s="124">
        <v>46212.0</v>
      </c>
      <c r="B116" s="197" t="s">
        <v>319</v>
      </c>
      <c r="C116" s="106" t="s">
        <v>9</v>
      </c>
      <c r="D116" s="106" t="s">
        <v>1601</v>
      </c>
      <c r="E116" s="127">
        <v>60.88</v>
      </c>
      <c r="F116" s="106">
        <v>1.0</v>
      </c>
      <c r="G116" s="107"/>
    </row>
    <row r="117">
      <c r="A117" s="124">
        <v>46212.0</v>
      </c>
      <c r="B117" s="197" t="s">
        <v>1839</v>
      </c>
      <c r="C117" s="106" t="s">
        <v>9</v>
      </c>
      <c r="D117" s="106" t="s">
        <v>1601</v>
      </c>
      <c r="E117" s="127">
        <v>130.88</v>
      </c>
      <c r="F117" s="106">
        <v>2.0</v>
      </c>
      <c r="G117" s="107"/>
    </row>
    <row r="118">
      <c r="A118" s="124">
        <v>46212.0</v>
      </c>
      <c r="B118" s="197" t="s">
        <v>1840</v>
      </c>
      <c r="C118" s="106" t="s">
        <v>9</v>
      </c>
      <c r="D118" s="106" t="s">
        <v>1601</v>
      </c>
      <c r="E118" s="127">
        <v>12.88</v>
      </c>
      <c r="F118" s="106">
        <v>2.0</v>
      </c>
      <c r="G118" s="107"/>
    </row>
    <row r="119">
      <c r="A119" s="124">
        <v>46212.0</v>
      </c>
      <c r="B119" s="197" t="s">
        <v>44</v>
      </c>
      <c r="C119" s="106" t="s">
        <v>9</v>
      </c>
      <c r="D119" s="106" t="s">
        <v>1601</v>
      </c>
      <c r="E119" s="127">
        <v>28.88</v>
      </c>
      <c r="F119" s="106">
        <v>7.0</v>
      </c>
      <c r="G119" s="107"/>
    </row>
    <row r="120">
      <c r="A120" s="124">
        <v>46212.0</v>
      </c>
      <c r="B120" s="207" t="s">
        <v>817</v>
      </c>
      <c r="C120" s="106" t="s">
        <v>9</v>
      </c>
      <c r="D120" s="106" t="s">
        <v>1601</v>
      </c>
      <c r="E120" s="127">
        <v>18.88</v>
      </c>
      <c r="F120" s="106">
        <v>1.0</v>
      </c>
      <c r="G120" s="107"/>
    </row>
    <row r="121">
      <c r="A121" s="124">
        <v>46212.0</v>
      </c>
      <c r="B121" s="197" t="s">
        <v>1841</v>
      </c>
      <c r="C121" s="106" t="s">
        <v>9</v>
      </c>
      <c r="D121" s="106" t="s">
        <v>1601</v>
      </c>
      <c r="E121" s="127">
        <v>180.88</v>
      </c>
      <c r="F121" s="106">
        <v>1.0</v>
      </c>
      <c r="G121" s="107"/>
    </row>
    <row r="122">
      <c r="A122" s="124">
        <v>46212.0</v>
      </c>
      <c r="B122" s="197" t="s">
        <v>353</v>
      </c>
      <c r="C122" s="106" t="s">
        <v>9</v>
      </c>
      <c r="D122" s="106" t="s">
        <v>1601</v>
      </c>
      <c r="E122" s="127">
        <v>60.88</v>
      </c>
      <c r="F122" s="106">
        <v>1.0</v>
      </c>
      <c r="G122" s="107"/>
    </row>
    <row r="123">
      <c r="A123" s="124">
        <v>46212.0</v>
      </c>
      <c r="B123" s="208" t="s">
        <v>1842</v>
      </c>
      <c r="C123" s="106" t="s">
        <v>9</v>
      </c>
      <c r="D123" s="106" t="s">
        <v>1601</v>
      </c>
      <c r="E123" s="127">
        <v>120.88</v>
      </c>
      <c r="F123" s="106">
        <v>1.0</v>
      </c>
      <c r="G123" s="107"/>
    </row>
    <row r="124">
      <c r="A124" s="124">
        <v>46212.0</v>
      </c>
      <c r="B124" s="197" t="s">
        <v>1843</v>
      </c>
      <c r="C124" s="106" t="s">
        <v>9</v>
      </c>
      <c r="D124" s="106" t="s">
        <v>1601</v>
      </c>
      <c r="E124" s="127">
        <v>64.88</v>
      </c>
      <c r="F124" s="106">
        <v>1.0</v>
      </c>
      <c r="G124" s="107"/>
    </row>
    <row r="125">
      <c r="A125" s="124">
        <v>46212.0</v>
      </c>
      <c r="B125" s="197" t="s">
        <v>10</v>
      </c>
      <c r="C125" s="106" t="s">
        <v>9</v>
      </c>
      <c r="D125" s="106" t="s">
        <v>1601</v>
      </c>
      <c r="E125" s="127">
        <v>22.88</v>
      </c>
      <c r="F125" s="106">
        <v>1.0</v>
      </c>
      <c r="G125" s="107"/>
    </row>
    <row r="126">
      <c r="A126" s="124">
        <v>46212.0</v>
      </c>
      <c r="B126" s="197" t="s">
        <v>23</v>
      </c>
      <c r="C126" s="106" t="s">
        <v>9</v>
      </c>
      <c r="D126" s="106" t="s">
        <v>1601</v>
      </c>
      <c r="E126" s="127">
        <v>20.88</v>
      </c>
      <c r="F126" s="106">
        <v>2.0</v>
      </c>
      <c r="G126" s="107"/>
    </row>
    <row r="127">
      <c r="A127" s="124">
        <v>46212.0</v>
      </c>
      <c r="B127" s="197" t="s">
        <v>929</v>
      </c>
      <c r="C127" s="106" t="s">
        <v>9</v>
      </c>
      <c r="D127" s="106" t="s">
        <v>1601</v>
      </c>
      <c r="E127" s="127">
        <v>85.88</v>
      </c>
      <c r="F127" s="106">
        <v>2.0</v>
      </c>
      <c r="G127" s="107"/>
    </row>
    <row r="128">
      <c r="A128" s="124">
        <v>46212.0</v>
      </c>
      <c r="B128" s="197" t="s">
        <v>511</v>
      </c>
      <c r="C128" s="106" t="s">
        <v>9</v>
      </c>
      <c r="D128" s="106" t="s">
        <v>1601</v>
      </c>
      <c r="E128" s="127">
        <v>82.88</v>
      </c>
      <c r="F128" s="106">
        <v>1.0</v>
      </c>
      <c r="G128" s="107"/>
    </row>
    <row r="129">
      <c r="A129" s="124">
        <v>46212.0</v>
      </c>
      <c r="B129" s="197" t="s">
        <v>834</v>
      </c>
      <c r="C129" s="106" t="s">
        <v>9</v>
      </c>
      <c r="D129" s="106" t="s">
        <v>1601</v>
      </c>
      <c r="E129" s="127">
        <v>55.88</v>
      </c>
      <c r="F129" s="106">
        <v>1.0</v>
      </c>
      <c r="G129" s="107"/>
    </row>
    <row r="130">
      <c r="A130" s="124">
        <v>46212.0</v>
      </c>
      <c r="B130" s="197" t="s">
        <v>828</v>
      </c>
      <c r="C130" s="106" t="s">
        <v>9</v>
      </c>
      <c r="D130" s="106" t="s">
        <v>1601</v>
      </c>
      <c r="E130" s="127">
        <v>53.88</v>
      </c>
      <c r="F130" s="106">
        <v>6.0</v>
      </c>
      <c r="G130" s="107"/>
    </row>
    <row r="131">
      <c r="A131" s="124">
        <v>46212.0</v>
      </c>
      <c r="B131" s="197" t="s">
        <v>1315</v>
      </c>
      <c r="C131" s="106" t="s">
        <v>9</v>
      </c>
      <c r="D131" s="106" t="s">
        <v>1601</v>
      </c>
      <c r="E131" s="127">
        <v>50.88</v>
      </c>
      <c r="F131" s="106">
        <v>1.0</v>
      </c>
      <c r="G131" s="107"/>
    </row>
    <row r="132">
      <c r="A132" s="124">
        <v>46212.0</v>
      </c>
      <c r="B132" s="197" t="s">
        <v>818</v>
      </c>
      <c r="C132" s="106" t="s">
        <v>9</v>
      </c>
      <c r="D132" s="106" t="s">
        <v>1601</v>
      </c>
      <c r="E132" s="127">
        <v>70.88</v>
      </c>
      <c r="F132" s="106">
        <v>4.0</v>
      </c>
      <c r="G132" s="107"/>
    </row>
    <row r="133">
      <c r="A133" s="124">
        <v>46212.0</v>
      </c>
      <c r="B133" s="197" t="s">
        <v>1464</v>
      </c>
      <c r="C133" s="106" t="s">
        <v>9</v>
      </c>
      <c r="D133" s="106" t="s">
        <v>1601</v>
      </c>
      <c r="E133" s="127">
        <v>50.88</v>
      </c>
      <c r="F133" s="106">
        <v>1.0</v>
      </c>
      <c r="G133" s="107"/>
    </row>
    <row r="134">
      <c r="A134" s="124">
        <v>46212.0</v>
      </c>
      <c r="B134" s="197" t="s">
        <v>1848</v>
      </c>
      <c r="C134" s="106" t="s">
        <v>9</v>
      </c>
      <c r="D134" s="106" t="s">
        <v>1601</v>
      </c>
      <c r="E134" s="127">
        <v>125.88</v>
      </c>
      <c r="F134" s="106">
        <v>1.0</v>
      </c>
      <c r="G134" s="107"/>
    </row>
    <row r="135">
      <c r="A135" s="124">
        <v>46212.0</v>
      </c>
      <c r="B135" s="197" t="s">
        <v>1849</v>
      </c>
      <c r="C135" s="106" t="s">
        <v>9</v>
      </c>
      <c r="D135" s="106" t="s">
        <v>1601</v>
      </c>
      <c r="E135" s="127">
        <v>23.88</v>
      </c>
      <c r="F135" s="106">
        <v>1.0</v>
      </c>
      <c r="G135" s="107"/>
    </row>
    <row r="136">
      <c r="A136" s="124">
        <v>46212.0</v>
      </c>
      <c r="B136" s="197" t="s">
        <v>412</v>
      </c>
      <c r="C136" s="106" t="s">
        <v>9</v>
      </c>
      <c r="D136" s="106" t="s">
        <v>1601</v>
      </c>
      <c r="E136" s="127">
        <v>28.88</v>
      </c>
      <c r="F136" s="106">
        <v>1.0</v>
      </c>
      <c r="G136" s="107"/>
    </row>
    <row r="137">
      <c r="A137" s="124">
        <v>46212.0</v>
      </c>
      <c r="B137" s="197" t="s">
        <v>1853</v>
      </c>
      <c r="C137" s="106" t="s">
        <v>9</v>
      </c>
      <c r="D137" s="106" t="s">
        <v>1601</v>
      </c>
      <c r="E137" s="127">
        <v>100.88</v>
      </c>
      <c r="F137" s="106">
        <v>1.0</v>
      </c>
      <c r="G137" s="107"/>
    </row>
    <row r="138">
      <c r="A138" s="124">
        <v>46212.0</v>
      </c>
      <c r="B138" s="197" t="s">
        <v>141</v>
      </c>
      <c r="C138" s="106" t="s">
        <v>9</v>
      </c>
      <c r="D138" s="106" t="s">
        <v>1601</v>
      </c>
      <c r="E138" s="127">
        <v>48.88</v>
      </c>
      <c r="F138" s="106">
        <v>4.0</v>
      </c>
      <c r="G138" s="104" t="s">
        <v>1834</v>
      </c>
    </row>
    <row r="139">
      <c r="A139" s="124">
        <v>46212.0</v>
      </c>
      <c r="B139" s="197" t="s">
        <v>1293</v>
      </c>
      <c r="C139" s="106" t="s">
        <v>9</v>
      </c>
      <c r="D139" s="106" t="s">
        <v>1601</v>
      </c>
      <c r="E139" s="127">
        <v>13.88</v>
      </c>
      <c r="F139" s="106">
        <v>2.0</v>
      </c>
      <c r="G139" s="107"/>
    </row>
    <row r="140">
      <c r="A140" s="124">
        <v>46212.0</v>
      </c>
      <c r="B140" s="197" t="s">
        <v>1857</v>
      </c>
      <c r="C140" s="106" t="s">
        <v>9</v>
      </c>
      <c r="D140" s="106" t="s">
        <v>1601</v>
      </c>
      <c r="E140" s="127">
        <v>72.88</v>
      </c>
      <c r="F140" s="106">
        <v>3.0</v>
      </c>
      <c r="G140" s="107"/>
    </row>
    <row r="141">
      <c r="A141" s="124">
        <v>46212.0</v>
      </c>
      <c r="B141" s="197" t="s">
        <v>1859</v>
      </c>
      <c r="C141" s="106" t="s">
        <v>9</v>
      </c>
      <c r="D141" s="106" t="s">
        <v>1601</v>
      </c>
      <c r="E141" s="127">
        <v>122.88</v>
      </c>
      <c r="F141" s="106">
        <v>1.0</v>
      </c>
      <c r="G141" s="107"/>
    </row>
    <row r="142">
      <c r="A142" s="150">
        <v>46218.0</v>
      </c>
      <c r="B142" s="197" t="s">
        <v>1861</v>
      </c>
      <c r="C142" s="106" t="s">
        <v>9</v>
      </c>
      <c r="D142" s="106" t="s">
        <v>1601</v>
      </c>
      <c r="E142" s="127">
        <v>66.88</v>
      </c>
      <c r="F142" s="106">
        <v>1.0</v>
      </c>
      <c r="G142" s="107"/>
    </row>
    <row r="143">
      <c r="A143" s="150">
        <v>46218.0</v>
      </c>
      <c r="B143" s="192" t="s">
        <v>1404</v>
      </c>
      <c r="C143" s="106" t="s">
        <v>9</v>
      </c>
      <c r="D143" s="106" t="s">
        <v>1601</v>
      </c>
      <c r="E143" s="127">
        <v>88.88</v>
      </c>
      <c r="F143" s="106">
        <v>2.0</v>
      </c>
      <c r="G143" s="107"/>
    </row>
    <row r="144">
      <c r="A144" s="150">
        <v>46218.0</v>
      </c>
      <c r="B144" s="197" t="s">
        <v>696</v>
      </c>
      <c r="C144" s="106" t="s">
        <v>9</v>
      </c>
      <c r="D144" s="106" t="s">
        <v>1601</v>
      </c>
      <c r="E144" s="127">
        <v>18.88</v>
      </c>
      <c r="F144" s="106">
        <v>5.0</v>
      </c>
      <c r="G144" s="107"/>
    </row>
    <row r="145">
      <c r="A145" s="150">
        <v>46218.0</v>
      </c>
      <c r="B145" s="197" t="s">
        <v>214</v>
      </c>
      <c r="C145" s="106" t="s">
        <v>9</v>
      </c>
      <c r="D145" s="106" t="s">
        <v>1601</v>
      </c>
      <c r="E145" s="127">
        <v>16.88</v>
      </c>
      <c r="F145" s="106">
        <v>1.0</v>
      </c>
      <c r="G145" s="107"/>
    </row>
    <row r="146">
      <c r="A146" s="150">
        <v>46218.0</v>
      </c>
      <c r="B146" s="197" t="s">
        <v>84</v>
      </c>
      <c r="C146" s="106" t="s">
        <v>9</v>
      </c>
      <c r="D146" s="106" t="s">
        <v>1601</v>
      </c>
      <c r="E146" s="127">
        <v>6.88</v>
      </c>
      <c r="F146" s="106">
        <v>1.0</v>
      </c>
      <c r="G146" s="107"/>
    </row>
    <row r="147">
      <c r="A147" s="150">
        <v>46218.0</v>
      </c>
      <c r="B147" s="197" t="s">
        <v>320</v>
      </c>
      <c r="C147" s="106" t="s">
        <v>9</v>
      </c>
      <c r="D147" s="106" t="s">
        <v>1601</v>
      </c>
      <c r="E147" s="127">
        <v>30.88</v>
      </c>
      <c r="F147" s="106">
        <v>1.0</v>
      </c>
      <c r="G147" s="107"/>
    </row>
    <row r="148">
      <c r="A148" s="150">
        <v>46218.0</v>
      </c>
      <c r="B148" s="213" t="s">
        <v>1868</v>
      </c>
      <c r="C148" s="106" t="s">
        <v>9</v>
      </c>
      <c r="D148" s="106" t="s">
        <v>1601</v>
      </c>
      <c r="E148" s="127">
        <v>18.88</v>
      </c>
      <c r="F148" s="106">
        <v>1.0</v>
      </c>
      <c r="G148" s="107"/>
    </row>
    <row r="149" ht="17.25" customHeight="1">
      <c r="A149" s="150">
        <v>46218.0</v>
      </c>
      <c r="B149" s="197" t="s">
        <v>653</v>
      </c>
      <c r="C149" s="106" t="s">
        <v>9</v>
      </c>
      <c r="D149" s="106" t="s">
        <v>1601</v>
      </c>
      <c r="E149" s="127">
        <v>20.88</v>
      </c>
      <c r="F149" s="106">
        <v>1.0</v>
      </c>
      <c r="G149" s="107"/>
    </row>
    <row r="150" ht="15.0" customHeight="1">
      <c r="A150" s="150">
        <v>46218.0</v>
      </c>
      <c r="B150" s="197" t="s">
        <v>308</v>
      </c>
      <c r="C150" s="106" t="s">
        <v>9</v>
      </c>
      <c r="D150" s="106" t="s">
        <v>1601</v>
      </c>
      <c r="E150" s="127">
        <v>10.88</v>
      </c>
      <c r="F150" s="106">
        <v>2.0</v>
      </c>
      <c r="G150" s="107"/>
      <c r="L150" s="214"/>
    </row>
    <row r="151">
      <c r="A151" s="150">
        <v>46218.0</v>
      </c>
      <c r="B151" s="197" t="s">
        <v>253</v>
      </c>
      <c r="C151" s="106" t="s">
        <v>9</v>
      </c>
      <c r="D151" s="106" t="s">
        <v>1601</v>
      </c>
      <c r="E151" s="127">
        <v>8.88</v>
      </c>
      <c r="F151" s="106">
        <v>4.0</v>
      </c>
      <c r="G151" s="107"/>
      <c r="L151" s="215"/>
    </row>
    <row r="152">
      <c r="A152" s="150">
        <v>46218.0</v>
      </c>
      <c r="B152" s="197" t="s">
        <v>114</v>
      </c>
      <c r="C152" s="106" t="s">
        <v>9</v>
      </c>
      <c r="D152" s="106" t="s">
        <v>1601</v>
      </c>
      <c r="E152" s="127">
        <v>12.88</v>
      </c>
      <c r="F152" s="106">
        <v>1.0</v>
      </c>
      <c r="G152" s="107"/>
    </row>
    <row r="153">
      <c r="A153" s="150">
        <v>46218.0</v>
      </c>
      <c r="B153" s="17" t="s">
        <v>1238</v>
      </c>
      <c r="C153" s="106" t="s">
        <v>9</v>
      </c>
      <c r="D153" s="106" t="s">
        <v>1601</v>
      </c>
      <c r="E153" s="127">
        <v>18.88</v>
      </c>
      <c r="F153" s="106">
        <v>2.0</v>
      </c>
      <c r="G153" s="107"/>
    </row>
    <row r="154">
      <c r="A154" s="150">
        <v>46218.0</v>
      </c>
      <c r="B154" s="197" t="s">
        <v>208</v>
      </c>
      <c r="C154" s="106" t="s">
        <v>9</v>
      </c>
      <c r="D154" s="106" t="s">
        <v>1601</v>
      </c>
      <c r="E154" s="127">
        <v>8.88</v>
      </c>
      <c r="F154" s="106">
        <v>2.0</v>
      </c>
      <c r="G154" s="107"/>
    </row>
    <row r="155">
      <c r="A155" s="150">
        <v>46218.0</v>
      </c>
      <c r="B155" s="197" t="s">
        <v>1240</v>
      </c>
      <c r="C155" s="106" t="s">
        <v>9</v>
      </c>
      <c r="D155" s="106" t="s">
        <v>1601</v>
      </c>
      <c r="E155" s="127">
        <v>19.88</v>
      </c>
      <c r="F155" s="106">
        <v>1.0</v>
      </c>
      <c r="G155" s="107"/>
    </row>
    <row r="156">
      <c r="A156" s="150">
        <v>46218.0</v>
      </c>
      <c r="B156" s="197" t="s">
        <v>291</v>
      </c>
      <c r="C156" s="106" t="s">
        <v>9</v>
      </c>
      <c r="D156" s="106" t="s">
        <v>1601</v>
      </c>
      <c r="E156" s="127">
        <v>18.88</v>
      </c>
      <c r="F156" s="106">
        <v>2.0</v>
      </c>
      <c r="G156" s="107"/>
    </row>
    <row r="157">
      <c r="A157" s="150">
        <v>46218.0</v>
      </c>
      <c r="B157" s="197" t="s">
        <v>1248</v>
      </c>
      <c r="C157" s="106" t="s">
        <v>9</v>
      </c>
      <c r="D157" s="106" t="s">
        <v>1601</v>
      </c>
      <c r="E157" s="127">
        <v>17.88</v>
      </c>
      <c r="F157" s="106">
        <v>1.0</v>
      </c>
      <c r="G157" s="107"/>
    </row>
    <row r="158">
      <c r="A158" s="150">
        <v>46218.0</v>
      </c>
      <c r="B158" s="197" t="s">
        <v>635</v>
      </c>
      <c r="C158" s="106" t="s">
        <v>9</v>
      </c>
      <c r="D158" s="106" t="s">
        <v>1601</v>
      </c>
      <c r="E158" s="127">
        <v>20.88</v>
      </c>
      <c r="F158" s="106">
        <v>3.0</v>
      </c>
      <c r="G158" s="107"/>
    </row>
    <row r="159">
      <c r="A159" s="150">
        <v>46218.0</v>
      </c>
      <c r="B159" s="197" t="s">
        <v>658</v>
      </c>
      <c r="C159" s="106" t="s">
        <v>9</v>
      </c>
      <c r="D159" s="106" t="s">
        <v>1601</v>
      </c>
      <c r="E159" s="127">
        <v>20.88</v>
      </c>
      <c r="F159" s="106">
        <v>1.0</v>
      </c>
      <c r="G159" s="107"/>
    </row>
    <row r="160">
      <c r="A160" s="150">
        <v>46218.0</v>
      </c>
      <c r="B160" s="197" t="s">
        <v>165</v>
      </c>
      <c r="C160" s="106" t="s">
        <v>9</v>
      </c>
      <c r="D160" s="106" t="s">
        <v>1601</v>
      </c>
      <c r="E160" s="127">
        <v>5.88</v>
      </c>
      <c r="F160" s="106">
        <v>1.0</v>
      </c>
      <c r="G160" s="107"/>
    </row>
    <row r="161">
      <c r="A161" s="150">
        <v>46218.0</v>
      </c>
      <c r="B161" s="197" t="s">
        <v>1886</v>
      </c>
      <c r="C161" s="106" t="s">
        <v>9</v>
      </c>
      <c r="D161" s="106" t="s">
        <v>1601</v>
      </c>
      <c r="E161" s="127">
        <v>28.88</v>
      </c>
      <c r="F161" s="106">
        <v>1.0</v>
      </c>
      <c r="G161" s="107"/>
    </row>
    <row r="162">
      <c r="A162" s="150">
        <v>46218.0</v>
      </c>
      <c r="B162" s="197" t="s">
        <v>148</v>
      </c>
      <c r="C162" s="106" t="s">
        <v>9</v>
      </c>
      <c r="D162" s="106" t="s">
        <v>1601</v>
      </c>
      <c r="E162" s="127">
        <v>19.88</v>
      </c>
      <c r="F162" s="106">
        <v>2.0</v>
      </c>
      <c r="G162" s="107"/>
    </row>
    <row r="163">
      <c r="A163" s="150">
        <v>46218.0</v>
      </c>
      <c r="B163" s="197" t="s">
        <v>288</v>
      </c>
      <c r="C163" s="106" t="s">
        <v>9</v>
      </c>
      <c r="D163" s="106" t="s">
        <v>1601</v>
      </c>
      <c r="E163" s="127">
        <v>15.88</v>
      </c>
      <c r="F163" s="106">
        <v>2.0</v>
      </c>
      <c r="G163" s="107"/>
    </row>
    <row r="164">
      <c r="A164" s="150">
        <v>46218.0</v>
      </c>
      <c r="B164" s="197" t="s">
        <v>259</v>
      </c>
      <c r="C164" s="106" t="s">
        <v>9</v>
      </c>
      <c r="D164" s="106" t="s">
        <v>1601</v>
      </c>
      <c r="E164" s="127">
        <v>18.88</v>
      </c>
      <c r="F164" s="106">
        <v>2.0</v>
      </c>
      <c r="G164" s="107"/>
    </row>
    <row r="165">
      <c r="A165" s="150">
        <v>46218.0</v>
      </c>
      <c r="B165" s="197" t="s">
        <v>209</v>
      </c>
      <c r="C165" s="106" t="s">
        <v>9</v>
      </c>
      <c r="D165" s="106" t="s">
        <v>1601</v>
      </c>
      <c r="E165" s="127">
        <v>8.88</v>
      </c>
      <c r="F165" s="106">
        <v>3.0</v>
      </c>
      <c r="G165" s="107"/>
    </row>
    <row r="166">
      <c r="A166" s="150">
        <v>46218.0</v>
      </c>
      <c r="B166" s="197" t="s">
        <v>1431</v>
      </c>
      <c r="C166" s="106" t="s">
        <v>9</v>
      </c>
      <c r="D166" s="106" t="s">
        <v>1601</v>
      </c>
      <c r="E166" s="127">
        <v>24.88</v>
      </c>
      <c r="F166" s="106">
        <v>1.0</v>
      </c>
      <c r="G166" s="107"/>
    </row>
    <row r="167">
      <c r="A167" s="150">
        <v>46218.0</v>
      </c>
      <c r="B167" s="197" t="s">
        <v>912</v>
      </c>
      <c r="C167" s="106" t="s">
        <v>9</v>
      </c>
      <c r="D167" s="106" t="s">
        <v>1601</v>
      </c>
      <c r="E167" s="127">
        <v>24.88</v>
      </c>
      <c r="F167" s="106">
        <v>4.0</v>
      </c>
      <c r="G167" s="107"/>
    </row>
    <row r="168">
      <c r="A168" s="150">
        <v>46218.0</v>
      </c>
      <c r="B168" s="197" t="s">
        <v>1267</v>
      </c>
      <c r="C168" s="106" t="s">
        <v>9</v>
      </c>
      <c r="D168" s="106" t="s">
        <v>1601</v>
      </c>
      <c r="E168" s="127">
        <v>19.88</v>
      </c>
      <c r="F168" s="106">
        <v>1.0</v>
      </c>
      <c r="G168" s="107"/>
    </row>
    <row r="169">
      <c r="A169" s="150">
        <v>46218.0</v>
      </c>
      <c r="B169" s="197" t="s">
        <v>715</v>
      </c>
      <c r="C169" s="106" t="s">
        <v>9</v>
      </c>
      <c r="D169" s="106" t="s">
        <v>1601</v>
      </c>
      <c r="E169" s="127">
        <v>18.88</v>
      </c>
      <c r="F169" s="106">
        <v>1.0</v>
      </c>
      <c r="G169" s="107"/>
    </row>
    <row r="170">
      <c r="A170" s="150">
        <v>46218.0</v>
      </c>
      <c r="B170" s="197" t="s">
        <v>1893</v>
      </c>
      <c r="C170" s="106" t="s">
        <v>9</v>
      </c>
      <c r="D170" s="106" t="s">
        <v>1601</v>
      </c>
      <c r="E170" s="127">
        <v>26.88</v>
      </c>
      <c r="F170" s="106">
        <v>3.0</v>
      </c>
      <c r="G170" s="107"/>
    </row>
    <row r="171">
      <c r="A171" s="150">
        <v>46218.0</v>
      </c>
      <c r="B171" s="197" t="s">
        <v>144</v>
      </c>
      <c r="C171" s="106" t="s">
        <v>9</v>
      </c>
      <c r="D171" s="106" t="s">
        <v>1601</v>
      </c>
      <c r="E171" s="127">
        <v>18.88</v>
      </c>
      <c r="F171" s="106">
        <v>3.0</v>
      </c>
      <c r="G171" s="107"/>
    </row>
    <row r="172">
      <c r="A172" s="150">
        <v>46218.0</v>
      </c>
      <c r="B172" s="197" t="s">
        <v>913</v>
      </c>
      <c r="C172" s="106" t="s">
        <v>9</v>
      </c>
      <c r="D172" s="106" t="s">
        <v>1601</v>
      </c>
      <c r="E172" s="127">
        <v>69.88</v>
      </c>
      <c r="F172" s="106">
        <v>1.0</v>
      </c>
      <c r="G172" s="107"/>
    </row>
    <row r="173">
      <c r="A173" s="150">
        <v>46218.0</v>
      </c>
      <c r="B173" s="208" t="s">
        <v>166</v>
      </c>
      <c r="C173" s="106" t="s">
        <v>9</v>
      </c>
      <c r="D173" s="106" t="s">
        <v>1601</v>
      </c>
      <c r="E173" s="127">
        <v>20.88</v>
      </c>
      <c r="F173" s="106">
        <v>1.0</v>
      </c>
      <c r="G173" s="107"/>
    </row>
    <row r="174">
      <c r="A174" s="150">
        <v>46218.0</v>
      </c>
      <c r="B174" s="208" t="s">
        <v>638</v>
      </c>
      <c r="C174" s="106" t="s">
        <v>9</v>
      </c>
      <c r="D174" s="106" t="s">
        <v>1601</v>
      </c>
      <c r="E174" s="127">
        <v>25.88</v>
      </c>
      <c r="F174" s="106">
        <v>1.0</v>
      </c>
      <c r="G174" s="107"/>
    </row>
    <row r="175">
      <c r="A175" s="150">
        <v>46218.0</v>
      </c>
      <c r="B175" s="208" t="s">
        <v>1900</v>
      </c>
      <c r="C175" s="106" t="s">
        <v>9</v>
      </c>
      <c r="D175" s="106" t="s">
        <v>1601</v>
      </c>
      <c r="E175" s="127">
        <v>20.88</v>
      </c>
      <c r="F175" s="106">
        <v>1.0</v>
      </c>
      <c r="G175" s="107"/>
    </row>
    <row r="176">
      <c r="A176" s="150">
        <v>46218.0</v>
      </c>
      <c r="B176" s="208" t="s">
        <v>571</v>
      </c>
      <c r="C176" s="106" t="s">
        <v>9</v>
      </c>
      <c r="D176" s="106" t="s">
        <v>1601</v>
      </c>
      <c r="E176" s="127">
        <v>20.88</v>
      </c>
      <c r="F176" s="106">
        <v>1.0</v>
      </c>
      <c r="G176" s="107"/>
    </row>
    <row r="177">
      <c r="A177" s="150">
        <v>46218.0</v>
      </c>
      <c r="B177" s="197" t="s">
        <v>1903</v>
      </c>
      <c r="C177" s="106" t="s">
        <v>9</v>
      </c>
      <c r="D177" s="106" t="s">
        <v>1601</v>
      </c>
      <c r="E177" s="127">
        <v>49.88</v>
      </c>
      <c r="F177" s="106">
        <v>1.0</v>
      </c>
      <c r="G177" s="107"/>
    </row>
    <row r="178">
      <c r="A178" s="150">
        <v>46218.0</v>
      </c>
      <c r="B178" s="197" t="s">
        <v>1904</v>
      </c>
      <c r="C178" s="106" t="s">
        <v>9</v>
      </c>
      <c r="D178" s="106" t="s">
        <v>1601</v>
      </c>
      <c r="E178" s="127">
        <v>25.88</v>
      </c>
      <c r="F178" s="106">
        <v>1.0</v>
      </c>
      <c r="G178" s="107"/>
    </row>
    <row r="179">
      <c r="A179" s="150">
        <v>46218.0</v>
      </c>
      <c r="B179" s="197" t="s">
        <v>1906</v>
      </c>
      <c r="C179" s="106" t="s">
        <v>9</v>
      </c>
      <c r="D179" s="106" t="s">
        <v>1601</v>
      </c>
      <c r="E179" s="127">
        <v>12.88</v>
      </c>
      <c r="F179" s="106">
        <v>1.0</v>
      </c>
      <c r="G179" s="107"/>
    </row>
    <row r="180">
      <c r="A180" s="150">
        <v>46218.0</v>
      </c>
      <c r="B180" s="197" t="s">
        <v>1086</v>
      </c>
      <c r="C180" s="106" t="s">
        <v>9</v>
      </c>
      <c r="D180" s="106" t="s">
        <v>1601</v>
      </c>
      <c r="E180" s="127">
        <v>22.88</v>
      </c>
      <c r="F180" s="106">
        <v>1.0</v>
      </c>
      <c r="G180" s="107"/>
    </row>
    <row r="181">
      <c r="A181" s="150">
        <v>46218.0</v>
      </c>
      <c r="B181" s="197" t="s">
        <v>1552</v>
      </c>
      <c r="C181" s="106" t="s">
        <v>9</v>
      </c>
      <c r="D181" s="106" t="s">
        <v>1601</v>
      </c>
      <c r="E181" s="127">
        <v>19.88</v>
      </c>
      <c r="F181" s="106">
        <v>1.0</v>
      </c>
      <c r="G181" s="107"/>
    </row>
    <row r="182">
      <c r="A182" s="150">
        <v>46218.0</v>
      </c>
      <c r="B182" s="197" t="s">
        <v>1909</v>
      </c>
      <c r="C182" s="106" t="s">
        <v>9</v>
      </c>
      <c r="D182" s="106" t="s">
        <v>1601</v>
      </c>
      <c r="E182" s="127">
        <v>24.88</v>
      </c>
      <c r="F182" s="106">
        <v>1.0</v>
      </c>
      <c r="G182" s="107"/>
    </row>
    <row r="183">
      <c r="A183" s="150">
        <v>46219.0</v>
      </c>
      <c r="B183" s="197" t="s">
        <v>547</v>
      </c>
      <c r="C183" s="106" t="s">
        <v>9</v>
      </c>
      <c r="D183" s="106" t="s">
        <v>1601</v>
      </c>
      <c r="E183" s="127">
        <v>65.88</v>
      </c>
      <c r="F183" s="106">
        <v>1.0</v>
      </c>
      <c r="G183" s="107"/>
    </row>
    <row r="184" ht="18.0" customHeight="1">
      <c r="A184" s="150">
        <v>46219.0</v>
      </c>
      <c r="B184" s="197" t="s">
        <v>1912</v>
      </c>
      <c r="C184" s="106" t="s">
        <v>9</v>
      </c>
      <c r="D184" s="106" t="s">
        <v>1601</v>
      </c>
      <c r="E184" s="127">
        <v>23.88</v>
      </c>
      <c r="F184" s="106">
        <v>1.0</v>
      </c>
      <c r="G184" s="107"/>
      <c r="K184" s="214"/>
    </row>
    <row r="185">
      <c r="A185" s="150">
        <v>46219.0</v>
      </c>
      <c r="B185" s="192">
        <v>5.304533448E9</v>
      </c>
      <c r="C185" s="106" t="s">
        <v>9</v>
      </c>
      <c r="D185" s="106" t="s">
        <v>1601</v>
      </c>
      <c r="E185" s="127">
        <v>24.88</v>
      </c>
      <c r="F185" s="106">
        <v>1.0</v>
      </c>
      <c r="G185" s="107"/>
    </row>
    <row r="186">
      <c r="A186" s="150">
        <v>46219.0</v>
      </c>
      <c r="B186" s="197" t="s">
        <v>546</v>
      </c>
      <c r="C186" s="106" t="s">
        <v>8</v>
      </c>
      <c r="D186" s="106" t="s">
        <v>1601</v>
      </c>
      <c r="E186" s="127">
        <v>27.88</v>
      </c>
      <c r="F186" s="106">
        <v>1.0</v>
      </c>
      <c r="G186" s="107"/>
    </row>
    <row r="187">
      <c r="A187" s="150">
        <v>46219.0</v>
      </c>
      <c r="B187" s="108" t="s">
        <v>626</v>
      </c>
      <c r="C187" s="106" t="s">
        <v>8</v>
      </c>
      <c r="D187" s="106" t="s">
        <v>1601</v>
      </c>
      <c r="E187" s="127">
        <v>20.88</v>
      </c>
      <c r="F187" s="106">
        <v>1.0</v>
      </c>
      <c r="G187" s="107"/>
    </row>
    <row r="188">
      <c r="A188" s="150">
        <v>46219.0</v>
      </c>
      <c r="B188" s="197" t="s">
        <v>1914</v>
      </c>
      <c r="C188" s="106" t="s">
        <v>8</v>
      </c>
      <c r="D188" s="106" t="s">
        <v>1601</v>
      </c>
      <c r="E188" s="127">
        <v>11.88</v>
      </c>
      <c r="F188" s="106">
        <v>1.0</v>
      </c>
      <c r="G188" s="107"/>
    </row>
    <row r="189">
      <c r="A189" s="150">
        <v>46219.0</v>
      </c>
      <c r="B189" s="197" t="s">
        <v>1915</v>
      </c>
      <c r="C189" s="106" t="s">
        <v>8</v>
      </c>
      <c r="D189" s="106" t="s">
        <v>1601</v>
      </c>
      <c r="E189" s="127">
        <v>45.88</v>
      </c>
      <c r="F189" s="106">
        <v>1.0</v>
      </c>
      <c r="G189" s="107"/>
    </row>
    <row r="190">
      <c r="A190" s="150">
        <v>46219.0</v>
      </c>
      <c r="B190" s="197" t="s">
        <v>427</v>
      </c>
      <c r="C190" s="106" t="s">
        <v>8</v>
      </c>
      <c r="D190" s="106" t="s">
        <v>1601</v>
      </c>
      <c r="E190" s="127">
        <v>87.88</v>
      </c>
      <c r="F190" s="106">
        <v>1.0</v>
      </c>
      <c r="G190" s="107"/>
    </row>
    <row r="191">
      <c r="A191" s="150">
        <v>46219.0</v>
      </c>
      <c r="B191" s="197" t="s">
        <v>1039</v>
      </c>
      <c r="C191" s="106" t="s">
        <v>8</v>
      </c>
      <c r="D191" s="106" t="s">
        <v>1601</v>
      </c>
      <c r="E191" s="127">
        <v>70.88</v>
      </c>
      <c r="F191" s="106">
        <v>1.0</v>
      </c>
      <c r="G191" s="107"/>
    </row>
    <row r="192">
      <c r="A192" s="150">
        <v>46219.0</v>
      </c>
      <c r="B192" s="197" t="s">
        <v>973</v>
      </c>
      <c r="C192" s="106" t="s">
        <v>8</v>
      </c>
      <c r="D192" s="106" t="s">
        <v>1601</v>
      </c>
      <c r="E192" s="127">
        <v>20.88</v>
      </c>
      <c r="F192" s="106">
        <v>1.0</v>
      </c>
      <c r="G192" s="107"/>
    </row>
    <row r="193">
      <c r="A193" s="150">
        <v>46219.0</v>
      </c>
      <c r="B193" s="197" t="s">
        <v>1920</v>
      </c>
      <c r="C193" s="106" t="s">
        <v>8</v>
      </c>
      <c r="D193" s="106" t="s">
        <v>1601</v>
      </c>
      <c r="E193" s="127">
        <v>75.88</v>
      </c>
      <c r="F193" s="106">
        <v>1.0</v>
      </c>
      <c r="G193" s="107"/>
    </row>
    <row r="194">
      <c r="A194" s="150">
        <v>46219.0</v>
      </c>
      <c r="B194" s="197" t="s">
        <v>776</v>
      </c>
      <c r="C194" s="106" t="s">
        <v>8</v>
      </c>
      <c r="D194" s="106" t="s">
        <v>1601</v>
      </c>
      <c r="E194" s="127">
        <v>39.88</v>
      </c>
      <c r="F194" s="106">
        <v>1.0</v>
      </c>
      <c r="G194" s="107"/>
    </row>
    <row r="195" ht="16.5" customHeight="1">
      <c r="A195" s="150">
        <v>46219.0</v>
      </c>
      <c r="B195" s="208" t="s">
        <v>1400</v>
      </c>
      <c r="C195" s="106" t="s">
        <v>8</v>
      </c>
      <c r="D195" s="106" t="s">
        <v>1601</v>
      </c>
      <c r="E195" s="127">
        <v>68.88</v>
      </c>
      <c r="F195" s="106">
        <v>1.0</v>
      </c>
      <c r="G195" s="107"/>
      <c r="H195" s="214"/>
    </row>
    <row r="196">
      <c r="A196" s="150">
        <v>46219.0</v>
      </c>
      <c r="B196" s="197" t="s">
        <v>425</v>
      </c>
      <c r="C196" s="106" t="s">
        <v>8</v>
      </c>
      <c r="D196" s="106" t="s">
        <v>1601</v>
      </c>
      <c r="E196" s="127">
        <v>20.88</v>
      </c>
      <c r="F196" s="106">
        <v>1.0</v>
      </c>
      <c r="G196" s="107"/>
    </row>
    <row r="197">
      <c r="A197" s="150">
        <v>46219.0</v>
      </c>
      <c r="B197" s="197" t="s">
        <v>464</v>
      </c>
      <c r="C197" s="106" t="s">
        <v>8</v>
      </c>
      <c r="D197" s="106" t="s">
        <v>1601</v>
      </c>
      <c r="E197" s="127">
        <v>14.88</v>
      </c>
      <c r="F197" s="106">
        <v>1.0</v>
      </c>
      <c r="G197" s="128"/>
    </row>
    <row r="198">
      <c r="A198" s="150">
        <v>46219.0</v>
      </c>
      <c r="B198" s="197" t="s">
        <v>436</v>
      </c>
      <c r="C198" s="106" t="s">
        <v>8</v>
      </c>
      <c r="D198" s="106" t="s">
        <v>1601</v>
      </c>
      <c r="E198" s="127">
        <v>73.88</v>
      </c>
      <c r="F198" s="106">
        <v>1.0</v>
      </c>
      <c r="G198" s="128"/>
    </row>
    <row r="199">
      <c r="A199" s="150">
        <v>46219.0</v>
      </c>
      <c r="B199" s="197" t="s">
        <v>881</v>
      </c>
      <c r="C199" s="106" t="s">
        <v>8</v>
      </c>
      <c r="D199" s="106" t="s">
        <v>1601</v>
      </c>
      <c r="E199" s="127">
        <v>45.88</v>
      </c>
      <c r="F199" s="106">
        <v>1.0</v>
      </c>
      <c r="G199" s="128"/>
    </row>
    <row r="200">
      <c r="A200" s="150">
        <v>46220.0</v>
      </c>
      <c r="B200" s="108" t="s">
        <v>1926</v>
      </c>
      <c r="C200" s="106" t="s">
        <v>8</v>
      </c>
      <c r="D200" s="106" t="s">
        <v>1601</v>
      </c>
      <c r="E200" s="127">
        <v>14.88</v>
      </c>
      <c r="F200" s="106">
        <v>1.0</v>
      </c>
      <c r="G200" s="106" t="s">
        <v>1658</v>
      </c>
    </row>
    <row r="201">
      <c r="A201" s="150">
        <v>46220.0</v>
      </c>
      <c r="B201" s="108" t="s">
        <v>1927</v>
      </c>
      <c r="C201" s="106" t="s">
        <v>8</v>
      </c>
      <c r="D201" s="106" t="s">
        <v>1601</v>
      </c>
      <c r="E201" s="127">
        <v>11.88</v>
      </c>
      <c r="F201" s="106">
        <v>1.0</v>
      </c>
      <c r="G201" s="128"/>
    </row>
    <row r="202">
      <c r="A202" s="150">
        <v>46220.0</v>
      </c>
      <c r="B202" s="192">
        <v>5.30452234E9</v>
      </c>
      <c r="C202" s="106" t="s">
        <v>8</v>
      </c>
      <c r="D202" s="106" t="s">
        <v>1601</v>
      </c>
      <c r="E202" s="127">
        <v>29.88</v>
      </c>
      <c r="F202" s="106">
        <v>1.0</v>
      </c>
      <c r="G202" s="128"/>
    </row>
    <row r="203">
      <c r="A203" s="150">
        <v>46220.0</v>
      </c>
      <c r="B203" s="192">
        <v>5.304529574E9</v>
      </c>
      <c r="C203" s="106" t="s">
        <v>8</v>
      </c>
      <c r="D203" s="106" t="s">
        <v>1601</v>
      </c>
      <c r="E203" s="127">
        <v>19.88</v>
      </c>
      <c r="F203" s="106">
        <v>1.0</v>
      </c>
      <c r="G203" s="128"/>
    </row>
    <row r="204">
      <c r="A204" s="150">
        <v>46220.0</v>
      </c>
      <c r="B204" s="192" t="s">
        <v>1931</v>
      </c>
      <c r="C204" s="106" t="s">
        <v>8</v>
      </c>
      <c r="D204" s="106" t="s">
        <v>1601</v>
      </c>
      <c r="E204" s="127">
        <v>17.88</v>
      </c>
      <c r="F204" s="106">
        <v>1.0</v>
      </c>
      <c r="G204" s="128"/>
    </row>
    <row r="205">
      <c r="A205" s="150">
        <v>46220.0</v>
      </c>
      <c r="B205" s="192">
        <v>5.304519662E9</v>
      </c>
      <c r="C205" s="106" t="s">
        <v>8</v>
      </c>
      <c r="D205" s="106" t="s">
        <v>1601</v>
      </c>
      <c r="E205" s="127">
        <v>10.88</v>
      </c>
      <c r="F205" s="106">
        <v>1.0</v>
      </c>
      <c r="G205" s="128"/>
    </row>
    <row r="206">
      <c r="A206" s="150">
        <v>46220.0</v>
      </c>
      <c r="B206" s="192">
        <v>5.304513462E9</v>
      </c>
      <c r="C206" s="106" t="s">
        <v>8</v>
      </c>
      <c r="D206" s="106" t="s">
        <v>1601</v>
      </c>
      <c r="E206" s="127">
        <v>10.88</v>
      </c>
      <c r="F206" s="106">
        <v>1.0</v>
      </c>
      <c r="G206" s="128"/>
    </row>
    <row r="207">
      <c r="A207" s="150">
        <v>46220.0</v>
      </c>
      <c r="B207" s="192" t="s">
        <v>1935</v>
      </c>
      <c r="C207" s="106" t="s">
        <v>8</v>
      </c>
      <c r="D207" s="106" t="s">
        <v>1601</v>
      </c>
      <c r="E207" s="127">
        <v>20.88</v>
      </c>
      <c r="F207" s="106">
        <v>1.0</v>
      </c>
      <c r="G207" s="128"/>
    </row>
    <row r="208">
      <c r="A208" s="150">
        <v>46220.0</v>
      </c>
      <c r="B208" s="192">
        <v>1.7438000005461E13</v>
      </c>
      <c r="C208" s="106" t="s">
        <v>8</v>
      </c>
      <c r="D208" s="106" t="s">
        <v>1601</v>
      </c>
      <c r="E208" s="127">
        <v>28.88</v>
      </c>
      <c r="F208" s="106">
        <v>1.0</v>
      </c>
      <c r="G208" s="128"/>
    </row>
    <row r="209">
      <c r="A209" s="150">
        <v>46220.0</v>
      </c>
      <c r="B209" s="192" t="s">
        <v>1936</v>
      </c>
      <c r="C209" s="106" t="s">
        <v>8</v>
      </c>
      <c r="D209" s="106" t="s">
        <v>1601</v>
      </c>
      <c r="E209" s="127">
        <v>25.88</v>
      </c>
      <c r="F209" s="106">
        <v>1.0</v>
      </c>
      <c r="G209" s="128"/>
    </row>
    <row r="210">
      <c r="A210" s="150">
        <v>46225.0</v>
      </c>
      <c r="B210" s="197" t="s">
        <v>1938</v>
      </c>
      <c r="C210" s="106" t="s">
        <v>8</v>
      </c>
      <c r="D210" s="106" t="s">
        <v>1601</v>
      </c>
      <c r="E210" s="127">
        <v>14.88</v>
      </c>
      <c r="F210" s="106">
        <v>1.0</v>
      </c>
      <c r="G210" s="107"/>
    </row>
    <row r="211">
      <c r="A211" s="150">
        <v>46225.0</v>
      </c>
      <c r="B211" s="29" t="s">
        <v>461</v>
      </c>
      <c r="C211" s="106" t="s">
        <v>8</v>
      </c>
      <c r="D211" s="106" t="s">
        <v>1601</v>
      </c>
      <c r="E211" s="127">
        <v>220.88</v>
      </c>
      <c r="F211" s="106">
        <v>1.0</v>
      </c>
      <c r="G211" s="107"/>
    </row>
    <row r="212">
      <c r="A212" s="150">
        <v>46225.0</v>
      </c>
      <c r="B212" s="197" t="s">
        <v>1940</v>
      </c>
      <c r="C212" s="106" t="s">
        <v>8</v>
      </c>
      <c r="D212" s="106" t="s">
        <v>1601</v>
      </c>
      <c r="E212" s="127">
        <v>34.88</v>
      </c>
      <c r="F212" s="106">
        <v>1.0</v>
      </c>
      <c r="G212" s="107"/>
    </row>
    <row r="213">
      <c r="A213" s="150">
        <v>46225.0</v>
      </c>
      <c r="B213" s="219" t="s">
        <v>1941</v>
      </c>
      <c r="C213" s="106" t="s">
        <v>8</v>
      </c>
      <c r="D213" s="106" t="s">
        <v>1601</v>
      </c>
      <c r="E213" s="127">
        <v>10.88</v>
      </c>
      <c r="F213" s="106">
        <v>1.0</v>
      </c>
      <c r="G213" s="107"/>
    </row>
    <row r="214" ht="14.25" customHeight="1">
      <c r="A214" s="150">
        <v>46225.0</v>
      </c>
      <c r="B214" s="219" t="s">
        <v>1942</v>
      </c>
      <c r="C214" s="106" t="s">
        <v>8</v>
      </c>
      <c r="D214" s="106" t="s">
        <v>1601</v>
      </c>
      <c r="E214" s="127">
        <v>17.88</v>
      </c>
      <c r="F214" s="106">
        <v>2.0</v>
      </c>
      <c r="G214" s="107"/>
      <c r="H214" s="220" t="s">
        <v>1943</v>
      </c>
    </row>
    <row r="215">
      <c r="A215" s="150">
        <v>46225.0</v>
      </c>
      <c r="B215" s="219" t="s">
        <v>1944</v>
      </c>
      <c r="C215" s="106" t="s">
        <v>8</v>
      </c>
      <c r="D215" s="106" t="s">
        <v>1601</v>
      </c>
      <c r="E215" s="127">
        <v>14.88</v>
      </c>
      <c r="F215" s="106">
        <v>2.0</v>
      </c>
      <c r="G215" s="107"/>
    </row>
    <row r="216">
      <c r="A216" s="150">
        <v>46225.0</v>
      </c>
      <c r="B216" s="221">
        <v>279640.0</v>
      </c>
      <c r="C216" s="106" t="s">
        <v>8</v>
      </c>
      <c r="D216" s="106" t="s">
        <v>1601</v>
      </c>
      <c r="E216" s="127">
        <v>13.88</v>
      </c>
      <c r="F216" s="106">
        <v>1.0</v>
      </c>
      <c r="G216" s="107"/>
    </row>
    <row r="217">
      <c r="A217" s="150">
        <v>46225.0</v>
      </c>
      <c r="B217" s="197" t="s">
        <v>1945</v>
      </c>
      <c r="C217" s="106" t="s">
        <v>8</v>
      </c>
      <c r="D217" s="106" t="s">
        <v>1601</v>
      </c>
      <c r="E217" s="127">
        <v>35.88</v>
      </c>
      <c r="F217" s="106">
        <v>1.0</v>
      </c>
      <c r="G217" s="107"/>
    </row>
    <row r="218">
      <c r="A218" s="150">
        <v>46225.0</v>
      </c>
      <c r="B218" s="197" t="s">
        <v>1947</v>
      </c>
      <c r="C218" s="106" t="s">
        <v>8</v>
      </c>
      <c r="D218" s="106" t="s">
        <v>1601</v>
      </c>
      <c r="E218" s="127">
        <v>16.88</v>
      </c>
      <c r="F218" s="106">
        <v>1.0</v>
      </c>
      <c r="G218" s="107"/>
    </row>
    <row r="219">
      <c r="A219" s="150">
        <v>46225.0</v>
      </c>
      <c r="B219" s="197" t="s">
        <v>1948</v>
      </c>
      <c r="C219" s="106" t="s">
        <v>8</v>
      </c>
      <c r="D219" s="106" t="s">
        <v>1601</v>
      </c>
      <c r="E219" s="127">
        <v>13.88</v>
      </c>
      <c r="F219" s="106">
        <v>1.0</v>
      </c>
      <c r="G219" s="107"/>
    </row>
    <row r="220">
      <c r="A220" s="150">
        <v>46225.0</v>
      </c>
      <c r="B220" s="197" t="s">
        <v>1949</v>
      </c>
      <c r="C220" s="106" t="s">
        <v>8</v>
      </c>
      <c r="D220" s="106" t="s">
        <v>1601</v>
      </c>
      <c r="E220" s="127">
        <v>36.88</v>
      </c>
      <c r="F220" s="106">
        <v>1.0</v>
      </c>
      <c r="G220" s="107"/>
    </row>
    <row r="221">
      <c r="A221" s="150">
        <v>46225.0</v>
      </c>
      <c r="B221" s="197" t="s">
        <v>1950</v>
      </c>
      <c r="C221" s="106" t="s">
        <v>8</v>
      </c>
      <c r="D221" s="106" t="s">
        <v>1601</v>
      </c>
      <c r="E221" s="127">
        <v>18.88</v>
      </c>
      <c r="F221" s="106">
        <v>1.0</v>
      </c>
      <c r="G221" s="107"/>
    </row>
    <row r="222">
      <c r="A222" s="150">
        <v>46225.0</v>
      </c>
      <c r="B222" s="197" t="s">
        <v>1952</v>
      </c>
      <c r="C222" s="106" t="s">
        <v>8</v>
      </c>
      <c r="D222" s="106" t="s">
        <v>1601</v>
      </c>
      <c r="E222" s="127">
        <v>35.88</v>
      </c>
      <c r="F222" s="106">
        <v>1.0</v>
      </c>
      <c r="G222" s="107"/>
    </row>
    <row r="223">
      <c r="A223" s="150">
        <v>46225.0</v>
      </c>
      <c r="B223" s="108">
        <v>1.17158011E8</v>
      </c>
      <c r="C223" s="106" t="s">
        <v>8</v>
      </c>
      <c r="D223" s="106" t="s">
        <v>1601</v>
      </c>
      <c r="E223" s="127">
        <v>24.88</v>
      </c>
      <c r="F223" s="106">
        <v>1.0</v>
      </c>
      <c r="G223" s="107"/>
    </row>
    <row r="224">
      <c r="A224" s="150">
        <v>46225.0</v>
      </c>
      <c r="B224" s="197" t="s">
        <v>1953</v>
      </c>
      <c r="C224" s="106" t="s">
        <v>8</v>
      </c>
      <c r="D224" s="106" t="s">
        <v>1601</v>
      </c>
      <c r="E224" s="127">
        <v>15.88</v>
      </c>
      <c r="F224" s="106">
        <v>1.0</v>
      </c>
      <c r="G224" s="107"/>
    </row>
    <row r="225">
      <c r="A225" s="150">
        <v>46225.0</v>
      </c>
      <c r="B225" s="197" t="s">
        <v>1954</v>
      </c>
      <c r="C225" s="106" t="s">
        <v>8</v>
      </c>
      <c r="D225" s="106" t="s">
        <v>1601</v>
      </c>
      <c r="E225" s="127">
        <v>42.88</v>
      </c>
      <c r="F225" s="106">
        <v>1.0</v>
      </c>
      <c r="G225" s="107"/>
    </row>
    <row r="226">
      <c r="A226" s="150">
        <v>46225.0</v>
      </c>
      <c r="B226" s="197" t="s">
        <v>1955</v>
      </c>
      <c r="C226" s="106" t="s">
        <v>8</v>
      </c>
      <c r="D226" s="106" t="s">
        <v>1601</v>
      </c>
      <c r="E226" s="127">
        <v>10.88</v>
      </c>
      <c r="F226" s="106">
        <v>1.0</v>
      </c>
      <c r="G226" s="107"/>
    </row>
    <row r="227" ht="15.0" customHeight="1">
      <c r="A227" s="150">
        <v>46225.0</v>
      </c>
      <c r="B227" s="197" t="s">
        <v>1956</v>
      </c>
      <c r="C227" s="106" t="s">
        <v>8</v>
      </c>
      <c r="D227" s="106" t="s">
        <v>1601</v>
      </c>
      <c r="E227" s="127">
        <v>25.88</v>
      </c>
      <c r="F227" s="106">
        <v>1.0</v>
      </c>
      <c r="G227" s="107"/>
      <c r="H227" s="214"/>
    </row>
    <row r="228">
      <c r="A228" s="150">
        <v>46225.0</v>
      </c>
      <c r="B228" s="197" t="s">
        <v>1958</v>
      </c>
      <c r="C228" s="106" t="s">
        <v>8</v>
      </c>
      <c r="D228" s="106" t="s">
        <v>1601</v>
      </c>
      <c r="E228" s="127">
        <v>7.88</v>
      </c>
      <c r="F228" s="106">
        <v>1.0</v>
      </c>
      <c r="G228" s="107"/>
    </row>
    <row r="229">
      <c r="A229" s="150">
        <v>46225.0</v>
      </c>
      <c r="B229" s="197" t="s">
        <v>1960</v>
      </c>
      <c r="C229" s="106" t="s">
        <v>8</v>
      </c>
      <c r="D229" s="106" t="s">
        <v>1601</v>
      </c>
      <c r="E229" s="127">
        <v>30.88</v>
      </c>
      <c r="F229" s="106">
        <v>1.0</v>
      </c>
      <c r="G229" s="107"/>
    </row>
    <row r="230">
      <c r="A230" s="150">
        <v>46225.0</v>
      </c>
      <c r="B230" s="197" t="s">
        <v>669</v>
      </c>
      <c r="C230" s="106" t="s">
        <v>8</v>
      </c>
      <c r="D230" s="106" t="s">
        <v>1601</v>
      </c>
      <c r="E230" s="127">
        <v>30.88</v>
      </c>
      <c r="F230" s="106">
        <v>1.0</v>
      </c>
      <c r="G230" s="104" t="s">
        <v>1834</v>
      </c>
    </row>
    <row r="231">
      <c r="A231" s="150">
        <v>46225.0</v>
      </c>
      <c r="B231" s="197" t="s">
        <v>1962</v>
      </c>
      <c r="C231" s="106" t="s">
        <v>8</v>
      </c>
      <c r="D231" s="106" t="s">
        <v>1601</v>
      </c>
      <c r="E231" s="127">
        <v>228.88</v>
      </c>
      <c r="F231" s="106">
        <v>1.0</v>
      </c>
      <c r="G231" s="107"/>
    </row>
    <row r="232">
      <c r="A232" s="150">
        <v>46226.0</v>
      </c>
      <c r="B232" s="192" t="s">
        <v>112</v>
      </c>
      <c r="C232" s="106" t="s">
        <v>8</v>
      </c>
      <c r="D232" s="106" t="s">
        <v>1601</v>
      </c>
      <c r="E232" s="127">
        <v>48.88</v>
      </c>
      <c r="F232" s="106">
        <v>1.0</v>
      </c>
      <c r="G232" s="107"/>
    </row>
    <row r="233">
      <c r="A233" s="150">
        <v>46226.0</v>
      </c>
      <c r="B233" s="197" t="s">
        <v>1964</v>
      </c>
      <c r="C233" s="106" t="s">
        <v>8</v>
      </c>
      <c r="D233" s="106" t="s">
        <v>1601</v>
      </c>
      <c r="E233" s="127">
        <v>20.88</v>
      </c>
      <c r="F233" s="106">
        <v>1.0</v>
      </c>
      <c r="G233" s="107"/>
    </row>
    <row r="234">
      <c r="A234" s="150">
        <v>46226.0</v>
      </c>
      <c r="B234" s="197" t="s">
        <v>1967</v>
      </c>
      <c r="C234" s="106" t="s">
        <v>8</v>
      </c>
      <c r="D234" s="106" t="s">
        <v>1601</v>
      </c>
      <c r="E234" s="127">
        <v>12.88</v>
      </c>
      <c r="F234" s="106">
        <v>1.0</v>
      </c>
      <c r="G234" s="107"/>
    </row>
    <row r="235">
      <c r="A235" s="150">
        <v>46226.0</v>
      </c>
      <c r="B235" s="197" t="s">
        <v>1969</v>
      </c>
      <c r="C235" s="106" t="s">
        <v>8</v>
      </c>
      <c r="D235" s="106" t="s">
        <v>1601</v>
      </c>
      <c r="E235" s="127">
        <v>13.88</v>
      </c>
      <c r="F235" s="106">
        <v>1.0</v>
      </c>
      <c r="G235" s="107"/>
    </row>
    <row r="236">
      <c r="A236" s="150">
        <v>46226.0</v>
      </c>
      <c r="B236" s="197" t="s">
        <v>1970</v>
      </c>
      <c r="C236" s="106" t="s">
        <v>8</v>
      </c>
      <c r="D236" s="106" t="s">
        <v>1601</v>
      </c>
      <c r="E236" s="127">
        <v>12.88</v>
      </c>
      <c r="F236" s="106">
        <v>1.0</v>
      </c>
      <c r="G236" s="107"/>
    </row>
    <row r="237">
      <c r="A237" s="150">
        <v>46226.0</v>
      </c>
      <c r="B237" s="197" t="s">
        <v>1971</v>
      </c>
      <c r="C237" s="106" t="s">
        <v>8</v>
      </c>
      <c r="D237" s="106" t="s">
        <v>1601</v>
      </c>
      <c r="E237" s="127">
        <v>76.88</v>
      </c>
      <c r="F237" s="106">
        <v>1.0</v>
      </c>
      <c r="G237" s="107"/>
    </row>
    <row r="238">
      <c r="A238" s="150">
        <v>46226.0</v>
      </c>
      <c r="B238" s="197" t="s">
        <v>1973</v>
      </c>
      <c r="C238" s="106" t="s">
        <v>8</v>
      </c>
      <c r="D238" s="106" t="s">
        <v>1601</v>
      </c>
      <c r="E238" s="127">
        <v>13.88</v>
      </c>
      <c r="F238" s="106">
        <v>2.0</v>
      </c>
      <c r="G238" s="107"/>
    </row>
    <row r="239">
      <c r="A239" s="150">
        <v>46226.0</v>
      </c>
      <c r="B239" s="197" t="s">
        <v>1975</v>
      </c>
      <c r="C239" s="106" t="s">
        <v>8</v>
      </c>
      <c r="D239" s="106" t="s">
        <v>1601</v>
      </c>
      <c r="E239" s="127">
        <v>26.88</v>
      </c>
      <c r="F239" s="106">
        <v>2.0</v>
      </c>
      <c r="G239" s="107"/>
    </row>
    <row r="240">
      <c r="A240" s="150">
        <v>46226.0</v>
      </c>
      <c r="B240" s="197" t="s">
        <v>1977</v>
      </c>
      <c r="C240" s="106" t="s">
        <v>8</v>
      </c>
      <c r="D240" s="106" t="s">
        <v>1601</v>
      </c>
      <c r="E240" s="127">
        <v>14.88</v>
      </c>
      <c r="F240" s="106">
        <v>2.0</v>
      </c>
      <c r="G240" s="107"/>
    </row>
    <row r="241">
      <c r="A241" s="150">
        <v>46226.0</v>
      </c>
      <c r="B241" s="197" t="s">
        <v>1978</v>
      </c>
      <c r="C241" s="106" t="s">
        <v>8</v>
      </c>
      <c r="D241" s="106" t="s">
        <v>1601</v>
      </c>
      <c r="E241" s="127">
        <v>30.88</v>
      </c>
      <c r="F241" s="106">
        <v>1.0</v>
      </c>
      <c r="G241" s="107"/>
    </row>
    <row r="242">
      <c r="A242" s="150">
        <v>46226.0</v>
      </c>
      <c r="B242" s="108" t="s">
        <v>1980</v>
      </c>
      <c r="C242" s="106" t="s">
        <v>8</v>
      </c>
      <c r="D242" s="106" t="s">
        <v>1601</v>
      </c>
      <c r="E242" s="127">
        <v>6.88</v>
      </c>
      <c r="F242" s="106">
        <v>1.0</v>
      </c>
      <c r="G242" s="107"/>
    </row>
    <row r="243">
      <c r="A243" s="150">
        <v>46226.0</v>
      </c>
      <c r="B243" s="197" t="s">
        <v>1981</v>
      </c>
      <c r="C243" s="106" t="s">
        <v>8</v>
      </c>
      <c r="D243" s="106" t="s">
        <v>1601</v>
      </c>
      <c r="E243" s="127">
        <v>120.88</v>
      </c>
      <c r="F243" s="106">
        <v>1.0</v>
      </c>
      <c r="G243" s="107"/>
    </row>
    <row r="244">
      <c r="A244" s="150">
        <v>46226.0</v>
      </c>
      <c r="B244" s="197" t="s">
        <v>1984</v>
      </c>
      <c r="C244" s="106" t="s">
        <v>8</v>
      </c>
      <c r="D244" s="106" t="s">
        <v>1601</v>
      </c>
      <c r="E244" s="127">
        <v>44.88</v>
      </c>
      <c r="F244" s="106">
        <v>1.0</v>
      </c>
      <c r="G244" s="107"/>
    </row>
    <row r="245">
      <c r="A245" s="150">
        <v>46226.0</v>
      </c>
      <c r="B245" s="197" t="s">
        <v>1985</v>
      </c>
      <c r="C245" s="106" t="s">
        <v>8</v>
      </c>
      <c r="D245" s="106" t="s">
        <v>1601</v>
      </c>
      <c r="E245" s="127">
        <v>13.88</v>
      </c>
      <c r="F245" s="106">
        <v>1.0</v>
      </c>
      <c r="G245" s="107"/>
    </row>
    <row r="246">
      <c r="A246" s="150">
        <v>46226.0</v>
      </c>
      <c r="B246" s="197" t="s">
        <v>897</v>
      </c>
      <c r="C246" s="106" t="s">
        <v>8</v>
      </c>
      <c r="D246" s="106" t="s">
        <v>1601</v>
      </c>
      <c r="E246" s="127">
        <v>74.88</v>
      </c>
      <c r="F246" s="106">
        <v>1.0</v>
      </c>
      <c r="G246" s="107"/>
    </row>
    <row r="247">
      <c r="A247" s="150">
        <v>46227.0</v>
      </c>
      <c r="B247" s="197" t="s">
        <v>1987</v>
      </c>
      <c r="C247" s="106" t="s">
        <v>8</v>
      </c>
      <c r="D247" s="106" t="s">
        <v>1601</v>
      </c>
      <c r="E247" s="127">
        <v>11.88</v>
      </c>
      <c r="F247" s="106">
        <v>3.0</v>
      </c>
      <c r="G247" s="107"/>
    </row>
    <row r="248">
      <c r="A248" s="150">
        <v>46227.0</v>
      </c>
      <c r="B248" s="17" t="s">
        <v>1990</v>
      </c>
      <c r="C248" s="106" t="s">
        <v>8</v>
      </c>
      <c r="D248" s="106" t="s">
        <v>1601</v>
      </c>
      <c r="E248" s="127">
        <v>17.88</v>
      </c>
      <c r="F248" s="106">
        <v>1.0</v>
      </c>
      <c r="G248" s="104" t="s">
        <v>1834</v>
      </c>
    </row>
    <row r="249" ht="16.5" customHeight="1">
      <c r="A249" s="150">
        <v>46227.0</v>
      </c>
      <c r="B249" s="197" t="s">
        <v>1991</v>
      </c>
      <c r="C249" s="106" t="s">
        <v>8</v>
      </c>
      <c r="D249" s="106" t="s">
        <v>1601</v>
      </c>
      <c r="E249" s="127">
        <v>6.88</v>
      </c>
      <c r="F249" s="106">
        <v>3.0</v>
      </c>
      <c r="G249" s="107"/>
      <c r="H249" s="214"/>
    </row>
    <row r="250">
      <c r="A250" s="150">
        <v>46227.0</v>
      </c>
      <c r="B250" s="197" t="s">
        <v>1992</v>
      </c>
      <c r="C250" s="106" t="s">
        <v>8</v>
      </c>
      <c r="D250" s="106" t="s">
        <v>1601</v>
      </c>
      <c r="E250" s="127">
        <v>22.88</v>
      </c>
      <c r="F250" s="106">
        <v>1.0</v>
      </c>
      <c r="G250" s="107"/>
    </row>
    <row r="251">
      <c r="A251" s="150">
        <v>46227.0</v>
      </c>
      <c r="B251" s="197" t="s">
        <v>1995</v>
      </c>
      <c r="C251" s="106" t="s">
        <v>8</v>
      </c>
      <c r="D251" s="106" t="s">
        <v>1601</v>
      </c>
      <c r="E251" s="127">
        <v>11.88</v>
      </c>
      <c r="F251" s="106">
        <v>1.0</v>
      </c>
      <c r="G251" s="107"/>
    </row>
    <row r="252">
      <c r="A252" s="150">
        <v>46227.0</v>
      </c>
      <c r="B252" s="85" t="s">
        <v>1997</v>
      </c>
      <c r="C252" s="106" t="s">
        <v>8</v>
      </c>
      <c r="D252" s="106" t="s">
        <v>1601</v>
      </c>
      <c r="E252" s="127">
        <v>6.88</v>
      </c>
      <c r="F252" s="106">
        <v>1.0</v>
      </c>
      <c r="G252" s="107"/>
    </row>
    <row r="253">
      <c r="A253" s="150">
        <v>46227.0</v>
      </c>
      <c r="B253" s="197" t="s">
        <v>1999</v>
      </c>
      <c r="C253" s="106" t="s">
        <v>8</v>
      </c>
      <c r="D253" s="106" t="s">
        <v>1601</v>
      </c>
      <c r="E253" s="127">
        <v>40.88</v>
      </c>
      <c r="F253" s="106">
        <v>1.0</v>
      </c>
      <c r="G253" s="107"/>
    </row>
    <row r="254">
      <c r="A254" s="150">
        <v>46227.0</v>
      </c>
      <c r="B254" s="197" t="s">
        <v>2000</v>
      </c>
      <c r="C254" s="106" t="s">
        <v>8</v>
      </c>
      <c r="D254" s="106" t="s">
        <v>1601</v>
      </c>
      <c r="E254" s="127">
        <v>5.88</v>
      </c>
      <c r="F254" s="223" t="s">
        <v>2001</v>
      </c>
      <c r="G254" s="107"/>
    </row>
    <row r="255">
      <c r="A255" s="150">
        <v>46227.0</v>
      </c>
      <c r="B255" s="208" t="s">
        <v>1718</v>
      </c>
      <c r="C255" s="106" t="s">
        <v>8</v>
      </c>
      <c r="D255" s="106" t="s">
        <v>1601</v>
      </c>
      <c r="E255" s="127">
        <v>40.88</v>
      </c>
      <c r="F255" s="106">
        <v>1.0</v>
      </c>
      <c r="G255" s="107"/>
    </row>
    <row r="256">
      <c r="A256" s="150">
        <v>46227.0</v>
      </c>
      <c r="B256" s="208" t="s">
        <v>2002</v>
      </c>
      <c r="C256" s="106" t="s">
        <v>8</v>
      </c>
      <c r="D256" s="106" t="s">
        <v>1601</v>
      </c>
      <c r="E256" s="127">
        <v>5.88</v>
      </c>
      <c r="F256" s="106">
        <v>1.0</v>
      </c>
      <c r="G256" s="107"/>
    </row>
    <row r="257">
      <c r="A257" s="150">
        <v>46227.0</v>
      </c>
      <c r="B257" s="208" t="s">
        <v>1556</v>
      </c>
      <c r="C257" s="106" t="s">
        <v>8</v>
      </c>
      <c r="D257" s="106" t="s">
        <v>1601</v>
      </c>
      <c r="E257" s="127">
        <v>16.88</v>
      </c>
      <c r="F257" s="106">
        <v>1.0</v>
      </c>
      <c r="G257" s="107"/>
    </row>
    <row r="258" ht="16.5" customHeight="1">
      <c r="A258" s="150">
        <v>46227.0</v>
      </c>
      <c r="B258" s="208" t="s">
        <v>2003</v>
      </c>
      <c r="C258" s="106" t="s">
        <v>8</v>
      </c>
      <c r="D258" s="106" t="s">
        <v>1601</v>
      </c>
      <c r="E258" s="127">
        <v>80.88</v>
      </c>
      <c r="F258" s="106">
        <v>1.0</v>
      </c>
      <c r="G258" s="107"/>
      <c r="H258" s="214"/>
    </row>
    <row r="259">
      <c r="A259" s="150">
        <v>46227.0</v>
      </c>
      <c r="B259" s="208" t="s">
        <v>2004</v>
      </c>
      <c r="C259" s="106" t="s">
        <v>8</v>
      </c>
      <c r="D259" s="106" t="s">
        <v>1601</v>
      </c>
      <c r="E259" s="127">
        <v>82.88</v>
      </c>
      <c r="F259" s="106">
        <v>1.0</v>
      </c>
      <c r="G259" s="107"/>
    </row>
    <row r="260">
      <c r="A260" s="150">
        <v>46227.0</v>
      </c>
      <c r="B260" s="197" t="s">
        <v>674</v>
      </c>
      <c r="C260" s="106" t="s">
        <v>8</v>
      </c>
      <c r="D260" s="106" t="s">
        <v>1601</v>
      </c>
      <c r="E260" s="127">
        <v>30.88</v>
      </c>
      <c r="F260" s="106">
        <v>1.0</v>
      </c>
      <c r="G260" s="107"/>
    </row>
    <row r="261">
      <c r="A261" s="150">
        <v>46227.0</v>
      </c>
      <c r="B261" s="197" t="s">
        <v>2006</v>
      </c>
      <c r="C261" s="106" t="s">
        <v>8</v>
      </c>
      <c r="D261" s="106" t="s">
        <v>1601</v>
      </c>
      <c r="E261" s="127">
        <v>40.88</v>
      </c>
      <c r="F261" s="106">
        <v>1.0</v>
      </c>
      <c r="G261" s="107"/>
    </row>
    <row r="262">
      <c r="A262" s="150">
        <v>46227.0</v>
      </c>
      <c r="B262" s="197" t="s">
        <v>2007</v>
      </c>
      <c r="C262" s="106" t="s">
        <v>8</v>
      </c>
      <c r="D262" s="106" t="s">
        <v>1601</v>
      </c>
      <c r="E262" s="127">
        <v>8.88</v>
      </c>
      <c r="F262" s="106">
        <v>1.0</v>
      </c>
      <c r="G262" s="107"/>
    </row>
    <row r="263">
      <c r="A263" s="150">
        <v>46232.0</v>
      </c>
      <c r="B263" s="224" t="s">
        <v>2008</v>
      </c>
      <c r="C263" s="106" t="s">
        <v>9</v>
      </c>
      <c r="D263" s="106" t="s">
        <v>1601</v>
      </c>
      <c r="E263" s="127">
        <v>13.88</v>
      </c>
      <c r="F263" s="106">
        <v>1.0</v>
      </c>
      <c r="G263" s="107"/>
    </row>
    <row r="264">
      <c r="A264" s="150">
        <v>46232.0</v>
      </c>
      <c r="B264" s="108" t="s">
        <v>2009</v>
      </c>
      <c r="C264" s="106" t="s">
        <v>9</v>
      </c>
      <c r="D264" s="106" t="s">
        <v>1601</v>
      </c>
      <c r="E264" s="127">
        <v>9.88</v>
      </c>
      <c r="F264" s="106">
        <v>1.0</v>
      </c>
      <c r="G264" s="107"/>
    </row>
    <row r="265">
      <c r="A265" s="150">
        <v>46232.0</v>
      </c>
      <c r="B265" s="225" t="s">
        <v>2010</v>
      </c>
      <c r="C265" s="106" t="s">
        <v>9</v>
      </c>
      <c r="D265" s="106" t="s">
        <v>1601</v>
      </c>
      <c r="E265" s="127">
        <v>9.88</v>
      </c>
      <c r="F265" s="106">
        <v>1.0</v>
      </c>
      <c r="G265" s="107"/>
    </row>
    <row r="266">
      <c r="A266" s="150">
        <v>46232.0</v>
      </c>
      <c r="B266" s="226" t="s">
        <v>2011</v>
      </c>
      <c r="C266" s="106" t="s">
        <v>9</v>
      </c>
      <c r="D266" s="106" t="s">
        <v>1601</v>
      </c>
      <c r="E266" s="127">
        <v>10.88</v>
      </c>
      <c r="F266" s="106">
        <v>1.0</v>
      </c>
      <c r="G266" s="107"/>
    </row>
    <row r="267">
      <c r="A267" s="150">
        <v>46232.0</v>
      </c>
      <c r="B267" s="226" t="s">
        <v>2012</v>
      </c>
      <c r="C267" s="106" t="s">
        <v>9</v>
      </c>
      <c r="D267" s="106" t="s">
        <v>1601</v>
      </c>
      <c r="E267" s="127">
        <v>40.88</v>
      </c>
      <c r="F267" s="106">
        <v>1.0</v>
      </c>
      <c r="G267" s="107"/>
    </row>
    <row r="268">
      <c r="A268" s="150">
        <v>46232.0</v>
      </c>
      <c r="B268" s="17" t="s">
        <v>641</v>
      </c>
      <c r="C268" s="106" t="s">
        <v>9</v>
      </c>
      <c r="D268" s="106" t="s">
        <v>1601</v>
      </c>
      <c r="E268" s="127">
        <v>15.88</v>
      </c>
      <c r="F268" s="106">
        <v>1.0</v>
      </c>
      <c r="G268" s="107"/>
    </row>
    <row r="269">
      <c r="A269" s="150">
        <v>46232.0</v>
      </c>
      <c r="B269" s="226" t="s">
        <v>2013</v>
      </c>
      <c r="C269" s="106" t="s">
        <v>9</v>
      </c>
      <c r="D269" s="106" t="s">
        <v>1601</v>
      </c>
      <c r="E269" s="127">
        <v>30.88</v>
      </c>
      <c r="F269" s="106">
        <v>2.0</v>
      </c>
      <c r="G269" s="107"/>
    </row>
    <row r="270">
      <c r="A270" s="150">
        <v>46232.0</v>
      </c>
      <c r="B270" s="17" t="s">
        <v>2014</v>
      </c>
      <c r="C270" s="106" t="s">
        <v>9</v>
      </c>
      <c r="D270" s="106" t="s">
        <v>1601</v>
      </c>
      <c r="E270" s="127">
        <v>18.88</v>
      </c>
      <c r="F270" s="106">
        <v>1.0</v>
      </c>
      <c r="G270" s="107"/>
    </row>
    <row r="271">
      <c r="A271" s="150">
        <v>46232.0</v>
      </c>
      <c r="B271" s="108" t="s">
        <v>2015</v>
      </c>
      <c r="C271" s="106" t="s">
        <v>9</v>
      </c>
      <c r="D271" s="106" t="s">
        <v>1601</v>
      </c>
      <c r="E271" s="127">
        <v>55.88</v>
      </c>
      <c r="F271" s="106">
        <v>1.0</v>
      </c>
      <c r="G271" s="104" t="s">
        <v>1143</v>
      </c>
    </row>
    <row r="272">
      <c r="A272" s="150">
        <v>46232.0</v>
      </c>
      <c r="B272" s="226" t="s">
        <v>2016</v>
      </c>
      <c r="C272" s="106" t="s">
        <v>9</v>
      </c>
      <c r="D272" s="106" t="s">
        <v>1601</v>
      </c>
      <c r="E272" s="127">
        <v>9.88</v>
      </c>
      <c r="F272" s="106">
        <v>2.0</v>
      </c>
      <c r="G272" s="107"/>
    </row>
    <row r="273">
      <c r="A273" s="150">
        <v>46232.0</v>
      </c>
      <c r="B273" s="226" t="s">
        <v>2017</v>
      </c>
      <c r="C273" s="106" t="s">
        <v>9</v>
      </c>
      <c r="D273" s="106" t="s">
        <v>1601</v>
      </c>
      <c r="E273" s="127">
        <v>25.88</v>
      </c>
      <c r="F273" s="106">
        <v>1.0</v>
      </c>
      <c r="G273" s="107"/>
    </row>
    <row r="274">
      <c r="A274" s="150">
        <v>46232.0</v>
      </c>
      <c r="B274" s="226" t="s">
        <v>2018</v>
      </c>
      <c r="C274" s="106" t="s">
        <v>9</v>
      </c>
      <c r="D274" s="106" t="s">
        <v>1601</v>
      </c>
      <c r="E274" s="127">
        <v>24.88</v>
      </c>
      <c r="F274" s="106">
        <v>1.0</v>
      </c>
      <c r="G274" s="107"/>
    </row>
    <row r="275">
      <c r="A275" s="150">
        <v>46232.0</v>
      </c>
      <c r="B275" s="226" t="s">
        <v>2019</v>
      </c>
      <c r="C275" s="106" t="s">
        <v>9</v>
      </c>
      <c r="D275" s="106" t="s">
        <v>1601</v>
      </c>
      <c r="E275" s="127">
        <v>13.88</v>
      </c>
      <c r="F275" s="106">
        <v>1.0</v>
      </c>
      <c r="G275" s="107"/>
    </row>
    <row r="276">
      <c r="A276" s="150">
        <v>46232.0</v>
      </c>
      <c r="B276" s="226" t="s">
        <v>2020</v>
      </c>
      <c r="C276" s="106" t="s">
        <v>9</v>
      </c>
      <c r="D276" s="106" t="s">
        <v>1601</v>
      </c>
      <c r="E276" s="127">
        <v>12.88</v>
      </c>
      <c r="F276" s="106">
        <v>1.0</v>
      </c>
      <c r="G276" s="107"/>
    </row>
    <row r="277">
      <c r="A277" s="150">
        <v>46232.0</v>
      </c>
      <c r="B277" s="29" t="s">
        <v>2021</v>
      </c>
      <c r="C277" s="106" t="s">
        <v>9</v>
      </c>
      <c r="D277" s="106" t="s">
        <v>1601</v>
      </c>
      <c r="E277" s="127">
        <v>14.88</v>
      </c>
      <c r="F277" s="106">
        <v>1.0</v>
      </c>
      <c r="G277" s="107"/>
    </row>
    <row r="278">
      <c r="A278" s="150">
        <v>46232.0</v>
      </c>
      <c r="B278" s="226" t="s">
        <v>2022</v>
      </c>
      <c r="C278" s="106" t="s">
        <v>9</v>
      </c>
      <c r="D278" s="106" t="s">
        <v>1601</v>
      </c>
      <c r="E278" s="127">
        <v>9.88</v>
      </c>
      <c r="F278" s="106">
        <v>1.0</v>
      </c>
      <c r="G278" s="107"/>
    </row>
    <row r="279">
      <c r="A279" s="150">
        <v>46232.0</v>
      </c>
      <c r="B279" s="17" t="s">
        <v>2024</v>
      </c>
      <c r="C279" s="106" t="s">
        <v>9</v>
      </c>
      <c r="D279" s="106" t="s">
        <v>1601</v>
      </c>
      <c r="E279" s="127">
        <v>30.88</v>
      </c>
      <c r="F279" s="106">
        <v>1.0</v>
      </c>
      <c r="G279" s="107"/>
    </row>
    <row r="280">
      <c r="A280" s="150">
        <v>46232.0</v>
      </c>
      <c r="B280" s="108" t="s">
        <v>1957</v>
      </c>
      <c r="C280" s="106" t="s">
        <v>9</v>
      </c>
      <c r="D280" s="106" t="s">
        <v>1601</v>
      </c>
      <c r="E280" s="127">
        <v>11.88</v>
      </c>
      <c r="F280" s="106">
        <v>1.0</v>
      </c>
      <c r="G280" s="107"/>
    </row>
    <row r="281">
      <c r="A281" s="150">
        <v>46232.0</v>
      </c>
      <c r="B281" s="226" t="s">
        <v>338</v>
      </c>
      <c r="C281" s="106" t="s">
        <v>9</v>
      </c>
      <c r="D281" s="106" t="s">
        <v>1601</v>
      </c>
      <c r="E281" s="127">
        <v>15.88</v>
      </c>
      <c r="F281" s="106">
        <v>1.0</v>
      </c>
      <c r="G281" s="107"/>
    </row>
    <row r="282">
      <c r="A282" s="150">
        <v>46232.0</v>
      </c>
      <c r="B282" s="226" t="s">
        <v>2025</v>
      </c>
      <c r="C282" s="106" t="s">
        <v>9</v>
      </c>
      <c r="D282" s="106" t="s">
        <v>1601</v>
      </c>
      <c r="E282" s="127">
        <v>60.88</v>
      </c>
      <c r="F282" s="106">
        <v>3.0</v>
      </c>
      <c r="G282" s="107"/>
    </row>
    <row r="283">
      <c r="A283" s="150">
        <v>46232.0</v>
      </c>
      <c r="B283" s="108" t="s">
        <v>2026</v>
      </c>
      <c r="C283" s="106" t="s">
        <v>9</v>
      </c>
      <c r="D283" s="106" t="s">
        <v>1601</v>
      </c>
      <c r="E283" s="127">
        <v>9.88</v>
      </c>
      <c r="F283" s="106">
        <v>1.0</v>
      </c>
      <c r="G283" s="107"/>
    </row>
    <row r="284">
      <c r="A284" s="150">
        <v>46233.0</v>
      </c>
      <c r="B284" s="108" t="s">
        <v>2027</v>
      </c>
      <c r="C284" s="106" t="s">
        <v>9</v>
      </c>
      <c r="D284" s="106" t="s">
        <v>1601</v>
      </c>
      <c r="E284" s="127">
        <v>25.88</v>
      </c>
      <c r="F284" s="106">
        <v>1.0</v>
      </c>
      <c r="G284" s="107"/>
    </row>
    <row r="285">
      <c r="A285" s="150">
        <v>46233.0</v>
      </c>
      <c r="B285" s="29" t="s">
        <v>2028</v>
      </c>
      <c r="C285" s="106" t="s">
        <v>9</v>
      </c>
      <c r="D285" s="106" t="s">
        <v>1601</v>
      </c>
      <c r="E285" s="127">
        <v>10.88</v>
      </c>
      <c r="F285" s="106">
        <v>1.0</v>
      </c>
      <c r="G285" s="107"/>
    </row>
    <row r="286">
      <c r="A286" s="150">
        <v>46233.0</v>
      </c>
      <c r="B286" s="108" t="s">
        <v>2029</v>
      </c>
      <c r="C286" s="106" t="s">
        <v>9</v>
      </c>
      <c r="D286" s="106" t="s">
        <v>1601</v>
      </c>
      <c r="E286" s="127">
        <v>47.88</v>
      </c>
      <c r="F286" s="106">
        <v>1.0</v>
      </c>
      <c r="G286" s="107"/>
    </row>
    <row r="287">
      <c r="A287" s="150">
        <v>46233.0</v>
      </c>
      <c r="B287" s="226" t="s">
        <v>2030</v>
      </c>
      <c r="C287" s="106" t="s">
        <v>9</v>
      </c>
      <c r="D287" s="106" t="s">
        <v>1601</v>
      </c>
      <c r="E287" s="127">
        <v>125.88</v>
      </c>
      <c r="F287" s="106">
        <v>2.0</v>
      </c>
      <c r="G287" s="107"/>
    </row>
    <row r="288">
      <c r="A288" s="150">
        <v>46233.0</v>
      </c>
      <c r="B288" s="226" t="s">
        <v>2031</v>
      </c>
      <c r="C288" s="106" t="s">
        <v>9</v>
      </c>
      <c r="D288" s="106" t="s">
        <v>1601</v>
      </c>
      <c r="E288" s="127">
        <v>70.88</v>
      </c>
      <c r="F288" s="106">
        <v>1.0</v>
      </c>
      <c r="G288" s="107"/>
    </row>
    <row r="289">
      <c r="A289" s="150">
        <v>46233.0</v>
      </c>
      <c r="B289" s="227">
        <v>1.2131000074899E13</v>
      </c>
      <c r="C289" s="106" t="s">
        <v>9</v>
      </c>
      <c r="D289" s="106" t="s">
        <v>1601</v>
      </c>
      <c r="E289" s="127">
        <v>16.88</v>
      </c>
      <c r="F289" s="106">
        <v>1.0</v>
      </c>
      <c r="G289" s="107"/>
    </row>
    <row r="290">
      <c r="A290" s="150">
        <v>46233.0</v>
      </c>
      <c r="B290" s="226" t="s">
        <v>2032</v>
      </c>
      <c r="C290" s="106" t="s">
        <v>9</v>
      </c>
      <c r="D290" s="106" t="s">
        <v>1601</v>
      </c>
      <c r="E290" s="127">
        <v>78.88</v>
      </c>
      <c r="F290" s="106">
        <v>1.0</v>
      </c>
      <c r="G290" s="107"/>
    </row>
    <row r="291">
      <c r="A291" s="150">
        <v>46233.0</v>
      </c>
      <c r="B291" s="226" t="s">
        <v>2033</v>
      </c>
      <c r="C291" s="106" t="s">
        <v>9</v>
      </c>
      <c r="D291" s="106" t="s">
        <v>1601</v>
      </c>
      <c r="E291" s="127">
        <v>230.88</v>
      </c>
      <c r="F291" s="106">
        <v>1.0</v>
      </c>
      <c r="G291" s="107"/>
    </row>
    <row r="292">
      <c r="A292" s="150">
        <v>46233.0</v>
      </c>
      <c r="B292" s="226" t="s">
        <v>2035</v>
      </c>
      <c r="C292" s="106" t="s">
        <v>9</v>
      </c>
      <c r="D292" s="106" t="s">
        <v>1601</v>
      </c>
      <c r="E292" s="127">
        <v>298.88</v>
      </c>
      <c r="F292" s="106">
        <v>1.0</v>
      </c>
      <c r="G292" s="107"/>
    </row>
    <row r="293">
      <c r="A293" s="150">
        <v>46233.0</v>
      </c>
      <c r="B293" s="226" t="s">
        <v>2036</v>
      </c>
      <c r="C293" s="106" t="s">
        <v>9</v>
      </c>
      <c r="D293" s="106" t="s">
        <v>1601</v>
      </c>
      <c r="E293" s="127">
        <v>340.88</v>
      </c>
      <c r="F293" s="106">
        <v>1.0</v>
      </c>
      <c r="G293" s="107"/>
    </row>
    <row r="294">
      <c r="A294" s="150">
        <v>46233.0</v>
      </c>
      <c r="B294" s="226" t="s">
        <v>1029</v>
      </c>
      <c r="C294" s="106" t="s">
        <v>9</v>
      </c>
      <c r="D294" s="106" t="s">
        <v>1601</v>
      </c>
      <c r="E294" s="127">
        <v>140.88</v>
      </c>
      <c r="F294" s="106">
        <v>1.0</v>
      </c>
      <c r="G294" s="107"/>
    </row>
    <row r="295">
      <c r="A295" s="150">
        <v>46233.0</v>
      </c>
      <c r="B295" s="226" t="s">
        <v>2037</v>
      </c>
      <c r="C295" s="106" t="s">
        <v>9</v>
      </c>
      <c r="D295" s="106" t="s">
        <v>1601</v>
      </c>
      <c r="E295" s="127">
        <v>30.88</v>
      </c>
      <c r="F295" s="106">
        <v>1.0</v>
      </c>
      <c r="G295" s="107"/>
    </row>
    <row r="296">
      <c r="A296" s="150">
        <v>46233.0</v>
      </c>
      <c r="B296" s="226" t="s">
        <v>2039</v>
      </c>
      <c r="C296" s="106" t="s">
        <v>9</v>
      </c>
      <c r="D296" s="106" t="s">
        <v>1601</v>
      </c>
      <c r="E296" s="127">
        <v>80.88</v>
      </c>
      <c r="F296" s="106">
        <v>2.0</v>
      </c>
      <c r="G296" s="107"/>
    </row>
    <row r="297">
      <c r="A297" s="150">
        <v>46233.0</v>
      </c>
      <c r="B297" s="226" t="s">
        <v>2040</v>
      </c>
      <c r="C297" s="106" t="s">
        <v>9</v>
      </c>
      <c r="D297" s="106" t="s">
        <v>1601</v>
      </c>
      <c r="E297" s="127">
        <v>125.88</v>
      </c>
      <c r="F297" s="106">
        <v>1.0</v>
      </c>
      <c r="G297" s="107"/>
    </row>
    <row r="298" ht="16.5" customHeight="1">
      <c r="A298" s="150">
        <v>46233.0</v>
      </c>
      <c r="B298" s="226" t="s">
        <v>2041</v>
      </c>
      <c r="C298" s="106" t="s">
        <v>9</v>
      </c>
      <c r="D298" s="106" t="s">
        <v>1601</v>
      </c>
      <c r="E298" s="127">
        <v>25.88</v>
      </c>
      <c r="F298" s="106">
        <v>1.0</v>
      </c>
      <c r="G298" s="107"/>
      <c r="H298" s="214"/>
    </row>
    <row r="299">
      <c r="A299" s="150">
        <v>46233.0</v>
      </c>
      <c r="B299" s="226" t="s">
        <v>2042</v>
      </c>
      <c r="C299" s="106" t="s">
        <v>9</v>
      </c>
      <c r="D299" s="106" t="s">
        <v>1601</v>
      </c>
      <c r="E299" s="127">
        <v>22.88</v>
      </c>
      <c r="F299" s="106">
        <v>1.0</v>
      </c>
      <c r="G299" s="107"/>
    </row>
    <row r="300">
      <c r="A300" s="150">
        <v>46233.0</v>
      </c>
      <c r="B300" s="226" t="s">
        <v>2043</v>
      </c>
      <c r="C300" s="106" t="s">
        <v>9</v>
      </c>
      <c r="D300" s="106" t="s">
        <v>1601</v>
      </c>
      <c r="E300" s="127">
        <v>95.88</v>
      </c>
      <c r="F300" s="106">
        <v>1.0</v>
      </c>
      <c r="G300" s="107"/>
    </row>
    <row r="301">
      <c r="A301" s="150">
        <v>46233.0</v>
      </c>
      <c r="B301" s="226" t="s">
        <v>2044</v>
      </c>
      <c r="C301" s="106" t="s">
        <v>9</v>
      </c>
      <c r="D301" s="106" t="s">
        <v>1601</v>
      </c>
      <c r="E301" s="127">
        <v>130.88</v>
      </c>
      <c r="F301" s="106">
        <v>2.0</v>
      </c>
      <c r="G301" s="107"/>
    </row>
    <row r="302">
      <c r="A302" s="150">
        <v>46233.0</v>
      </c>
      <c r="B302" s="226" t="s">
        <v>2045</v>
      </c>
      <c r="C302" s="106" t="s">
        <v>9</v>
      </c>
      <c r="D302" s="106" t="s">
        <v>1601</v>
      </c>
      <c r="E302" s="127">
        <v>27.88</v>
      </c>
      <c r="F302" s="106">
        <v>1.0</v>
      </c>
      <c r="G302" s="107"/>
    </row>
    <row r="303">
      <c r="A303" s="150">
        <v>46234.0</v>
      </c>
      <c r="B303" s="226" t="s">
        <v>2046</v>
      </c>
      <c r="C303" s="106" t="s">
        <v>9</v>
      </c>
      <c r="D303" s="106" t="s">
        <v>1601</v>
      </c>
      <c r="E303" s="127">
        <v>120.88</v>
      </c>
      <c r="F303" s="106">
        <v>1.0</v>
      </c>
      <c r="G303" s="107"/>
    </row>
    <row r="304">
      <c r="A304" s="150">
        <v>46234.0</v>
      </c>
      <c r="B304" s="226" t="s">
        <v>2047</v>
      </c>
      <c r="C304" s="106" t="s">
        <v>9</v>
      </c>
      <c r="D304" s="106" t="s">
        <v>1601</v>
      </c>
      <c r="E304" s="127">
        <v>36.88</v>
      </c>
      <c r="F304" s="106">
        <v>3.0</v>
      </c>
      <c r="G304" s="107"/>
    </row>
    <row r="305">
      <c r="A305" s="150">
        <v>46234.0</v>
      </c>
      <c r="B305" s="226" t="s">
        <v>2048</v>
      </c>
      <c r="C305" s="106" t="s">
        <v>9</v>
      </c>
      <c r="D305" s="106" t="s">
        <v>1601</v>
      </c>
      <c r="E305" s="127">
        <v>175.88</v>
      </c>
      <c r="F305" s="106">
        <v>1.0</v>
      </c>
      <c r="G305" s="107"/>
    </row>
    <row r="306">
      <c r="A306" s="150">
        <v>46234.0</v>
      </c>
      <c r="B306" s="226" t="s">
        <v>2050</v>
      </c>
      <c r="C306" s="106" t="s">
        <v>9</v>
      </c>
      <c r="D306" s="106" t="s">
        <v>1601</v>
      </c>
      <c r="E306" s="127">
        <v>150.88</v>
      </c>
      <c r="F306" s="106">
        <v>1.0</v>
      </c>
      <c r="G306" s="107"/>
    </row>
    <row r="307">
      <c r="A307" s="228">
        <v>46234.0</v>
      </c>
      <c r="B307" s="229" t="s">
        <v>2051</v>
      </c>
      <c r="C307" s="230" t="s">
        <v>9</v>
      </c>
      <c r="D307" s="230" t="s">
        <v>1601</v>
      </c>
      <c r="E307" s="231">
        <v>150.88</v>
      </c>
      <c r="F307" s="232">
        <v>1.0</v>
      </c>
      <c r="G307" s="107"/>
    </row>
    <row r="308">
      <c r="A308" s="150">
        <v>46234.0</v>
      </c>
      <c r="B308" s="226" t="s">
        <v>2052</v>
      </c>
      <c r="C308" s="106" t="s">
        <v>9</v>
      </c>
      <c r="D308" s="106" t="s">
        <v>1601</v>
      </c>
      <c r="E308" s="127">
        <v>150.88</v>
      </c>
      <c r="F308" s="106">
        <v>1.0</v>
      </c>
      <c r="G308" s="107"/>
    </row>
    <row r="309">
      <c r="A309" s="150">
        <v>46234.0</v>
      </c>
      <c r="B309" s="226" t="s">
        <v>2054</v>
      </c>
      <c r="C309" s="106" t="s">
        <v>9</v>
      </c>
      <c r="D309" s="106" t="s">
        <v>1601</v>
      </c>
      <c r="E309" s="127">
        <v>60.88</v>
      </c>
      <c r="F309" s="106">
        <v>1.0</v>
      </c>
      <c r="G309" s="107"/>
    </row>
    <row r="310">
      <c r="A310" s="150">
        <v>46234.0</v>
      </c>
      <c r="B310" s="226" t="s">
        <v>2055</v>
      </c>
      <c r="C310" s="106" t="s">
        <v>9</v>
      </c>
      <c r="D310" s="106" t="s">
        <v>1601</v>
      </c>
      <c r="E310" s="127">
        <v>145.88</v>
      </c>
      <c r="F310" s="106">
        <v>1.0</v>
      </c>
      <c r="G310" s="107"/>
    </row>
    <row r="311">
      <c r="A311" s="150">
        <v>46234.0</v>
      </c>
      <c r="B311" s="226" t="s">
        <v>2056</v>
      </c>
      <c r="C311" s="106" t="s">
        <v>9</v>
      </c>
      <c r="D311" s="106" t="s">
        <v>1601</v>
      </c>
      <c r="E311" s="127">
        <v>100.88</v>
      </c>
      <c r="F311" s="106">
        <v>1.0</v>
      </c>
      <c r="G311" s="107"/>
    </row>
    <row r="312">
      <c r="A312" s="150">
        <v>46234.0</v>
      </c>
      <c r="B312" s="226" t="s">
        <v>2057</v>
      </c>
      <c r="C312" s="106" t="s">
        <v>9</v>
      </c>
      <c r="D312" s="106" t="s">
        <v>1601</v>
      </c>
      <c r="E312" s="127">
        <v>85.88</v>
      </c>
      <c r="F312" s="106">
        <v>1.0</v>
      </c>
      <c r="G312" s="107"/>
    </row>
    <row r="313">
      <c r="A313" s="150">
        <v>46234.0</v>
      </c>
      <c r="B313" s="226" t="s">
        <v>2058</v>
      </c>
      <c r="C313" s="106" t="s">
        <v>9</v>
      </c>
      <c r="D313" s="106" t="s">
        <v>1601</v>
      </c>
      <c r="E313" s="127">
        <v>90.88</v>
      </c>
      <c r="F313" s="106">
        <v>1.0</v>
      </c>
      <c r="G313" s="107"/>
    </row>
    <row r="314">
      <c r="A314" s="150">
        <v>46234.0</v>
      </c>
      <c r="B314" s="226" t="s">
        <v>2060</v>
      </c>
      <c r="C314" s="106" t="s">
        <v>9</v>
      </c>
      <c r="D314" s="106" t="s">
        <v>1601</v>
      </c>
      <c r="E314" s="127">
        <v>90.88</v>
      </c>
      <c r="F314" s="106">
        <v>1.0</v>
      </c>
      <c r="G314" s="107"/>
    </row>
    <row r="315">
      <c r="A315" s="150">
        <v>46234.0</v>
      </c>
      <c r="B315" s="226" t="s">
        <v>2061</v>
      </c>
      <c r="C315" s="106" t="s">
        <v>9</v>
      </c>
      <c r="D315" s="106" t="s">
        <v>1601</v>
      </c>
      <c r="E315" s="127">
        <v>50.88</v>
      </c>
      <c r="F315" s="106">
        <v>1.0</v>
      </c>
      <c r="G315" s="107"/>
    </row>
    <row r="316" ht="15.0" customHeight="1">
      <c r="A316" s="150">
        <v>46234.0</v>
      </c>
      <c r="B316" s="226" t="s">
        <v>2062</v>
      </c>
      <c r="C316" s="106" t="s">
        <v>9</v>
      </c>
      <c r="D316" s="106" t="s">
        <v>1601</v>
      </c>
      <c r="E316" s="127">
        <v>28.88</v>
      </c>
      <c r="F316" s="106">
        <v>1.0</v>
      </c>
      <c r="G316" s="107"/>
      <c r="H316" s="214"/>
    </row>
    <row r="317">
      <c r="A317" s="150">
        <v>46234.0</v>
      </c>
      <c r="B317" s="226" t="s">
        <v>2064</v>
      </c>
      <c r="C317" s="106" t="s">
        <v>9</v>
      </c>
      <c r="D317" s="106" t="s">
        <v>1601</v>
      </c>
      <c r="E317" s="127">
        <v>24.88</v>
      </c>
      <c r="F317" s="106">
        <v>1.0</v>
      </c>
      <c r="G317" s="107"/>
    </row>
    <row r="318">
      <c r="A318" s="150">
        <v>46234.0</v>
      </c>
      <c r="B318" s="226" t="s">
        <v>2065</v>
      </c>
      <c r="C318" s="106" t="s">
        <v>9</v>
      </c>
      <c r="D318" s="106" t="s">
        <v>1601</v>
      </c>
      <c r="E318" s="127">
        <v>110.88</v>
      </c>
      <c r="F318" s="106">
        <v>1.0</v>
      </c>
      <c r="G318" s="107"/>
    </row>
    <row r="319">
      <c r="A319" s="150">
        <v>46234.0</v>
      </c>
      <c r="B319" s="226" t="s">
        <v>2066</v>
      </c>
      <c r="C319" s="106" t="s">
        <v>9</v>
      </c>
      <c r="D319" s="106" t="s">
        <v>1601</v>
      </c>
      <c r="E319" s="127">
        <v>150.88</v>
      </c>
      <c r="F319" s="106">
        <v>1.0</v>
      </c>
      <c r="G319" s="107"/>
    </row>
    <row r="320">
      <c r="A320" s="150">
        <v>46234.0</v>
      </c>
      <c r="B320" s="226" t="s">
        <v>2067</v>
      </c>
      <c r="C320" s="106" t="s">
        <v>9</v>
      </c>
      <c r="D320" s="106" t="s">
        <v>1601</v>
      </c>
      <c r="E320" s="127">
        <v>245.88</v>
      </c>
      <c r="F320" s="106">
        <v>1.0</v>
      </c>
      <c r="G320" s="107"/>
    </row>
    <row r="321">
      <c r="A321" s="150">
        <v>46234.0</v>
      </c>
      <c r="B321" s="226" t="s">
        <v>2068</v>
      </c>
      <c r="C321" s="106" t="s">
        <v>9</v>
      </c>
      <c r="D321" s="106" t="s">
        <v>1601</v>
      </c>
      <c r="E321" s="127">
        <v>125.88</v>
      </c>
      <c r="F321" s="106">
        <v>1.0</v>
      </c>
      <c r="G321" s="107"/>
    </row>
    <row r="322">
      <c r="A322" s="150">
        <v>46234.0</v>
      </c>
      <c r="B322" s="226" t="s">
        <v>2069</v>
      </c>
      <c r="C322" s="106" t="s">
        <v>9</v>
      </c>
      <c r="D322" s="106" t="s">
        <v>1601</v>
      </c>
      <c r="E322" s="127">
        <v>78.88</v>
      </c>
      <c r="F322" s="106">
        <v>1.0</v>
      </c>
      <c r="G322" s="107"/>
    </row>
    <row r="323">
      <c r="A323" s="150">
        <v>46234.0</v>
      </c>
      <c r="B323" s="226" t="s">
        <v>2070</v>
      </c>
      <c r="C323" s="106" t="s">
        <v>9</v>
      </c>
      <c r="D323" s="106" t="s">
        <v>1601</v>
      </c>
      <c r="E323" s="127">
        <v>85.88</v>
      </c>
      <c r="F323" s="106">
        <v>1.0</v>
      </c>
      <c r="G323" s="107"/>
    </row>
    <row r="324">
      <c r="A324" s="150">
        <v>46234.0</v>
      </c>
      <c r="B324" s="226" t="s">
        <v>2072</v>
      </c>
      <c r="C324" s="106" t="s">
        <v>9</v>
      </c>
      <c r="D324" s="106" t="s">
        <v>1601</v>
      </c>
      <c r="E324" s="127">
        <v>110.88</v>
      </c>
      <c r="F324" s="106">
        <v>1.0</v>
      </c>
      <c r="G324" s="107"/>
    </row>
    <row r="325">
      <c r="A325" s="150">
        <v>46234.0</v>
      </c>
      <c r="B325" s="226" t="s">
        <v>2073</v>
      </c>
      <c r="C325" s="106" t="s">
        <v>9</v>
      </c>
      <c r="D325" s="106" t="s">
        <v>1601</v>
      </c>
      <c r="E325" s="127">
        <v>60.88</v>
      </c>
      <c r="F325" s="106">
        <v>1.0</v>
      </c>
      <c r="G325" s="107"/>
    </row>
    <row r="326">
      <c r="A326" s="150">
        <v>46237.0</v>
      </c>
      <c r="B326" s="226" t="s">
        <v>2074</v>
      </c>
      <c r="C326" s="106" t="s">
        <v>9</v>
      </c>
      <c r="D326" s="106" t="s">
        <v>1601</v>
      </c>
      <c r="E326" s="127">
        <v>98.88</v>
      </c>
      <c r="F326" s="106">
        <v>1.0</v>
      </c>
      <c r="G326" s="107"/>
    </row>
    <row r="327">
      <c r="A327" s="150">
        <v>46237.0</v>
      </c>
      <c r="B327" s="226" t="s">
        <v>2075</v>
      </c>
      <c r="C327" s="106" t="s">
        <v>9</v>
      </c>
      <c r="D327" s="106" t="s">
        <v>1601</v>
      </c>
      <c r="E327" s="127">
        <v>44.88</v>
      </c>
      <c r="F327" s="106">
        <v>1.0</v>
      </c>
      <c r="G327" s="107"/>
    </row>
    <row r="328">
      <c r="A328" s="150">
        <v>46237.0</v>
      </c>
      <c r="B328" s="226" t="s">
        <v>2076</v>
      </c>
      <c r="C328" s="106" t="s">
        <v>9</v>
      </c>
      <c r="D328" s="106" t="s">
        <v>1601</v>
      </c>
      <c r="E328" s="127">
        <v>54.88</v>
      </c>
      <c r="F328" s="106">
        <v>1.0</v>
      </c>
      <c r="G328" s="107"/>
    </row>
    <row r="329">
      <c r="A329" s="150">
        <v>46237.0</v>
      </c>
      <c r="B329" s="226" t="s">
        <v>2077</v>
      </c>
      <c r="C329" s="106" t="s">
        <v>9</v>
      </c>
      <c r="D329" s="106" t="s">
        <v>1601</v>
      </c>
      <c r="E329" s="127">
        <v>37.88</v>
      </c>
      <c r="F329" s="106">
        <v>1.0</v>
      </c>
      <c r="G329" s="107"/>
    </row>
    <row r="330">
      <c r="A330" s="150">
        <v>46237.0</v>
      </c>
      <c r="B330" s="226" t="s">
        <v>2078</v>
      </c>
      <c r="C330" s="106" t="s">
        <v>9</v>
      </c>
      <c r="D330" s="106" t="s">
        <v>1601</v>
      </c>
      <c r="E330" s="127">
        <v>64.88</v>
      </c>
      <c r="F330" s="106">
        <v>1.0</v>
      </c>
      <c r="G330" s="107"/>
    </row>
    <row r="331">
      <c r="A331" s="150">
        <v>46237.0</v>
      </c>
      <c r="B331" s="226" t="s">
        <v>2079</v>
      </c>
      <c r="C331" s="106" t="s">
        <v>9</v>
      </c>
      <c r="D331" s="106" t="s">
        <v>1601</v>
      </c>
      <c r="E331" s="127">
        <v>98.88</v>
      </c>
      <c r="F331" s="106">
        <v>1.0</v>
      </c>
      <c r="G331" s="107"/>
    </row>
    <row r="332">
      <c r="A332" s="150">
        <v>46237.0</v>
      </c>
      <c r="B332" s="226" t="s">
        <v>2080</v>
      </c>
      <c r="C332" s="106" t="s">
        <v>9</v>
      </c>
      <c r="D332" s="106" t="s">
        <v>1601</v>
      </c>
      <c r="E332" s="127">
        <v>28.88</v>
      </c>
      <c r="F332" s="106">
        <v>1.0</v>
      </c>
      <c r="G332" s="107"/>
    </row>
    <row r="333">
      <c r="A333" s="150">
        <v>46237.0</v>
      </c>
      <c r="B333" s="226" t="s">
        <v>1665</v>
      </c>
      <c r="C333" s="106" t="s">
        <v>9</v>
      </c>
      <c r="D333" s="106" t="s">
        <v>1601</v>
      </c>
      <c r="E333" s="127">
        <v>30.88</v>
      </c>
      <c r="F333" s="106">
        <v>1.0</v>
      </c>
      <c r="G333" s="107"/>
    </row>
    <row r="334">
      <c r="A334" s="150">
        <v>46237.0</v>
      </c>
      <c r="B334" s="226" t="s">
        <v>2082</v>
      </c>
      <c r="C334" s="106" t="s">
        <v>9</v>
      </c>
      <c r="D334" s="106" t="s">
        <v>1601</v>
      </c>
      <c r="E334" s="127">
        <v>54.88</v>
      </c>
      <c r="F334" s="106">
        <v>1.0</v>
      </c>
      <c r="G334" s="107"/>
    </row>
    <row r="335">
      <c r="A335" s="150">
        <v>46237.0</v>
      </c>
      <c r="B335" s="226" t="s">
        <v>730</v>
      </c>
      <c r="C335" s="106" t="s">
        <v>9</v>
      </c>
      <c r="D335" s="106" t="s">
        <v>1601</v>
      </c>
      <c r="E335" s="127">
        <v>28.88</v>
      </c>
      <c r="F335" s="106">
        <v>1.0</v>
      </c>
      <c r="G335" s="107"/>
    </row>
    <row r="336">
      <c r="A336" s="150">
        <v>46237.0</v>
      </c>
      <c r="B336" s="226" t="s">
        <v>900</v>
      </c>
      <c r="C336" s="106" t="s">
        <v>9</v>
      </c>
      <c r="D336" s="106" t="s">
        <v>1601</v>
      </c>
      <c r="E336" s="127">
        <v>18.88</v>
      </c>
      <c r="F336" s="106">
        <v>1.0</v>
      </c>
      <c r="G336" s="107"/>
    </row>
    <row r="337">
      <c r="A337" s="150">
        <v>46237.0</v>
      </c>
      <c r="B337" s="226" t="s">
        <v>728</v>
      </c>
      <c r="C337" s="106" t="s">
        <v>9</v>
      </c>
      <c r="D337" s="106" t="s">
        <v>1601</v>
      </c>
      <c r="E337" s="127">
        <v>28.88</v>
      </c>
      <c r="F337" s="106">
        <v>1.0</v>
      </c>
      <c r="G337" s="107"/>
    </row>
    <row r="338" ht="15.0" customHeight="1">
      <c r="A338" s="150">
        <v>46237.0</v>
      </c>
      <c r="B338" s="226" t="s">
        <v>2083</v>
      </c>
      <c r="C338" s="106" t="s">
        <v>9</v>
      </c>
      <c r="D338" s="106" t="s">
        <v>1601</v>
      </c>
      <c r="E338" s="127">
        <v>78.88</v>
      </c>
      <c r="F338" s="106">
        <v>1.0</v>
      </c>
      <c r="G338" s="107"/>
      <c r="H338" s="214"/>
    </row>
    <row r="339">
      <c r="A339" s="150">
        <v>46237.0</v>
      </c>
      <c r="B339" s="226" t="s">
        <v>2084</v>
      </c>
      <c r="C339" s="106" t="s">
        <v>9</v>
      </c>
      <c r="D339" s="106" t="s">
        <v>1601</v>
      </c>
      <c r="E339" s="127">
        <v>54.88</v>
      </c>
      <c r="F339" s="106">
        <v>2.0</v>
      </c>
      <c r="G339" s="107"/>
    </row>
    <row r="340">
      <c r="A340" s="150">
        <v>46237.0</v>
      </c>
      <c r="B340" s="226" t="s">
        <v>2085</v>
      </c>
      <c r="C340" s="106" t="s">
        <v>9</v>
      </c>
      <c r="D340" s="106" t="s">
        <v>1601</v>
      </c>
      <c r="E340" s="127">
        <v>78.88</v>
      </c>
      <c r="F340" s="106">
        <v>1.0</v>
      </c>
      <c r="G340" s="107"/>
    </row>
    <row r="341">
      <c r="A341" s="150">
        <v>46237.0</v>
      </c>
      <c r="B341" s="226" t="s">
        <v>2086</v>
      </c>
      <c r="C341" s="106" t="s">
        <v>9</v>
      </c>
      <c r="D341" s="106" t="s">
        <v>1601</v>
      </c>
      <c r="E341" s="127">
        <v>8.88</v>
      </c>
      <c r="F341" s="106">
        <v>1.0</v>
      </c>
      <c r="G341" s="107"/>
    </row>
    <row r="342">
      <c r="A342" s="150">
        <v>46239.0</v>
      </c>
      <c r="B342" s="226" t="s">
        <v>2087</v>
      </c>
      <c r="C342" s="106" t="s">
        <v>9</v>
      </c>
      <c r="D342" s="106" t="s">
        <v>1601</v>
      </c>
      <c r="E342" s="127">
        <v>22.88</v>
      </c>
      <c r="F342" s="106">
        <v>1.0</v>
      </c>
      <c r="G342" s="107"/>
    </row>
    <row r="343">
      <c r="A343" s="150">
        <v>46239.0</v>
      </c>
      <c r="B343" s="226" t="s">
        <v>724</v>
      </c>
      <c r="C343" s="106" t="s">
        <v>9</v>
      </c>
      <c r="D343" s="106" t="s">
        <v>1601</v>
      </c>
      <c r="E343" s="127">
        <v>36.88</v>
      </c>
      <c r="F343" s="106">
        <v>1.0</v>
      </c>
      <c r="G343" s="107"/>
    </row>
    <row r="344">
      <c r="A344" s="150">
        <v>46239.0</v>
      </c>
      <c r="B344" s="226" t="s">
        <v>1461</v>
      </c>
      <c r="C344" s="106" t="s">
        <v>9</v>
      </c>
      <c r="D344" s="106" t="s">
        <v>1601</v>
      </c>
      <c r="E344" s="127">
        <v>30.88</v>
      </c>
      <c r="F344" s="106">
        <v>3.0</v>
      </c>
      <c r="G344" s="107"/>
    </row>
    <row r="345">
      <c r="A345" s="150">
        <v>46239.0</v>
      </c>
      <c r="B345" s="226" t="s">
        <v>2088</v>
      </c>
      <c r="C345" s="106" t="s">
        <v>9</v>
      </c>
      <c r="D345" s="106" t="s">
        <v>1601</v>
      </c>
      <c r="E345" s="127">
        <v>30.88</v>
      </c>
      <c r="F345" s="106">
        <v>1.0</v>
      </c>
      <c r="G345" s="107"/>
    </row>
    <row r="346">
      <c r="A346" s="150">
        <v>46239.0</v>
      </c>
      <c r="B346" s="226" t="s">
        <v>14</v>
      </c>
      <c r="C346" s="106" t="s">
        <v>9</v>
      </c>
      <c r="D346" s="106" t="s">
        <v>1601</v>
      </c>
      <c r="E346" s="127">
        <v>46.88</v>
      </c>
      <c r="F346" s="106">
        <v>1.0</v>
      </c>
      <c r="G346" s="107"/>
    </row>
    <row r="347">
      <c r="A347" s="150">
        <v>46239.0</v>
      </c>
      <c r="B347" s="226" t="s">
        <v>2089</v>
      </c>
      <c r="C347" s="106" t="s">
        <v>9</v>
      </c>
      <c r="D347" s="106" t="s">
        <v>1601</v>
      </c>
      <c r="E347" s="127">
        <v>36.88</v>
      </c>
      <c r="F347" s="106">
        <v>1.0</v>
      </c>
      <c r="G347" s="107"/>
    </row>
    <row r="348">
      <c r="A348" s="233">
        <v>46239.0</v>
      </c>
      <c r="B348" s="226" t="s">
        <v>428</v>
      </c>
      <c r="C348" s="144" t="s">
        <v>9</v>
      </c>
      <c r="D348" s="144" t="s">
        <v>1601</v>
      </c>
      <c r="E348" s="204">
        <v>44.88</v>
      </c>
      <c r="F348" s="144">
        <v>1.0</v>
      </c>
      <c r="G348" s="107"/>
    </row>
    <row r="349">
      <c r="A349" s="150">
        <v>46239.0</v>
      </c>
      <c r="B349" s="226" t="s">
        <v>2090</v>
      </c>
      <c r="C349" s="106" t="s">
        <v>9</v>
      </c>
      <c r="D349" s="106" t="s">
        <v>1601</v>
      </c>
      <c r="E349" s="127">
        <v>11.88</v>
      </c>
      <c r="F349" s="106">
        <v>1.0</v>
      </c>
      <c r="G349" s="107"/>
    </row>
    <row r="350">
      <c r="A350" s="150">
        <v>46239.0</v>
      </c>
      <c r="B350" s="226" t="s">
        <v>2091</v>
      </c>
      <c r="C350" s="106" t="s">
        <v>9</v>
      </c>
      <c r="D350" s="106" t="s">
        <v>1601</v>
      </c>
      <c r="E350" s="127">
        <v>90.88</v>
      </c>
      <c r="F350" s="106">
        <v>1.0</v>
      </c>
      <c r="G350" s="107"/>
    </row>
    <row r="351">
      <c r="A351" s="150">
        <v>46239.0</v>
      </c>
      <c r="B351" s="226" t="s">
        <v>2092</v>
      </c>
      <c r="C351" s="106" t="s">
        <v>9</v>
      </c>
      <c r="D351" s="106" t="s">
        <v>1601</v>
      </c>
      <c r="E351" s="127">
        <v>80.88</v>
      </c>
      <c r="F351" s="106">
        <v>1.0</v>
      </c>
      <c r="G351" s="107"/>
    </row>
    <row r="352" ht="16.5" customHeight="1">
      <c r="A352" s="150">
        <v>46239.0</v>
      </c>
      <c r="B352" s="226" t="s">
        <v>2093</v>
      </c>
      <c r="C352" s="106" t="s">
        <v>9</v>
      </c>
      <c r="D352" s="106" t="s">
        <v>1601</v>
      </c>
      <c r="E352" s="127">
        <v>130.88</v>
      </c>
      <c r="F352" s="106">
        <v>1.0</v>
      </c>
      <c r="G352" s="107"/>
      <c r="H352" s="214"/>
    </row>
    <row r="353">
      <c r="A353" s="150">
        <v>46239.0</v>
      </c>
      <c r="B353" s="226" t="s">
        <v>2094</v>
      </c>
      <c r="C353" s="106" t="s">
        <v>9</v>
      </c>
      <c r="D353" s="106" t="s">
        <v>1601</v>
      </c>
      <c r="E353" s="127">
        <v>240.88</v>
      </c>
      <c r="F353" s="106">
        <v>1.0</v>
      </c>
      <c r="G353" s="107"/>
    </row>
    <row r="354">
      <c r="A354" s="150">
        <v>46239.0</v>
      </c>
      <c r="B354" s="226" t="s">
        <v>960</v>
      </c>
      <c r="C354" s="106" t="s">
        <v>9</v>
      </c>
      <c r="D354" s="106" t="s">
        <v>1601</v>
      </c>
      <c r="E354" s="127">
        <v>42.88</v>
      </c>
      <c r="F354" s="106">
        <v>1.0</v>
      </c>
      <c r="G354" s="107"/>
    </row>
    <row r="355">
      <c r="A355" s="150">
        <v>46239.0</v>
      </c>
      <c r="B355" s="226" t="s">
        <v>2095</v>
      </c>
      <c r="C355" s="106" t="s">
        <v>9</v>
      </c>
      <c r="D355" s="106" t="s">
        <v>1601</v>
      </c>
      <c r="E355" s="127">
        <v>40.88</v>
      </c>
      <c r="F355" s="106">
        <v>2.0</v>
      </c>
      <c r="G355" s="107"/>
    </row>
    <row r="356">
      <c r="A356" s="150">
        <v>46239.0</v>
      </c>
      <c r="B356" s="226" t="s">
        <v>2096</v>
      </c>
      <c r="C356" s="106" t="s">
        <v>9</v>
      </c>
      <c r="D356" s="106" t="s">
        <v>1601</v>
      </c>
      <c r="E356" s="127">
        <v>90.88</v>
      </c>
      <c r="F356" s="106">
        <v>1.0</v>
      </c>
      <c r="G356" s="107"/>
    </row>
    <row r="357">
      <c r="A357" s="150">
        <v>46239.0</v>
      </c>
      <c r="B357" s="226" t="s">
        <v>2098</v>
      </c>
      <c r="C357" s="106" t="s">
        <v>9</v>
      </c>
      <c r="D357" s="106" t="s">
        <v>1601</v>
      </c>
      <c r="E357" s="127">
        <v>25.88</v>
      </c>
      <c r="F357" s="106">
        <v>1.0</v>
      </c>
      <c r="G357" s="107"/>
    </row>
    <row r="358">
      <c r="A358" s="150">
        <v>46239.0</v>
      </c>
      <c r="B358" s="226" t="s">
        <v>2099</v>
      </c>
      <c r="C358" s="106" t="s">
        <v>9</v>
      </c>
      <c r="D358" s="106" t="s">
        <v>1601</v>
      </c>
      <c r="E358" s="127">
        <v>130.88</v>
      </c>
      <c r="F358" s="106">
        <v>2.0</v>
      </c>
      <c r="G358" s="107"/>
    </row>
    <row r="359">
      <c r="A359" s="150">
        <v>46239.0</v>
      </c>
      <c r="B359" s="226" t="s">
        <v>2101</v>
      </c>
      <c r="C359" s="106" t="s">
        <v>9</v>
      </c>
      <c r="D359" s="106" t="s">
        <v>1601</v>
      </c>
      <c r="E359" s="127">
        <v>240.88</v>
      </c>
      <c r="F359" s="106">
        <v>1.0</v>
      </c>
      <c r="G359" s="107"/>
    </row>
    <row r="360">
      <c r="A360" s="150">
        <v>46239.0</v>
      </c>
      <c r="B360" s="226" t="s">
        <v>2103</v>
      </c>
      <c r="C360" s="106" t="s">
        <v>9</v>
      </c>
      <c r="D360" s="106" t="s">
        <v>1601</v>
      </c>
      <c r="E360" s="127">
        <v>110.88</v>
      </c>
      <c r="F360" s="106">
        <v>2.0</v>
      </c>
      <c r="G360" s="107"/>
    </row>
    <row r="361">
      <c r="A361" s="150">
        <v>46239.0</v>
      </c>
      <c r="B361" s="226" t="s">
        <v>2104</v>
      </c>
      <c r="C361" s="106" t="s">
        <v>9</v>
      </c>
      <c r="D361" s="106" t="s">
        <v>1601</v>
      </c>
      <c r="E361" s="127">
        <v>100.88</v>
      </c>
      <c r="F361" s="106">
        <v>1.0</v>
      </c>
      <c r="G361" s="107"/>
    </row>
    <row r="362">
      <c r="A362" s="150">
        <v>46239.0</v>
      </c>
      <c r="B362" s="226" t="s">
        <v>2105</v>
      </c>
      <c r="C362" s="106" t="s">
        <v>9</v>
      </c>
      <c r="D362" s="106" t="s">
        <v>1601</v>
      </c>
      <c r="E362" s="127">
        <v>375.88</v>
      </c>
      <c r="F362" s="106">
        <v>1.0</v>
      </c>
      <c r="G362" s="107"/>
    </row>
    <row r="363">
      <c r="A363" s="150">
        <v>46239.0</v>
      </c>
      <c r="B363" s="226" t="s">
        <v>1237</v>
      </c>
      <c r="C363" s="106" t="s">
        <v>9</v>
      </c>
      <c r="D363" s="106" t="s">
        <v>1601</v>
      </c>
      <c r="E363" s="127">
        <v>60.88</v>
      </c>
      <c r="F363" s="106">
        <v>2.0</v>
      </c>
      <c r="G363" s="107"/>
    </row>
    <row r="364">
      <c r="A364" s="150">
        <v>46239.0</v>
      </c>
      <c r="B364" s="226" t="s">
        <v>2063</v>
      </c>
      <c r="C364" s="106" t="s">
        <v>9</v>
      </c>
      <c r="D364" s="106" t="s">
        <v>1601</v>
      </c>
      <c r="E364" s="127">
        <v>31.88</v>
      </c>
      <c r="F364" s="106">
        <v>1.0</v>
      </c>
      <c r="G364" s="107"/>
    </row>
    <row r="365">
      <c r="A365" s="150">
        <v>46239.0</v>
      </c>
      <c r="B365" s="226" t="s">
        <v>2107</v>
      </c>
      <c r="C365" s="106" t="s">
        <v>9</v>
      </c>
      <c r="D365" s="106" t="s">
        <v>1601</v>
      </c>
      <c r="E365" s="127">
        <v>325.88</v>
      </c>
      <c r="F365" s="106">
        <v>1.0</v>
      </c>
      <c r="G365" s="107"/>
    </row>
    <row r="366">
      <c r="A366" s="150">
        <v>46241.0</v>
      </c>
      <c r="B366" s="226" t="s">
        <v>2108</v>
      </c>
      <c r="C366" s="106" t="s">
        <v>9</v>
      </c>
      <c r="D366" s="106" t="s">
        <v>1601</v>
      </c>
      <c r="E366" s="127">
        <v>230.88</v>
      </c>
      <c r="F366" s="106">
        <v>1.0</v>
      </c>
      <c r="G366" s="107"/>
    </row>
    <row r="367">
      <c r="A367" s="150">
        <v>46241.0</v>
      </c>
      <c r="B367" s="226" t="s">
        <v>2109</v>
      </c>
      <c r="C367" s="106" t="s">
        <v>9</v>
      </c>
      <c r="D367" s="106" t="s">
        <v>1601</v>
      </c>
      <c r="E367" s="127">
        <v>40.88</v>
      </c>
      <c r="F367" s="106">
        <v>2.0</v>
      </c>
      <c r="G367" s="107"/>
    </row>
    <row r="368">
      <c r="A368" s="150">
        <v>46241.0</v>
      </c>
      <c r="B368" s="226" t="s">
        <v>2110</v>
      </c>
      <c r="C368" s="106" t="s">
        <v>9</v>
      </c>
      <c r="D368" s="106" t="s">
        <v>1601</v>
      </c>
      <c r="E368" s="127">
        <v>185.88</v>
      </c>
      <c r="F368" s="106">
        <v>1.0</v>
      </c>
      <c r="G368" s="107"/>
    </row>
    <row r="369">
      <c r="A369" s="150">
        <v>46241.0</v>
      </c>
      <c r="B369" s="226" t="s">
        <v>2111</v>
      </c>
      <c r="C369" s="106" t="s">
        <v>9</v>
      </c>
      <c r="D369" s="106" t="s">
        <v>1601</v>
      </c>
      <c r="E369" s="127">
        <v>70.88</v>
      </c>
      <c r="F369" s="106">
        <v>1.0</v>
      </c>
      <c r="G369" s="107"/>
    </row>
    <row r="370">
      <c r="A370" s="150">
        <v>46241.0</v>
      </c>
      <c r="B370" s="226" t="s">
        <v>2113</v>
      </c>
      <c r="C370" s="106" t="s">
        <v>9</v>
      </c>
      <c r="D370" s="106" t="s">
        <v>1601</v>
      </c>
      <c r="E370" s="127">
        <v>35.88</v>
      </c>
      <c r="F370" s="106">
        <v>1.0</v>
      </c>
      <c r="G370" s="107"/>
    </row>
    <row r="371" ht="16.5" customHeight="1">
      <c r="A371" s="150">
        <v>46241.0</v>
      </c>
      <c r="B371" s="226" t="s">
        <v>2114</v>
      </c>
      <c r="C371" s="106" t="s">
        <v>9</v>
      </c>
      <c r="D371" s="106" t="s">
        <v>1601</v>
      </c>
      <c r="E371" s="127">
        <v>23.88</v>
      </c>
      <c r="F371" s="106">
        <v>2.0</v>
      </c>
      <c r="G371" s="107"/>
      <c r="H371" s="214"/>
    </row>
    <row r="372">
      <c r="A372" s="150">
        <v>46241.0</v>
      </c>
      <c r="B372" s="226" t="s">
        <v>2115</v>
      </c>
      <c r="C372" s="106" t="s">
        <v>9</v>
      </c>
      <c r="D372" s="106" t="s">
        <v>1601</v>
      </c>
      <c r="E372" s="127">
        <v>22.88</v>
      </c>
      <c r="F372" s="106">
        <v>2.0</v>
      </c>
      <c r="G372" s="107"/>
    </row>
    <row r="373">
      <c r="A373" s="150">
        <v>46241.0</v>
      </c>
      <c r="B373" s="226" t="s">
        <v>584</v>
      </c>
      <c r="C373" s="106" t="s">
        <v>9</v>
      </c>
      <c r="D373" s="106" t="s">
        <v>1601</v>
      </c>
      <c r="E373" s="127">
        <v>80.88</v>
      </c>
      <c r="F373" s="106">
        <v>1.0</v>
      </c>
      <c r="G373" s="107"/>
    </row>
    <row r="374">
      <c r="A374" s="150">
        <v>46241.0</v>
      </c>
      <c r="B374" s="226" t="s">
        <v>2117</v>
      </c>
      <c r="C374" s="106" t="s">
        <v>9</v>
      </c>
      <c r="D374" s="106" t="s">
        <v>1601</v>
      </c>
      <c r="E374" s="127">
        <v>85.88</v>
      </c>
      <c r="F374" s="106">
        <v>1.0</v>
      </c>
      <c r="G374" s="107"/>
    </row>
    <row r="375">
      <c r="A375" s="150">
        <v>46241.0</v>
      </c>
      <c r="B375" s="226" t="s">
        <v>2118</v>
      </c>
      <c r="C375" s="106" t="s">
        <v>9</v>
      </c>
      <c r="D375" s="106" t="s">
        <v>1601</v>
      </c>
      <c r="E375" s="127">
        <v>120.88</v>
      </c>
      <c r="F375" s="106">
        <v>1.0</v>
      </c>
      <c r="G375" s="107"/>
    </row>
    <row r="376">
      <c r="A376" s="150">
        <v>46244.0</v>
      </c>
      <c r="B376" s="226" t="s">
        <v>966</v>
      </c>
      <c r="C376" s="106" t="s">
        <v>9</v>
      </c>
      <c r="D376" s="106" t="s">
        <v>1601</v>
      </c>
      <c r="E376" s="127">
        <v>200.88</v>
      </c>
      <c r="F376" s="106">
        <v>1.0</v>
      </c>
      <c r="G376" s="107"/>
    </row>
    <row r="377">
      <c r="A377" s="150">
        <v>46244.0</v>
      </c>
      <c r="B377" s="226" t="s">
        <v>2120</v>
      </c>
      <c r="C377" s="106" t="s">
        <v>9</v>
      </c>
      <c r="D377" s="106" t="s">
        <v>1601</v>
      </c>
      <c r="E377" s="127">
        <v>185.88</v>
      </c>
      <c r="F377" s="106">
        <v>1.0</v>
      </c>
      <c r="G377" s="107"/>
    </row>
    <row r="378">
      <c r="A378" s="150">
        <v>46244.0</v>
      </c>
      <c r="B378" s="226" t="s">
        <v>2121</v>
      </c>
      <c r="C378" s="106" t="s">
        <v>9</v>
      </c>
      <c r="D378" s="106" t="s">
        <v>1601</v>
      </c>
      <c r="E378" s="127">
        <v>25.88</v>
      </c>
      <c r="F378" s="106">
        <v>1.0</v>
      </c>
      <c r="G378" s="107"/>
    </row>
    <row r="379">
      <c r="A379" s="150">
        <v>46244.0</v>
      </c>
      <c r="B379" s="226" t="s">
        <v>2122</v>
      </c>
      <c r="C379" s="106" t="s">
        <v>9</v>
      </c>
      <c r="D379" s="106" t="s">
        <v>1601</v>
      </c>
      <c r="E379" s="127">
        <v>130.88</v>
      </c>
      <c r="F379" s="106">
        <v>2.0</v>
      </c>
      <c r="G379" s="107"/>
    </row>
    <row r="380">
      <c r="A380" s="150">
        <v>46244.0</v>
      </c>
      <c r="B380" s="226" t="s">
        <v>2123</v>
      </c>
      <c r="C380" s="106" t="s">
        <v>9</v>
      </c>
      <c r="D380" s="106" t="s">
        <v>1601</v>
      </c>
      <c r="E380" s="127">
        <v>68.88</v>
      </c>
      <c r="F380" s="106">
        <v>1.0</v>
      </c>
      <c r="G380" s="107"/>
    </row>
    <row r="381">
      <c r="A381" s="150">
        <v>46244.0</v>
      </c>
      <c r="B381" s="226" t="s">
        <v>2124</v>
      </c>
      <c r="C381" s="106" t="s">
        <v>9</v>
      </c>
      <c r="D381" s="106" t="s">
        <v>1601</v>
      </c>
      <c r="E381" s="127">
        <v>70.88</v>
      </c>
      <c r="F381" s="106">
        <v>1.0</v>
      </c>
      <c r="G381" s="107"/>
    </row>
    <row r="382" ht="16.5" customHeight="1">
      <c r="A382" s="150">
        <v>46244.0</v>
      </c>
      <c r="B382" s="226" t="s">
        <v>402</v>
      </c>
      <c r="C382" s="106" t="s">
        <v>9</v>
      </c>
      <c r="D382" s="106" t="s">
        <v>1601</v>
      </c>
      <c r="E382" s="127">
        <v>230.88</v>
      </c>
      <c r="F382" s="106">
        <v>1.0</v>
      </c>
      <c r="G382" s="107"/>
      <c r="H382" s="214"/>
    </row>
    <row r="383">
      <c r="A383" s="150">
        <v>46244.0</v>
      </c>
      <c r="B383" s="234" t="s">
        <v>921</v>
      </c>
      <c r="C383" s="106" t="s">
        <v>9</v>
      </c>
      <c r="D383" s="106" t="s">
        <v>1601</v>
      </c>
      <c r="E383" s="127">
        <v>220.88</v>
      </c>
      <c r="F383" s="106">
        <v>1.0</v>
      </c>
      <c r="G383" s="107"/>
    </row>
    <row r="384">
      <c r="A384" s="150">
        <v>46244.0</v>
      </c>
      <c r="B384" s="226" t="s">
        <v>2125</v>
      </c>
      <c r="C384" s="106" t="s">
        <v>9</v>
      </c>
      <c r="D384" s="106" t="s">
        <v>1601</v>
      </c>
      <c r="E384" s="127">
        <v>58.88</v>
      </c>
      <c r="F384" s="106">
        <v>1.0</v>
      </c>
      <c r="G384" s="107"/>
    </row>
    <row r="385">
      <c r="A385" s="150">
        <v>46244.0</v>
      </c>
      <c r="B385" s="226" t="s">
        <v>1160</v>
      </c>
      <c r="C385" s="106" t="s">
        <v>9</v>
      </c>
      <c r="D385" s="106" t="s">
        <v>1601</v>
      </c>
      <c r="E385" s="127">
        <v>185.88</v>
      </c>
      <c r="F385" s="106">
        <v>1.0</v>
      </c>
      <c r="G385" s="107"/>
    </row>
    <row r="386">
      <c r="A386" s="150">
        <v>46244.0</v>
      </c>
      <c r="B386" s="226" t="s">
        <v>24</v>
      </c>
      <c r="C386" s="106" t="s">
        <v>9</v>
      </c>
      <c r="D386" s="106" t="s">
        <v>1601</v>
      </c>
      <c r="E386" s="127">
        <v>55.88</v>
      </c>
      <c r="F386" s="106">
        <v>2.0</v>
      </c>
      <c r="G386" s="107"/>
    </row>
    <row r="387">
      <c r="A387" s="150">
        <v>46244.0</v>
      </c>
      <c r="B387" s="226" t="s">
        <v>781</v>
      </c>
      <c r="C387" s="106" t="s">
        <v>9</v>
      </c>
      <c r="D387" s="106" t="s">
        <v>1601</v>
      </c>
      <c r="E387" s="127">
        <v>95.88</v>
      </c>
      <c r="F387" s="106">
        <v>1.0</v>
      </c>
      <c r="G387" s="107"/>
    </row>
    <row r="388">
      <c r="A388" s="150">
        <v>46244.0</v>
      </c>
      <c r="B388" s="226" t="s">
        <v>2127</v>
      </c>
      <c r="C388" s="106" t="s">
        <v>9</v>
      </c>
      <c r="D388" s="106" t="s">
        <v>1601</v>
      </c>
      <c r="E388" s="127">
        <v>20.88</v>
      </c>
      <c r="F388" s="106">
        <v>1.0</v>
      </c>
      <c r="G388" s="107"/>
    </row>
    <row r="389">
      <c r="A389" s="150">
        <v>46244.0</v>
      </c>
      <c r="B389" s="226" t="s">
        <v>2128</v>
      </c>
      <c r="C389" s="106" t="s">
        <v>9</v>
      </c>
      <c r="D389" s="106" t="s">
        <v>1601</v>
      </c>
      <c r="E389" s="127">
        <v>35.88</v>
      </c>
      <c r="F389" s="106">
        <v>1.0</v>
      </c>
      <c r="G389" s="107"/>
    </row>
    <row r="390">
      <c r="A390" s="150">
        <v>46244.0</v>
      </c>
      <c r="B390" s="226" t="s">
        <v>2129</v>
      </c>
      <c r="C390" s="106" t="s">
        <v>9</v>
      </c>
      <c r="D390" s="106" t="s">
        <v>1601</v>
      </c>
      <c r="E390" s="127">
        <v>70.88</v>
      </c>
      <c r="F390" s="106">
        <v>1.0</v>
      </c>
      <c r="G390" s="107"/>
    </row>
    <row r="391">
      <c r="A391" s="150">
        <v>46244.0</v>
      </c>
      <c r="B391" s="226" t="s">
        <v>2130</v>
      </c>
      <c r="C391" s="106" t="s">
        <v>9</v>
      </c>
      <c r="D391" s="106" t="s">
        <v>1601</v>
      </c>
      <c r="E391" s="127">
        <v>70.88</v>
      </c>
      <c r="F391" s="106">
        <v>1.0</v>
      </c>
      <c r="G391" s="107"/>
    </row>
    <row r="392">
      <c r="A392" s="150">
        <v>46244.0</v>
      </c>
      <c r="B392" s="226" t="s">
        <v>2131</v>
      </c>
      <c r="C392" s="106" t="s">
        <v>9</v>
      </c>
      <c r="D392" s="106" t="s">
        <v>1601</v>
      </c>
      <c r="E392" s="127">
        <v>250.88</v>
      </c>
      <c r="F392" s="106">
        <v>1.0</v>
      </c>
      <c r="G392" s="107"/>
    </row>
    <row r="393">
      <c r="A393" s="150">
        <v>46244.0</v>
      </c>
      <c r="B393" s="226" t="s">
        <v>2132</v>
      </c>
      <c r="C393" s="106" t="s">
        <v>9</v>
      </c>
      <c r="D393" s="106" t="s">
        <v>1601</v>
      </c>
      <c r="E393" s="127">
        <v>40.88</v>
      </c>
      <c r="F393" s="106">
        <v>1.0</v>
      </c>
      <c r="G393" s="107"/>
    </row>
    <row r="394">
      <c r="A394" s="150">
        <v>46244.0</v>
      </c>
      <c r="B394" s="226" t="s">
        <v>2133</v>
      </c>
      <c r="C394" s="106" t="s">
        <v>9</v>
      </c>
      <c r="D394" s="106" t="s">
        <v>1601</v>
      </c>
      <c r="E394" s="127">
        <v>70.88</v>
      </c>
      <c r="F394" s="106">
        <v>1.0</v>
      </c>
      <c r="G394" s="107"/>
    </row>
    <row r="395" ht="15.75" customHeight="1">
      <c r="A395" s="150">
        <v>46244.0</v>
      </c>
      <c r="B395" s="226" t="s">
        <v>2134</v>
      </c>
      <c r="C395" s="106" t="s">
        <v>9</v>
      </c>
      <c r="D395" s="106" t="s">
        <v>1601</v>
      </c>
      <c r="E395" s="127">
        <v>150.88</v>
      </c>
      <c r="F395" s="106">
        <v>1.0</v>
      </c>
      <c r="G395" s="107"/>
      <c r="H395" s="214"/>
    </row>
    <row r="396">
      <c r="A396" s="150">
        <v>46244.0</v>
      </c>
      <c r="B396" s="226" t="s">
        <v>2135</v>
      </c>
      <c r="C396" s="106" t="s">
        <v>9</v>
      </c>
      <c r="D396" s="106" t="s">
        <v>1601</v>
      </c>
      <c r="E396" s="127">
        <v>42.88</v>
      </c>
      <c r="F396" s="106">
        <v>1.0</v>
      </c>
      <c r="G396" s="107"/>
    </row>
    <row r="397">
      <c r="A397" s="150">
        <v>46244.0</v>
      </c>
      <c r="B397" s="235" t="s">
        <v>1529</v>
      </c>
      <c r="C397" s="106" t="s">
        <v>9</v>
      </c>
      <c r="D397" s="106" t="s">
        <v>1601</v>
      </c>
      <c r="E397" s="127">
        <v>170.88</v>
      </c>
      <c r="F397" s="106">
        <v>1.0</v>
      </c>
      <c r="G397" s="107"/>
    </row>
    <row r="398">
      <c r="A398" s="150">
        <v>46244.0</v>
      </c>
      <c r="B398" s="226" t="s">
        <v>1801</v>
      </c>
      <c r="C398" s="106" t="s">
        <v>9</v>
      </c>
      <c r="D398" s="106" t="s">
        <v>1601</v>
      </c>
      <c r="E398" s="127">
        <v>135.88</v>
      </c>
      <c r="F398" s="106">
        <v>1.0</v>
      </c>
      <c r="G398" s="107"/>
    </row>
    <row r="399">
      <c r="A399" s="150">
        <v>46244.0</v>
      </c>
      <c r="B399" s="226" t="s">
        <v>2136</v>
      </c>
      <c r="C399" s="106" t="s">
        <v>9</v>
      </c>
      <c r="D399" s="106" t="s">
        <v>1601</v>
      </c>
      <c r="E399" s="127">
        <v>118.88</v>
      </c>
      <c r="F399" s="106">
        <v>1.0</v>
      </c>
      <c r="G399" s="107"/>
    </row>
    <row r="400">
      <c r="A400" s="236" t="s">
        <v>2137</v>
      </c>
      <c r="B400" s="226" t="s">
        <v>2138</v>
      </c>
      <c r="C400" s="106" t="s">
        <v>9</v>
      </c>
      <c r="D400" s="106" t="s">
        <v>1601</v>
      </c>
      <c r="E400" s="127">
        <v>46.88</v>
      </c>
      <c r="F400" s="106">
        <v>1.0</v>
      </c>
      <c r="G400" s="107"/>
    </row>
    <row r="401">
      <c r="A401" s="236" t="s">
        <v>2137</v>
      </c>
      <c r="B401" s="226" t="s">
        <v>2139</v>
      </c>
      <c r="C401" s="106" t="s">
        <v>9</v>
      </c>
      <c r="D401" s="106" t="s">
        <v>1601</v>
      </c>
      <c r="E401" s="127">
        <v>48.88</v>
      </c>
      <c r="F401" s="106">
        <v>1.0</v>
      </c>
      <c r="G401" s="107"/>
    </row>
    <row r="402">
      <c r="A402" s="236" t="s">
        <v>2137</v>
      </c>
      <c r="B402" s="226" t="s">
        <v>2140</v>
      </c>
      <c r="C402" s="106" t="s">
        <v>9</v>
      </c>
      <c r="D402" s="106" t="s">
        <v>1601</v>
      </c>
      <c r="E402" s="127">
        <v>35.88</v>
      </c>
      <c r="F402" s="106">
        <v>1.0</v>
      </c>
      <c r="G402" s="107"/>
    </row>
    <row r="403">
      <c r="A403" s="236" t="s">
        <v>2137</v>
      </c>
      <c r="B403" s="237">
        <v>5.30451963E9</v>
      </c>
      <c r="C403" s="106" t="s">
        <v>9</v>
      </c>
      <c r="D403" s="106" t="s">
        <v>1601</v>
      </c>
      <c r="E403" s="127">
        <v>45.88</v>
      </c>
      <c r="F403" s="106">
        <v>1.0</v>
      </c>
      <c r="G403" s="107"/>
    </row>
    <row r="404">
      <c r="A404" s="236" t="s">
        <v>2137</v>
      </c>
      <c r="B404" s="226" t="s">
        <v>2142</v>
      </c>
      <c r="C404" s="106" t="s">
        <v>9</v>
      </c>
      <c r="D404" s="106" t="s">
        <v>1601</v>
      </c>
      <c r="E404" s="127">
        <v>75.88</v>
      </c>
      <c r="F404" s="106">
        <v>1.0</v>
      </c>
      <c r="G404" s="107"/>
    </row>
    <row r="405">
      <c r="A405" s="236" t="s">
        <v>2137</v>
      </c>
      <c r="B405" s="226" t="s">
        <v>2143</v>
      </c>
      <c r="C405" s="106" t="s">
        <v>9</v>
      </c>
      <c r="D405" s="106" t="s">
        <v>1601</v>
      </c>
      <c r="E405" s="127">
        <v>100.88</v>
      </c>
      <c r="F405" s="106">
        <v>1.0</v>
      </c>
      <c r="G405" s="107"/>
    </row>
    <row r="406">
      <c r="A406" s="236" t="s">
        <v>2137</v>
      </c>
      <c r="B406" s="226" t="s">
        <v>2144</v>
      </c>
      <c r="C406" s="106" t="s">
        <v>9</v>
      </c>
      <c r="D406" s="106" t="s">
        <v>1601</v>
      </c>
      <c r="E406" s="127">
        <v>230.88</v>
      </c>
      <c r="F406" s="106">
        <v>1.0</v>
      </c>
      <c r="G406" s="107"/>
    </row>
    <row r="407">
      <c r="A407" s="236" t="s">
        <v>2137</v>
      </c>
      <c r="B407" s="226" t="s">
        <v>2145</v>
      </c>
      <c r="C407" s="106" t="s">
        <v>9</v>
      </c>
      <c r="D407" s="106" t="s">
        <v>1601</v>
      </c>
      <c r="E407" s="127">
        <v>130.88</v>
      </c>
      <c r="F407" s="106">
        <v>1.0</v>
      </c>
      <c r="G407" s="107"/>
    </row>
    <row r="408">
      <c r="A408" s="236" t="s">
        <v>2146</v>
      </c>
      <c r="B408" s="226" t="s">
        <v>2147</v>
      </c>
      <c r="C408" s="106" t="s">
        <v>9</v>
      </c>
      <c r="D408" s="106" t="s">
        <v>1601</v>
      </c>
      <c r="E408" s="127">
        <v>170.88</v>
      </c>
      <c r="F408" s="106">
        <v>1.0</v>
      </c>
      <c r="G408" s="107"/>
    </row>
    <row r="409" ht="15.0" customHeight="1">
      <c r="A409" s="236" t="s">
        <v>2146</v>
      </c>
      <c r="B409" s="226" t="s">
        <v>2148</v>
      </c>
      <c r="C409" s="106" t="s">
        <v>9</v>
      </c>
      <c r="D409" s="106" t="s">
        <v>1601</v>
      </c>
      <c r="E409" s="127">
        <v>53.88</v>
      </c>
      <c r="F409" s="106">
        <v>1.0</v>
      </c>
      <c r="G409" s="107"/>
      <c r="H409" s="214"/>
    </row>
    <row r="410">
      <c r="A410" s="236" t="s">
        <v>2146</v>
      </c>
      <c r="B410" s="238" t="s">
        <v>2149</v>
      </c>
      <c r="C410" s="106" t="s">
        <v>9</v>
      </c>
      <c r="D410" s="106" t="s">
        <v>1601</v>
      </c>
      <c r="E410" s="127">
        <v>70.88</v>
      </c>
      <c r="F410" s="106">
        <v>1.0</v>
      </c>
      <c r="G410" s="107"/>
    </row>
    <row r="411">
      <c r="A411" s="239" t="s">
        <v>2146</v>
      </c>
      <c r="B411" s="240" t="s">
        <v>2150</v>
      </c>
      <c r="C411" s="241" t="s">
        <v>9</v>
      </c>
      <c r="D411" s="241" t="s">
        <v>1601</v>
      </c>
      <c r="E411" s="242" t="s">
        <v>2151</v>
      </c>
      <c r="F411" s="241">
        <v>1.0</v>
      </c>
      <c r="G411" s="243"/>
    </row>
    <row r="412">
      <c r="A412" s="236" t="s">
        <v>2146</v>
      </c>
      <c r="B412" s="226" t="s">
        <v>2152</v>
      </c>
      <c r="C412" s="106" t="s">
        <v>9</v>
      </c>
      <c r="D412" s="106" t="s">
        <v>1601</v>
      </c>
      <c r="E412" s="127">
        <v>70.88</v>
      </c>
      <c r="F412" s="106">
        <v>1.0</v>
      </c>
      <c r="G412" s="107"/>
    </row>
    <row r="413">
      <c r="A413" s="236" t="s">
        <v>2146</v>
      </c>
      <c r="B413" s="226" t="s">
        <v>689</v>
      </c>
      <c r="C413" s="106" t="s">
        <v>9</v>
      </c>
      <c r="D413" s="106" t="s">
        <v>1601</v>
      </c>
      <c r="E413" s="127">
        <v>30.88</v>
      </c>
      <c r="F413" s="106">
        <v>1.0</v>
      </c>
      <c r="G413" s="107"/>
    </row>
    <row r="414">
      <c r="A414" s="236" t="s">
        <v>2146</v>
      </c>
      <c r="B414" s="226" t="s">
        <v>2154</v>
      </c>
      <c r="C414" s="106" t="s">
        <v>9</v>
      </c>
      <c r="D414" s="106" t="s">
        <v>1601</v>
      </c>
      <c r="E414" s="127">
        <v>70.88</v>
      </c>
      <c r="F414" s="106">
        <v>1.0</v>
      </c>
      <c r="G414" s="107"/>
    </row>
    <row r="415">
      <c r="A415" s="239" t="s">
        <v>2146</v>
      </c>
      <c r="B415" s="240" t="s">
        <v>876</v>
      </c>
      <c r="C415" s="241" t="s">
        <v>9</v>
      </c>
      <c r="D415" s="241" t="s">
        <v>1601</v>
      </c>
      <c r="E415" s="242" t="s">
        <v>2155</v>
      </c>
      <c r="F415" s="241">
        <v>1.0</v>
      </c>
      <c r="G415" s="243"/>
    </row>
    <row r="416">
      <c r="A416" s="236" t="s">
        <v>2146</v>
      </c>
      <c r="B416" s="226" t="s">
        <v>2156</v>
      </c>
      <c r="C416" s="106" t="s">
        <v>9</v>
      </c>
      <c r="D416" s="106" t="s">
        <v>1601</v>
      </c>
      <c r="E416" s="127">
        <v>85.88</v>
      </c>
      <c r="F416" s="106">
        <v>1.0</v>
      </c>
      <c r="G416" s="107"/>
    </row>
    <row r="417">
      <c r="A417" s="236" t="s">
        <v>2146</v>
      </c>
      <c r="B417" s="226" t="s">
        <v>2157</v>
      </c>
      <c r="C417" s="106" t="s">
        <v>9</v>
      </c>
      <c r="D417" s="106" t="s">
        <v>1601</v>
      </c>
      <c r="E417" s="127">
        <v>120.88</v>
      </c>
      <c r="F417" s="106">
        <v>1.0</v>
      </c>
      <c r="G417" s="107"/>
    </row>
    <row r="418">
      <c r="A418" s="236" t="s">
        <v>2146</v>
      </c>
      <c r="B418" s="226" t="s">
        <v>2158</v>
      </c>
      <c r="C418" s="106" t="s">
        <v>9</v>
      </c>
      <c r="D418" s="106" t="s">
        <v>1601</v>
      </c>
      <c r="E418" s="127">
        <v>100.88</v>
      </c>
      <c r="F418" s="106">
        <v>1.0</v>
      </c>
      <c r="G418" s="107"/>
    </row>
    <row r="419">
      <c r="A419" s="239" t="s">
        <v>2146</v>
      </c>
      <c r="B419" s="240" t="s">
        <v>2159</v>
      </c>
      <c r="C419" s="241" t="s">
        <v>9</v>
      </c>
      <c r="D419" s="241" t="s">
        <v>1601</v>
      </c>
      <c r="E419" s="242" t="s">
        <v>2160</v>
      </c>
      <c r="F419" s="241">
        <v>1.0</v>
      </c>
      <c r="G419" s="243"/>
    </row>
    <row r="420">
      <c r="A420" s="236" t="s">
        <v>2146</v>
      </c>
      <c r="B420" s="226" t="s">
        <v>2161</v>
      </c>
      <c r="C420" s="106" t="s">
        <v>9</v>
      </c>
      <c r="D420" s="106" t="s">
        <v>1601</v>
      </c>
      <c r="E420" s="127">
        <v>98.88</v>
      </c>
      <c r="F420" s="106">
        <v>1.0</v>
      </c>
      <c r="G420" s="107"/>
    </row>
    <row r="421">
      <c r="A421" s="236" t="s">
        <v>2146</v>
      </c>
      <c r="B421" s="226" t="s">
        <v>91</v>
      </c>
      <c r="C421" s="106" t="s">
        <v>9</v>
      </c>
      <c r="D421" s="106" t="s">
        <v>1601</v>
      </c>
      <c r="E421" s="127">
        <v>178.88</v>
      </c>
      <c r="F421" s="106">
        <v>1.0</v>
      </c>
      <c r="G421" s="107"/>
    </row>
    <row r="422">
      <c r="A422" s="236" t="s">
        <v>2146</v>
      </c>
      <c r="B422" s="226" t="s">
        <v>2162</v>
      </c>
      <c r="C422" s="106" t="s">
        <v>9</v>
      </c>
      <c r="D422" s="106" t="s">
        <v>1601</v>
      </c>
      <c r="E422" s="127">
        <v>150.88</v>
      </c>
      <c r="F422" s="106">
        <v>1.0</v>
      </c>
      <c r="G422" s="107"/>
    </row>
    <row r="423">
      <c r="A423" s="236" t="s">
        <v>2146</v>
      </c>
      <c r="B423" s="226" t="s">
        <v>2163</v>
      </c>
      <c r="C423" s="106" t="s">
        <v>9</v>
      </c>
      <c r="D423" s="106" t="s">
        <v>1601</v>
      </c>
      <c r="E423" s="127">
        <v>80.88</v>
      </c>
      <c r="F423" s="106">
        <v>1.0</v>
      </c>
      <c r="G423" s="107"/>
    </row>
    <row r="424">
      <c r="A424" s="239" t="s">
        <v>2146</v>
      </c>
      <c r="B424" s="240" t="s">
        <v>2164</v>
      </c>
      <c r="C424" s="241" t="s">
        <v>9</v>
      </c>
      <c r="D424" s="241" t="s">
        <v>1601</v>
      </c>
      <c r="E424" s="242" t="s">
        <v>2155</v>
      </c>
      <c r="F424" s="241">
        <v>1.0</v>
      </c>
      <c r="G424" s="243"/>
    </row>
    <row r="425">
      <c r="A425" s="236" t="s">
        <v>2146</v>
      </c>
      <c r="B425" s="226" t="s">
        <v>2165</v>
      </c>
      <c r="C425" s="106" t="s">
        <v>9</v>
      </c>
      <c r="D425" s="106" t="s">
        <v>1601</v>
      </c>
      <c r="E425" s="127">
        <v>175.88</v>
      </c>
      <c r="F425" s="106">
        <v>1.0</v>
      </c>
      <c r="G425" s="107"/>
    </row>
    <row r="426">
      <c r="A426" s="236" t="s">
        <v>2146</v>
      </c>
      <c r="B426" s="226" t="s">
        <v>2166</v>
      </c>
      <c r="C426" s="106" t="s">
        <v>9</v>
      </c>
      <c r="D426" s="106" t="s">
        <v>1601</v>
      </c>
      <c r="E426" s="127">
        <v>90.88</v>
      </c>
      <c r="F426" s="106">
        <v>1.0</v>
      </c>
      <c r="G426" s="107"/>
    </row>
    <row r="427" ht="15.75" customHeight="1">
      <c r="A427" s="236" t="s">
        <v>2146</v>
      </c>
      <c r="B427" s="226" t="s">
        <v>1907</v>
      </c>
      <c r="C427" s="106" t="s">
        <v>9</v>
      </c>
      <c r="D427" s="106" t="s">
        <v>1601</v>
      </c>
      <c r="E427" s="127">
        <v>110.88</v>
      </c>
      <c r="F427" s="106">
        <v>1.0</v>
      </c>
      <c r="G427" s="107"/>
      <c r="H427" s="214" t="s">
        <v>1943</v>
      </c>
    </row>
    <row r="428">
      <c r="A428" s="236" t="s">
        <v>2146</v>
      </c>
      <c r="B428" s="226" t="s">
        <v>2168</v>
      </c>
      <c r="C428" s="106" t="s">
        <v>9</v>
      </c>
      <c r="D428" s="106" t="s">
        <v>1601</v>
      </c>
      <c r="E428" s="127">
        <v>140.88</v>
      </c>
      <c r="F428" s="106">
        <v>1.0</v>
      </c>
      <c r="G428" s="107"/>
    </row>
    <row r="429">
      <c r="A429" s="150">
        <v>46248.0</v>
      </c>
      <c r="B429" s="244" t="s">
        <v>2169</v>
      </c>
      <c r="C429" s="106" t="s">
        <v>9</v>
      </c>
      <c r="D429" s="106" t="s">
        <v>1601</v>
      </c>
      <c r="E429" s="245">
        <v>40.88</v>
      </c>
      <c r="F429" s="106">
        <v>1.0</v>
      </c>
      <c r="G429" s="107"/>
    </row>
    <row r="430">
      <c r="A430" s="150">
        <v>46248.0</v>
      </c>
      <c r="B430" s="237">
        <v>1.4005048819E11</v>
      </c>
      <c r="C430" s="106" t="s">
        <v>9</v>
      </c>
      <c r="D430" s="106" t="s">
        <v>1601</v>
      </c>
      <c r="E430" s="245">
        <v>180.88</v>
      </c>
      <c r="F430" s="106">
        <v>1.0</v>
      </c>
      <c r="G430" s="107"/>
    </row>
    <row r="431">
      <c r="A431" s="150">
        <v>46248.0</v>
      </c>
      <c r="B431" s="244" t="s">
        <v>2170</v>
      </c>
      <c r="C431" s="106" t="s">
        <v>9</v>
      </c>
      <c r="D431" s="106" t="s">
        <v>1601</v>
      </c>
      <c r="E431" s="245">
        <v>25.88</v>
      </c>
      <c r="F431" s="106">
        <v>1.0</v>
      </c>
      <c r="G431" s="107"/>
    </row>
    <row r="432">
      <c r="A432" s="150">
        <v>46248.0</v>
      </c>
      <c r="B432" s="244" t="s">
        <v>2171</v>
      </c>
      <c r="C432" s="106" t="s">
        <v>9</v>
      </c>
      <c r="D432" s="106" t="s">
        <v>1601</v>
      </c>
      <c r="E432" s="245">
        <v>14.88</v>
      </c>
      <c r="F432" s="106">
        <v>1.0</v>
      </c>
      <c r="G432" s="107"/>
    </row>
    <row r="433">
      <c r="A433" s="150">
        <v>46248.0</v>
      </c>
      <c r="B433" s="244" t="s">
        <v>2172</v>
      </c>
      <c r="C433" s="106" t="s">
        <v>9</v>
      </c>
      <c r="D433" s="106" t="s">
        <v>1601</v>
      </c>
      <c r="E433" s="245">
        <v>12.88</v>
      </c>
      <c r="F433" s="106">
        <v>1.0</v>
      </c>
      <c r="G433" s="107"/>
    </row>
    <row r="434">
      <c r="A434" s="150">
        <v>46248.0</v>
      </c>
      <c r="B434" s="244" t="s">
        <v>2173</v>
      </c>
      <c r="C434" s="106" t="s">
        <v>9</v>
      </c>
      <c r="D434" s="106" t="s">
        <v>1601</v>
      </c>
      <c r="E434" s="245">
        <v>40.88</v>
      </c>
      <c r="F434" s="106">
        <v>1.0</v>
      </c>
      <c r="G434" s="107"/>
    </row>
    <row r="435">
      <c r="A435" s="150">
        <v>46248.0</v>
      </c>
      <c r="B435" s="246" t="s">
        <v>2174</v>
      </c>
      <c r="C435" s="106" t="s">
        <v>9</v>
      </c>
      <c r="D435" s="106" t="s">
        <v>1601</v>
      </c>
      <c r="E435" s="245">
        <v>150.88</v>
      </c>
      <c r="F435" s="106">
        <v>1.0</v>
      </c>
      <c r="G435" s="107"/>
    </row>
    <row r="436">
      <c r="A436" s="150">
        <v>46248.0</v>
      </c>
      <c r="B436" s="246" t="s">
        <v>2175</v>
      </c>
      <c r="C436" s="106" t="s">
        <v>9</v>
      </c>
      <c r="D436" s="106" t="s">
        <v>1601</v>
      </c>
      <c r="E436" s="245">
        <v>35.88</v>
      </c>
      <c r="F436" s="247">
        <v>1.0</v>
      </c>
      <c r="G436" s="107"/>
    </row>
    <row r="437">
      <c r="A437" s="150">
        <v>46248.0</v>
      </c>
      <c r="B437" s="248"/>
      <c r="C437" s="106" t="s">
        <v>9</v>
      </c>
      <c r="D437" s="106" t="s">
        <v>1601</v>
      </c>
      <c r="E437" s="249"/>
      <c r="F437" s="128"/>
      <c r="G437" s="107"/>
    </row>
    <row r="438">
      <c r="A438" s="128"/>
      <c r="B438" s="248"/>
      <c r="C438" s="107"/>
      <c r="D438" s="107"/>
      <c r="E438" s="128"/>
      <c r="F438" s="128"/>
      <c r="G438" s="107"/>
    </row>
  </sheetData>
  <dataValidations>
    <dataValidation type="list" allowBlank="1" showErrorMessage="1" sqref="C2:C437">
      <formula1>"Ebay (warehouse_101),Ebay (tekp07),Sold"</formula1>
    </dataValidation>
    <dataValidation type="list" allowBlank="1" showErrorMessage="1" sqref="D2:D437">
      <formula1>"MEMPHIS,NASHVILLE,CHATTANOOGA,TALLAHASSEE,ATLANTA,KNOXVILLE,RALEIGH,CHATTANOOGA"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13"/>
    <col customWidth="1" min="4" max="4" width="15.0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52">
        <v>46114.0</v>
      </c>
      <c r="B2" s="254" t="s">
        <v>2200</v>
      </c>
      <c r="C2" s="108" t="s">
        <v>9</v>
      </c>
      <c r="D2" s="108" t="s">
        <v>53</v>
      </c>
      <c r="E2" s="108">
        <v>40.91</v>
      </c>
      <c r="F2" s="248"/>
    </row>
    <row r="3">
      <c r="A3" s="252">
        <v>46114.0</v>
      </c>
      <c r="B3" s="254" t="s">
        <v>2240</v>
      </c>
      <c r="C3" s="108" t="s">
        <v>9</v>
      </c>
      <c r="D3" s="108" t="s">
        <v>53</v>
      </c>
      <c r="E3" s="108">
        <v>42.91</v>
      </c>
      <c r="F3" s="248"/>
    </row>
    <row r="4">
      <c r="A4" s="252">
        <v>46114.0</v>
      </c>
      <c r="B4" s="254" t="s">
        <v>2248</v>
      </c>
      <c r="C4" s="108" t="s">
        <v>9</v>
      </c>
      <c r="D4" s="108" t="s">
        <v>53</v>
      </c>
      <c r="E4" s="108">
        <v>24.91</v>
      </c>
      <c r="F4" s="108">
        <v>2.0</v>
      </c>
    </row>
    <row r="5">
      <c r="A5" s="252">
        <v>46114.0</v>
      </c>
      <c r="B5" s="254" t="s">
        <v>2251</v>
      </c>
      <c r="C5" s="108" t="s">
        <v>9</v>
      </c>
      <c r="D5" s="108" t="s">
        <v>53</v>
      </c>
      <c r="E5" s="108">
        <v>29.91</v>
      </c>
      <c r="F5" s="248"/>
    </row>
    <row r="6">
      <c r="A6" s="252">
        <v>46114.0</v>
      </c>
      <c r="B6" s="254" t="s">
        <v>1864</v>
      </c>
      <c r="C6" s="108" t="s">
        <v>9</v>
      </c>
      <c r="D6" s="108" t="s">
        <v>53</v>
      </c>
      <c r="E6" s="108">
        <v>25.91</v>
      </c>
      <c r="F6" s="108">
        <v>2.0</v>
      </c>
    </row>
    <row r="7">
      <c r="A7" s="252">
        <v>46114.0</v>
      </c>
      <c r="B7" s="254" t="s">
        <v>2257</v>
      </c>
      <c r="C7" s="108" t="s">
        <v>9</v>
      </c>
      <c r="D7" s="108" t="s">
        <v>53</v>
      </c>
      <c r="E7" s="108">
        <v>59.91</v>
      </c>
      <c r="F7" s="248"/>
    </row>
    <row r="8">
      <c r="A8" s="252">
        <v>46114.0</v>
      </c>
      <c r="B8" s="254" t="s">
        <v>1579</v>
      </c>
      <c r="C8" s="108" t="s">
        <v>9</v>
      </c>
      <c r="D8" s="108" t="s">
        <v>53</v>
      </c>
      <c r="E8" s="108">
        <v>21.91</v>
      </c>
      <c r="F8" s="248"/>
    </row>
    <row r="9">
      <c r="A9" s="252">
        <v>46114.0</v>
      </c>
      <c r="B9" s="254" t="s">
        <v>2264</v>
      </c>
      <c r="C9" s="108" t="s">
        <v>9</v>
      </c>
      <c r="D9" s="108" t="s">
        <v>53</v>
      </c>
      <c r="E9" s="108">
        <v>225.91</v>
      </c>
      <c r="F9" s="248"/>
    </row>
    <row r="10">
      <c r="A10" s="252">
        <v>46114.0</v>
      </c>
      <c r="B10" s="254" t="s">
        <v>2266</v>
      </c>
      <c r="C10" s="108" t="s">
        <v>9</v>
      </c>
      <c r="D10" s="108" t="s">
        <v>53</v>
      </c>
      <c r="E10" s="108">
        <v>28.91</v>
      </c>
      <c r="F10" s="108">
        <v>2.0</v>
      </c>
    </row>
    <row r="11">
      <c r="A11" s="102"/>
      <c r="B11" s="102"/>
      <c r="C11" s="102"/>
      <c r="D11" s="102"/>
      <c r="E11" s="102"/>
      <c r="F11" s="102"/>
    </row>
    <row r="12">
      <c r="A12" s="252">
        <v>46118.0</v>
      </c>
      <c r="B12" s="257" t="s">
        <v>1475</v>
      </c>
      <c r="C12" s="108" t="s">
        <v>9</v>
      </c>
      <c r="D12" s="108" t="s">
        <v>53</v>
      </c>
      <c r="E12" s="104">
        <v>21.91</v>
      </c>
      <c r="F12" s="104">
        <v>2.0</v>
      </c>
    </row>
    <row r="13">
      <c r="A13" s="252">
        <v>46118.0</v>
      </c>
      <c r="B13" s="254" t="s">
        <v>1118</v>
      </c>
      <c r="C13" s="108" t="s">
        <v>9</v>
      </c>
      <c r="D13" s="108" t="s">
        <v>53</v>
      </c>
      <c r="E13" s="104">
        <v>27.91</v>
      </c>
      <c r="F13" s="104">
        <v>2.0</v>
      </c>
    </row>
    <row r="14">
      <c r="A14" s="252">
        <v>46118.0</v>
      </c>
      <c r="B14" s="254" t="s">
        <v>2275</v>
      </c>
      <c r="C14" s="108" t="s">
        <v>9</v>
      </c>
      <c r="D14" s="108" t="s">
        <v>53</v>
      </c>
      <c r="E14" s="104">
        <v>275.91</v>
      </c>
      <c r="F14" s="107"/>
    </row>
    <row r="15">
      <c r="A15" s="252">
        <v>46118.0</v>
      </c>
      <c r="B15" s="257" t="s">
        <v>2284</v>
      </c>
      <c r="C15" s="108" t="s">
        <v>9</v>
      </c>
      <c r="D15" s="108" t="s">
        <v>53</v>
      </c>
      <c r="E15" s="104">
        <v>80.91</v>
      </c>
      <c r="F15" s="107"/>
    </row>
    <row r="16">
      <c r="A16" s="252">
        <v>46118.0</v>
      </c>
      <c r="B16" s="257" t="s">
        <v>2285</v>
      </c>
      <c r="C16" s="108" t="s">
        <v>9</v>
      </c>
      <c r="D16" s="108" t="s">
        <v>53</v>
      </c>
      <c r="E16" s="104">
        <v>45.91</v>
      </c>
      <c r="F16" s="104">
        <v>2.0</v>
      </c>
    </row>
    <row r="17">
      <c r="A17" s="252">
        <v>46118.0</v>
      </c>
      <c r="B17" s="254" t="s">
        <v>2286</v>
      </c>
      <c r="C17" s="108" t="s">
        <v>9</v>
      </c>
      <c r="D17" s="108" t="s">
        <v>53</v>
      </c>
      <c r="E17" s="104">
        <v>175.91</v>
      </c>
      <c r="F17" s="107"/>
    </row>
    <row r="18">
      <c r="A18" s="252">
        <v>46118.0</v>
      </c>
      <c r="B18" s="254" t="s">
        <v>2287</v>
      </c>
      <c r="C18" s="108" t="s">
        <v>9</v>
      </c>
      <c r="D18" s="108" t="s">
        <v>53</v>
      </c>
      <c r="E18" s="104">
        <v>120.91</v>
      </c>
      <c r="F18" s="107"/>
    </row>
    <row r="19">
      <c r="A19" s="252">
        <v>46118.0</v>
      </c>
      <c r="B19" s="257" t="s">
        <v>2288</v>
      </c>
      <c r="C19" s="108" t="s">
        <v>9</v>
      </c>
      <c r="D19" s="108" t="s">
        <v>53</v>
      </c>
      <c r="E19" s="104">
        <v>85.91</v>
      </c>
      <c r="F19" s="107"/>
    </row>
    <row r="20">
      <c r="A20" s="252">
        <v>46118.0</v>
      </c>
      <c r="B20" s="254" t="s">
        <v>2290</v>
      </c>
      <c r="C20" s="108" t="s">
        <v>9</v>
      </c>
      <c r="D20" s="108" t="s">
        <v>53</v>
      </c>
      <c r="E20" s="104">
        <v>177.91</v>
      </c>
      <c r="F20" s="107"/>
    </row>
    <row r="21">
      <c r="A21" s="252">
        <v>46118.0</v>
      </c>
      <c r="B21" s="254" t="s">
        <v>2180</v>
      </c>
      <c r="C21" s="108" t="s">
        <v>9</v>
      </c>
      <c r="D21" s="108" t="s">
        <v>53</v>
      </c>
      <c r="E21" s="104">
        <v>85.91</v>
      </c>
      <c r="F21" s="107"/>
    </row>
    <row r="22">
      <c r="A22" s="252">
        <v>46118.0</v>
      </c>
      <c r="B22" s="254" t="s">
        <v>2295</v>
      </c>
      <c r="C22" s="108" t="s">
        <v>9</v>
      </c>
      <c r="D22" s="108" t="s">
        <v>53</v>
      </c>
      <c r="E22" s="104">
        <v>103.91</v>
      </c>
      <c r="F22" s="107"/>
    </row>
    <row r="23">
      <c r="A23" s="252">
        <v>46118.0</v>
      </c>
      <c r="B23" s="254">
        <v>5.304507979E9</v>
      </c>
      <c r="C23" s="108" t="s">
        <v>9</v>
      </c>
      <c r="D23" s="108" t="s">
        <v>53</v>
      </c>
      <c r="E23" s="104">
        <v>97.91</v>
      </c>
      <c r="F23" s="104">
        <v>2.0</v>
      </c>
    </row>
    <row r="24">
      <c r="A24" s="260"/>
      <c r="B24" s="102"/>
      <c r="C24" s="102"/>
      <c r="D24" s="102"/>
      <c r="E24" s="102"/>
      <c r="F24" s="102"/>
    </row>
    <row r="25">
      <c r="A25" s="252">
        <v>46119.0</v>
      </c>
      <c r="B25" s="254" t="s">
        <v>253</v>
      </c>
      <c r="C25" s="108" t="s">
        <v>9</v>
      </c>
      <c r="D25" s="108" t="s">
        <v>53</v>
      </c>
      <c r="E25" s="104">
        <v>21.91</v>
      </c>
      <c r="F25" s="104">
        <v>2.0</v>
      </c>
    </row>
    <row r="26">
      <c r="A26" s="252">
        <v>46119.0</v>
      </c>
      <c r="B26" s="254" t="s">
        <v>281</v>
      </c>
      <c r="C26" s="108" t="s">
        <v>9</v>
      </c>
      <c r="D26" s="108" t="s">
        <v>53</v>
      </c>
      <c r="E26" s="104">
        <v>21.91</v>
      </c>
      <c r="F26" s="104">
        <v>2.0</v>
      </c>
    </row>
    <row r="27">
      <c r="A27" s="252">
        <v>46119.0</v>
      </c>
      <c r="B27" s="254" t="s">
        <v>344</v>
      </c>
      <c r="C27" s="108" t="s">
        <v>9</v>
      </c>
      <c r="D27" s="108" t="s">
        <v>53</v>
      </c>
      <c r="E27" s="104">
        <v>21.91</v>
      </c>
      <c r="F27" s="104">
        <v>3.0</v>
      </c>
    </row>
    <row r="28">
      <c r="A28" s="252">
        <v>46119.0</v>
      </c>
      <c r="B28" s="257" t="s">
        <v>2305</v>
      </c>
      <c r="C28" s="108" t="s">
        <v>9</v>
      </c>
      <c r="D28" s="108" t="s">
        <v>53</v>
      </c>
      <c r="E28" s="104">
        <v>45.91</v>
      </c>
      <c r="F28" s="107"/>
    </row>
    <row r="29">
      <c r="A29" s="252">
        <v>46119.0</v>
      </c>
      <c r="B29" s="257" t="s">
        <v>409</v>
      </c>
      <c r="C29" s="108" t="s">
        <v>9</v>
      </c>
      <c r="D29" s="108" t="s">
        <v>53</v>
      </c>
      <c r="E29" s="104">
        <v>75.91</v>
      </c>
      <c r="F29" s="107"/>
    </row>
    <row r="30">
      <c r="A30" s="252">
        <v>46119.0</v>
      </c>
      <c r="B30" s="254" t="s">
        <v>186</v>
      </c>
      <c r="C30" s="108" t="s">
        <v>9</v>
      </c>
      <c r="D30" s="108" t="s">
        <v>53</v>
      </c>
      <c r="E30" s="104">
        <v>35.91</v>
      </c>
      <c r="F30" s="107"/>
    </row>
    <row r="31">
      <c r="A31" s="252">
        <v>46119.0</v>
      </c>
      <c r="B31" s="257" t="s">
        <v>544</v>
      </c>
      <c r="C31" s="108" t="s">
        <v>9</v>
      </c>
      <c r="D31" s="108" t="s">
        <v>53</v>
      </c>
      <c r="E31" s="104">
        <v>31.91</v>
      </c>
      <c r="F31" s="107"/>
    </row>
    <row r="32">
      <c r="A32" s="252">
        <v>46119.0</v>
      </c>
      <c r="B32" s="261" t="s">
        <v>2313</v>
      </c>
      <c r="C32" s="108" t="s">
        <v>9</v>
      </c>
      <c r="D32" s="108" t="s">
        <v>53</v>
      </c>
      <c r="E32" s="104">
        <v>31.91</v>
      </c>
      <c r="F32" s="107"/>
    </row>
    <row r="33">
      <c r="A33" s="252">
        <v>46119.0</v>
      </c>
      <c r="B33" s="257" t="s">
        <v>2316</v>
      </c>
      <c r="C33" s="108" t="s">
        <v>9</v>
      </c>
      <c r="D33" s="108" t="s">
        <v>53</v>
      </c>
      <c r="E33" s="104">
        <v>75.91</v>
      </c>
      <c r="F33" s="107"/>
    </row>
    <row r="34">
      <c r="A34" s="252">
        <v>46119.0</v>
      </c>
      <c r="B34" s="254" t="s">
        <v>250</v>
      </c>
      <c r="C34" s="108" t="s">
        <v>9</v>
      </c>
      <c r="D34" s="108" t="s">
        <v>53</v>
      </c>
      <c r="E34" s="104">
        <v>34.91</v>
      </c>
      <c r="F34" s="107"/>
    </row>
    <row r="35">
      <c r="A35" s="252">
        <v>46119.0</v>
      </c>
      <c r="B35" s="104" t="s">
        <v>1933</v>
      </c>
      <c r="C35" s="108" t="s">
        <v>9</v>
      </c>
      <c r="D35" s="108" t="s">
        <v>53</v>
      </c>
      <c r="E35" s="104">
        <v>23.91</v>
      </c>
      <c r="F35" s="107"/>
    </row>
    <row r="36">
      <c r="A36" s="252">
        <v>46119.0</v>
      </c>
      <c r="B36" s="257" t="s">
        <v>1900</v>
      </c>
      <c r="C36" s="108" t="s">
        <v>9</v>
      </c>
      <c r="D36" s="108" t="s">
        <v>53</v>
      </c>
      <c r="E36" s="104">
        <v>26.91</v>
      </c>
      <c r="F36" s="104">
        <v>2.0</v>
      </c>
    </row>
    <row r="37">
      <c r="A37" s="252">
        <v>46119.0</v>
      </c>
      <c r="B37" s="257" t="s">
        <v>2322</v>
      </c>
      <c r="C37" s="108" t="s">
        <v>9</v>
      </c>
      <c r="D37" s="108" t="s">
        <v>53</v>
      </c>
      <c r="E37" s="104">
        <v>21.91</v>
      </c>
      <c r="F37" s="104">
        <v>2.0</v>
      </c>
    </row>
    <row r="38">
      <c r="A38" s="252">
        <v>46119.0</v>
      </c>
      <c r="B38" s="257" t="s">
        <v>2323</v>
      </c>
      <c r="C38" s="108" t="s">
        <v>9</v>
      </c>
      <c r="D38" s="108" t="s">
        <v>53</v>
      </c>
      <c r="E38" s="104">
        <v>24.91</v>
      </c>
      <c r="F38" s="107"/>
    </row>
    <row r="39">
      <c r="A39" s="252">
        <v>46119.0</v>
      </c>
      <c r="B39" s="254" t="s">
        <v>287</v>
      </c>
      <c r="C39" s="108" t="s">
        <v>9</v>
      </c>
      <c r="D39" s="108" t="s">
        <v>53</v>
      </c>
      <c r="E39" s="104">
        <v>31.91</v>
      </c>
      <c r="F39" s="107"/>
    </row>
    <row r="40">
      <c r="A40" s="252">
        <v>46119.0</v>
      </c>
      <c r="B40" s="257" t="s">
        <v>709</v>
      </c>
      <c r="C40" s="108" t="s">
        <v>9</v>
      </c>
      <c r="D40" s="108" t="s">
        <v>53</v>
      </c>
      <c r="E40" s="104">
        <v>65.91</v>
      </c>
      <c r="F40" s="107"/>
    </row>
    <row r="41">
      <c r="A41" s="252">
        <v>46119.0</v>
      </c>
      <c r="B41" s="254" t="s">
        <v>2329</v>
      </c>
      <c r="C41" s="108" t="s">
        <v>9</v>
      </c>
      <c r="D41" s="108" t="s">
        <v>53</v>
      </c>
      <c r="E41" s="104">
        <v>75.91</v>
      </c>
      <c r="F41" s="107"/>
    </row>
    <row r="42">
      <c r="A42" s="252">
        <v>46119.0</v>
      </c>
      <c r="B42" s="257" t="s">
        <v>2017</v>
      </c>
      <c r="C42" s="108" t="s">
        <v>9</v>
      </c>
      <c r="D42" s="108" t="s">
        <v>53</v>
      </c>
      <c r="E42" s="104">
        <v>38.91</v>
      </c>
      <c r="F42" s="107"/>
    </row>
    <row r="43">
      <c r="A43" s="252">
        <v>46119.0</v>
      </c>
      <c r="B43" s="254" t="s">
        <v>2333</v>
      </c>
      <c r="C43" s="108" t="s">
        <v>9</v>
      </c>
      <c r="D43" s="108" t="s">
        <v>53</v>
      </c>
      <c r="E43" s="104">
        <v>20.91</v>
      </c>
      <c r="F43" s="107"/>
    </row>
    <row r="44">
      <c r="A44" s="252">
        <v>46119.0</v>
      </c>
      <c r="B44" s="254" t="s">
        <v>2335</v>
      </c>
      <c r="C44" s="108" t="s">
        <v>9</v>
      </c>
      <c r="D44" s="108" t="s">
        <v>53</v>
      </c>
      <c r="E44" s="104">
        <v>20.91</v>
      </c>
      <c r="F44" s="107"/>
    </row>
    <row r="45">
      <c r="A45" s="263"/>
      <c r="B45" s="102"/>
      <c r="C45" s="102"/>
      <c r="D45" s="102"/>
      <c r="E45" s="102"/>
      <c r="F45" s="102"/>
    </row>
    <row r="46">
      <c r="A46" s="252">
        <v>46120.0</v>
      </c>
      <c r="B46" s="254" t="s">
        <v>2340</v>
      </c>
      <c r="C46" s="108" t="s">
        <v>9</v>
      </c>
      <c r="D46" s="108" t="s">
        <v>53</v>
      </c>
      <c r="E46" s="104">
        <v>20.91</v>
      </c>
      <c r="F46" s="107"/>
    </row>
    <row r="47">
      <c r="A47" s="252">
        <v>46120.0</v>
      </c>
      <c r="B47" s="257" t="s">
        <v>2341</v>
      </c>
      <c r="C47" s="108" t="s">
        <v>9</v>
      </c>
      <c r="D47" s="108" t="s">
        <v>53</v>
      </c>
      <c r="E47" s="104">
        <v>21.91</v>
      </c>
      <c r="F47" s="107"/>
    </row>
    <row r="48">
      <c r="A48" s="252">
        <v>46120.0</v>
      </c>
      <c r="B48" s="257" t="s">
        <v>2344</v>
      </c>
      <c r="C48" s="108" t="s">
        <v>9</v>
      </c>
      <c r="D48" s="108" t="s">
        <v>53</v>
      </c>
      <c r="E48" s="104">
        <v>29.91</v>
      </c>
      <c r="F48" s="107"/>
    </row>
    <row r="49">
      <c r="A49" s="252">
        <v>46120.0</v>
      </c>
      <c r="B49" s="257" t="s">
        <v>210</v>
      </c>
      <c r="C49" s="108" t="s">
        <v>9</v>
      </c>
      <c r="D49" s="108" t="s">
        <v>53</v>
      </c>
      <c r="E49" s="104">
        <v>21.91</v>
      </c>
      <c r="F49" s="107"/>
    </row>
    <row r="50">
      <c r="A50" s="252">
        <v>46120.0</v>
      </c>
      <c r="B50" s="257" t="s">
        <v>680</v>
      </c>
      <c r="C50" s="108" t="s">
        <v>9</v>
      </c>
      <c r="D50" s="108" t="s">
        <v>53</v>
      </c>
      <c r="E50" s="104">
        <v>165.91</v>
      </c>
      <c r="F50" s="107"/>
    </row>
    <row r="51">
      <c r="A51" s="252">
        <v>46120.0</v>
      </c>
      <c r="B51" s="257" t="s">
        <v>141</v>
      </c>
      <c r="C51" s="108" t="s">
        <v>9</v>
      </c>
      <c r="D51" s="108" t="s">
        <v>53</v>
      </c>
      <c r="E51" s="104">
        <v>21.91</v>
      </c>
      <c r="F51" s="104">
        <v>4.0</v>
      </c>
    </row>
    <row r="52">
      <c r="A52" s="252">
        <v>46120.0</v>
      </c>
      <c r="B52" s="257" t="s">
        <v>199</v>
      </c>
      <c r="C52" s="108" t="s">
        <v>9</v>
      </c>
      <c r="D52" s="108" t="s">
        <v>53</v>
      </c>
      <c r="E52" s="104">
        <v>99.91</v>
      </c>
      <c r="F52" s="107"/>
    </row>
    <row r="53">
      <c r="A53" s="252">
        <v>46120.0</v>
      </c>
      <c r="B53" s="257" t="s">
        <v>903</v>
      </c>
      <c r="C53" s="108" t="s">
        <v>9</v>
      </c>
      <c r="D53" s="108" t="s">
        <v>53</v>
      </c>
      <c r="E53" s="104">
        <v>45.91</v>
      </c>
      <c r="F53" s="104">
        <v>2.0</v>
      </c>
    </row>
    <row r="54">
      <c r="A54" s="252">
        <v>46120.0</v>
      </c>
      <c r="B54" s="257" t="s">
        <v>2353</v>
      </c>
      <c r="C54" s="108" t="s">
        <v>9</v>
      </c>
      <c r="D54" s="108" t="s">
        <v>53</v>
      </c>
      <c r="E54" s="104">
        <v>58.91</v>
      </c>
      <c r="F54" s="107"/>
    </row>
    <row r="55">
      <c r="A55" s="252">
        <v>46120.0</v>
      </c>
      <c r="B55" s="254" t="s">
        <v>222</v>
      </c>
      <c r="C55" s="108" t="s">
        <v>9</v>
      </c>
      <c r="D55" s="108" t="s">
        <v>53</v>
      </c>
      <c r="E55" s="104">
        <v>58.91</v>
      </c>
      <c r="F55" s="107"/>
    </row>
    <row r="56">
      <c r="A56" s="252">
        <v>46120.0</v>
      </c>
      <c r="B56" s="257" t="s">
        <v>148</v>
      </c>
      <c r="C56" s="108" t="s">
        <v>9</v>
      </c>
      <c r="D56" s="108" t="s">
        <v>53</v>
      </c>
      <c r="E56" s="104">
        <v>26.91</v>
      </c>
      <c r="F56" s="107"/>
    </row>
    <row r="57">
      <c r="A57" s="252">
        <v>46120.0</v>
      </c>
      <c r="B57" s="104" t="s">
        <v>2357</v>
      </c>
      <c r="C57" s="108" t="s">
        <v>9</v>
      </c>
      <c r="D57" s="108" t="s">
        <v>53</v>
      </c>
      <c r="E57" s="104">
        <v>25.91</v>
      </c>
      <c r="F57" s="107"/>
    </row>
    <row r="58">
      <c r="A58" s="252">
        <v>46120.0</v>
      </c>
      <c r="B58" s="104" t="s">
        <v>2361</v>
      </c>
      <c r="C58" s="108" t="s">
        <v>9</v>
      </c>
      <c r="D58" s="108" t="s">
        <v>53</v>
      </c>
      <c r="E58" s="104">
        <v>59.91</v>
      </c>
      <c r="F58" s="107"/>
    </row>
    <row r="59">
      <c r="A59" s="252">
        <v>46120.0</v>
      </c>
      <c r="B59" s="264" t="s">
        <v>577</v>
      </c>
      <c r="C59" s="108" t="s">
        <v>9</v>
      </c>
      <c r="D59" s="108" t="s">
        <v>53</v>
      </c>
      <c r="E59" s="104">
        <v>80.91</v>
      </c>
      <c r="F59" s="107"/>
    </row>
    <row r="60">
      <c r="A60" s="260"/>
      <c r="B60" s="102"/>
      <c r="C60" s="260"/>
      <c r="D60" s="102"/>
      <c r="E60" s="102"/>
      <c r="F60" s="102"/>
    </row>
    <row r="61">
      <c r="A61" s="252">
        <v>46121.0</v>
      </c>
      <c r="B61" s="257" t="s">
        <v>847</v>
      </c>
      <c r="C61" s="108" t="s">
        <v>9</v>
      </c>
      <c r="D61" s="108" t="s">
        <v>53</v>
      </c>
      <c r="E61" s="104">
        <v>29.91</v>
      </c>
      <c r="F61" s="107"/>
    </row>
    <row r="62">
      <c r="A62" s="252">
        <v>46121.0</v>
      </c>
      <c r="B62" s="257" t="s">
        <v>78</v>
      </c>
      <c r="C62" s="108" t="s">
        <v>8</v>
      </c>
      <c r="D62" s="108" t="s">
        <v>53</v>
      </c>
      <c r="E62" s="104">
        <v>45.91</v>
      </c>
      <c r="F62" s="107"/>
    </row>
    <row r="63">
      <c r="A63" s="252">
        <v>46121.0</v>
      </c>
      <c r="B63" s="254" t="s">
        <v>2372</v>
      </c>
      <c r="C63" s="108" t="s">
        <v>9</v>
      </c>
      <c r="D63" s="108" t="s">
        <v>53</v>
      </c>
      <c r="E63" s="104">
        <v>39.91</v>
      </c>
      <c r="F63" s="107"/>
    </row>
    <row r="64">
      <c r="A64" s="252">
        <v>46121.0</v>
      </c>
      <c r="B64" s="257" t="s">
        <v>2375</v>
      </c>
      <c r="C64" s="108" t="s">
        <v>9</v>
      </c>
      <c r="D64" s="108" t="s">
        <v>53</v>
      </c>
      <c r="E64" s="104">
        <v>29.91</v>
      </c>
      <c r="F64" s="107"/>
    </row>
    <row r="65">
      <c r="A65" s="252">
        <v>46121.0</v>
      </c>
      <c r="B65" s="254" t="s">
        <v>2379</v>
      </c>
      <c r="C65" s="108" t="s">
        <v>9</v>
      </c>
      <c r="D65" s="108" t="s">
        <v>53</v>
      </c>
      <c r="E65" s="104">
        <v>35.91</v>
      </c>
      <c r="F65" s="107"/>
    </row>
    <row r="66">
      <c r="A66" s="252">
        <v>46121.0</v>
      </c>
      <c r="B66" s="254" t="s">
        <v>2381</v>
      </c>
      <c r="C66" s="108" t="s">
        <v>9</v>
      </c>
      <c r="D66" s="108" t="s">
        <v>53</v>
      </c>
      <c r="E66" s="104">
        <v>29.91</v>
      </c>
      <c r="F66" s="107"/>
    </row>
    <row r="67">
      <c r="A67" s="252">
        <v>46121.0</v>
      </c>
      <c r="B67" s="254" t="s">
        <v>892</v>
      </c>
      <c r="C67" s="108" t="s">
        <v>9</v>
      </c>
      <c r="D67" s="108" t="s">
        <v>53</v>
      </c>
      <c r="E67" s="104">
        <v>45.91</v>
      </c>
      <c r="F67" s="104">
        <v>2.0</v>
      </c>
    </row>
    <row r="68">
      <c r="A68" s="252">
        <v>46121.0</v>
      </c>
      <c r="B68" s="254" t="s">
        <v>874</v>
      </c>
      <c r="C68" s="108" t="s">
        <v>9</v>
      </c>
      <c r="D68" s="108" t="s">
        <v>53</v>
      </c>
      <c r="E68" s="104">
        <v>21.91</v>
      </c>
      <c r="F68" s="104">
        <v>2.0</v>
      </c>
    </row>
    <row r="69">
      <c r="A69" s="252">
        <v>46121.0</v>
      </c>
      <c r="B69" s="257" t="s">
        <v>2385</v>
      </c>
      <c r="C69" s="108" t="s">
        <v>9</v>
      </c>
      <c r="D69" s="108" t="s">
        <v>53</v>
      </c>
      <c r="E69" s="104">
        <v>48.91</v>
      </c>
      <c r="F69" s="104">
        <v>2.0</v>
      </c>
    </row>
    <row r="70">
      <c r="A70" s="252">
        <v>46121.0</v>
      </c>
      <c r="B70" s="257" t="s">
        <v>818</v>
      </c>
      <c r="C70" s="108" t="s">
        <v>9</v>
      </c>
      <c r="D70" s="108" t="s">
        <v>53</v>
      </c>
      <c r="E70" s="104">
        <v>56.91</v>
      </c>
      <c r="F70" s="107"/>
    </row>
    <row r="71">
      <c r="A71" s="252">
        <v>46121.0</v>
      </c>
      <c r="B71" s="254" t="s">
        <v>2390</v>
      </c>
      <c r="C71" s="108" t="s">
        <v>9</v>
      </c>
      <c r="D71" s="108" t="s">
        <v>53</v>
      </c>
      <c r="E71" s="104">
        <v>43.91</v>
      </c>
      <c r="F71" s="107"/>
    </row>
    <row r="72">
      <c r="A72" s="252">
        <v>46121.0</v>
      </c>
      <c r="B72" s="257" t="s">
        <v>2392</v>
      </c>
      <c r="C72" s="108" t="s">
        <v>9</v>
      </c>
      <c r="D72" s="108" t="s">
        <v>53</v>
      </c>
      <c r="E72" s="104">
        <v>63.91</v>
      </c>
      <c r="F72" s="107"/>
    </row>
    <row r="73">
      <c r="A73" s="252">
        <v>46121.0</v>
      </c>
      <c r="B73" s="257" t="s">
        <v>425</v>
      </c>
      <c r="C73" s="108" t="s">
        <v>9</v>
      </c>
      <c r="D73" s="108" t="s">
        <v>53</v>
      </c>
      <c r="E73" s="104">
        <v>38.91</v>
      </c>
      <c r="F73" s="107"/>
    </row>
    <row r="74">
      <c r="A74" s="252">
        <v>46121.0</v>
      </c>
      <c r="B74" s="254" t="s">
        <v>636</v>
      </c>
      <c r="C74" s="108" t="s">
        <v>9</v>
      </c>
      <c r="D74" s="108" t="s">
        <v>53</v>
      </c>
      <c r="E74" s="104">
        <v>40.91</v>
      </c>
      <c r="F74" s="107"/>
    </row>
    <row r="75">
      <c r="A75" s="252">
        <v>46121.0</v>
      </c>
      <c r="B75" s="257" t="s">
        <v>2396</v>
      </c>
      <c r="C75" s="108" t="s">
        <v>9</v>
      </c>
      <c r="D75" s="108" t="s">
        <v>53</v>
      </c>
      <c r="E75" s="104">
        <v>85.91</v>
      </c>
      <c r="F75" s="107"/>
    </row>
    <row r="76">
      <c r="A76" s="252">
        <v>46121.0</v>
      </c>
      <c r="B76" s="254" t="s">
        <v>2397</v>
      </c>
      <c r="C76" s="108" t="s">
        <v>9</v>
      </c>
      <c r="D76" s="108" t="s">
        <v>53</v>
      </c>
      <c r="E76" s="104">
        <v>105.91</v>
      </c>
      <c r="F76" s="107"/>
    </row>
    <row r="77">
      <c r="A77" s="252">
        <v>46121.0</v>
      </c>
      <c r="B77" s="254" t="s">
        <v>1901</v>
      </c>
      <c r="C77" s="108" t="s">
        <v>9</v>
      </c>
      <c r="D77" s="108" t="s">
        <v>53</v>
      </c>
      <c r="E77" s="104">
        <v>205.91</v>
      </c>
      <c r="F77" s="104">
        <v>4.0</v>
      </c>
    </row>
    <row r="78">
      <c r="A78" s="252">
        <v>46121.0</v>
      </c>
      <c r="B78" s="257" t="s">
        <v>1032</v>
      </c>
      <c r="C78" s="108" t="s">
        <v>9</v>
      </c>
      <c r="D78" s="108" t="s">
        <v>53</v>
      </c>
      <c r="E78" s="104">
        <v>110.91</v>
      </c>
      <c r="F78" s="104">
        <v>2.0</v>
      </c>
    </row>
    <row r="79">
      <c r="A79" s="252">
        <v>46121.0</v>
      </c>
      <c r="B79" s="104" t="s">
        <v>181</v>
      </c>
      <c r="C79" s="108" t="s">
        <v>9</v>
      </c>
      <c r="D79" s="108" t="s">
        <v>53</v>
      </c>
      <c r="E79" s="104">
        <v>35.91</v>
      </c>
      <c r="F79" s="104">
        <v>2.0</v>
      </c>
    </row>
    <row r="80">
      <c r="A80" s="252">
        <v>46121.0</v>
      </c>
      <c r="B80" s="257" t="s">
        <v>2401</v>
      </c>
      <c r="C80" s="108" t="s">
        <v>9</v>
      </c>
      <c r="D80" s="108" t="s">
        <v>53</v>
      </c>
      <c r="E80" s="104">
        <v>31.91</v>
      </c>
      <c r="F80" s="104">
        <v>2.0</v>
      </c>
    </row>
    <row r="81">
      <c r="A81" s="252">
        <v>46121.0</v>
      </c>
      <c r="B81" s="104">
        <v>5.304517203E9</v>
      </c>
      <c r="C81" s="108" t="s">
        <v>9</v>
      </c>
      <c r="D81" s="108" t="s">
        <v>53</v>
      </c>
      <c r="E81" s="104">
        <v>21.91</v>
      </c>
      <c r="F81" s="107"/>
    </row>
    <row r="82">
      <c r="A82" s="263"/>
      <c r="B82" s="102"/>
      <c r="C82" s="102"/>
      <c r="D82" s="102"/>
      <c r="E82" s="102"/>
      <c r="F82" s="102"/>
    </row>
    <row r="83">
      <c r="A83" s="252">
        <v>46122.0</v>
      </c>
      <c r="B83" s="104">
        <v>5.30451768E9</v>
      </c>
      <c r="C83" s="108" t="s">
        <v>9</v>
      </c>
      <c r="D83" s="108" t="s">
        <v>53</v>
      </c>
      <c r="E83" s="104">
        <v>40.91</v>
      </c>
      <c r="F83" s="107"/>
    </row>
    <row r="84">
      <c r="A84" s="252">
        <v>46122.0</v>
      </c>
      <c r="B84" s="257" t="s">
        <v>2404</v>
      </c>
      <c r="C84" s="108" t="s">
        <v>9</v>
      </c>
      <c r="D84" s="108" t="s">
        <v>53</v>
      </c>
      <c r="E84" s="104">
        <v>90.91</v>
      </c>
      <c r="F84" s="107"/>
    </row>
    <row r="85">
      <c r="A85" s="252">
        <v>46122.0</v>
      </c>
      <c r="B85" s="257" t="s">
        <v>2407</v>
      </c>
      <c r="C85" s="108" t="s">
        <v>9</v>
      </c>
      <c r="D85" s="108" t="s">
        <v>53</v>
      </c>
      <c r="E85" s="104">
        <v>26.91</v>
      </c>
      <c r="F85" s="107"/>
    </row>
    <row r="86">
      <c r="A86" s="252">
        <v>46122.0</v>
      </c>
      <c r="B86" s="257" t="s">
        <v>2408</v>
      </c>
      <c r="C86" s="108" t="s">
        <v>9</v>
      </c>
      <c r="D86" s="108" t="s">
        <v>53</v>
      </c>
      <c r="E86" s="104">
        <v>60.91</v>
      </c>
      <c r="F86" s="107"/>
    </row>
    <row r="87">
      <c r="A87" s="252">
        <v>46122.0</v>
      </c>
      <c r="B87" s="254" t="s">
        <v>1366</v>
      </c>
      <c r="C87" s="108" t="s">
        <v>9</v>
      </c>
      <c r="D87" s="108" t="s">
        <v>53</v>
      </c>
      <c r="E87" s="104">
        <v>24.91</v>
      </c>
      <c r="F87" s="107"/>
    </row>
    <row r="88">
      <c r="A88" s="252">
        <v>46122.0</v>
      </c>
      <c r="B88" s="257" t="s">
        <v>2411</v>
      </c>
      <c r="C88" s="108" t="s">
        <v>9</v>
      </c>
      <c r="D88" s="108" t="s">
        <v>53</v>
      </c>
      <c r="E88" s="104">
        <v>27.91</v>
      </c>
      <c r="F88" s="107"/>
    </row>
    <row r="89">
      <c r="A89" s="252">
        <v>46122.0</v>
      </c>
      <c r="B89" s="257" t="s">
        <v>2412</v>
      </c>
      <c r="C89" s="108" t="s">
        <v>9</v>
      </c>
      <c r="D89" s="108" t="s">
        <v>53</v>
      </c>
      <c r="E89" s="104">
        <v>25.91</v>
      </c>
      <c r="F89" s="104">
        <v>2.0</v>
      </c>
    </row>
    <row r="90">
      <c r="A90" s="252">
        <v>46122.0</v>
      </c>
      <c r="B90" s="257" t="s">
        <v>2413</v>
      </c>
      <c r="C90" s="108" t="s">
        <v>9</v>
      </c>
      <c r="D90" s="108" t="s">
        <v>53</v>
      </c>
      <c r="E90" s="104">
        <v>21.91</v>
      </c>
      <c r="F90" s="104">
        <v>3.0</v>
      </c>
    </row>
    <row r="91">
      <c r="A91" s="252">
        <v>46122.0</v>
      </c>
      <c r="B91" s="254" t="s">
        <v>658</v>
      </c>
      <c r="C91" s="108" t="s">
        <v>9</v>
      </c>
      <c r="D91" s="108" t="s">
        <v>53</v>
      </c>
      <c r="E91" s="104">
        <v>21.91</v>
      </c>
      <c r="F91" s="107"/>
    </row>
    <row r="92">
      <c r="A92" s="252">
        <v>46122.0</v>
      </c>
      <c r="B92" s="257" t="s">
        <v>653</v>
      </c>
      <c r="C92" s="108" t="s">
        <v>9</v>
      </c>
      <c r="D92" s="108" t="s">
        <v>53</v>
      </c>
      <c r="E92" s="104">
        <v>21.91</v>
      </c>
      <c r="F92" s="107"/>
    </row>
    <row r="93">
      <c r="A93" s="252">
        <v>46122.0</v>
      </c>
      <c r="B93" s="254" t="s">
        <v>344</v>
      </c>
      <c r="C93" s="108" t="s">
        <v>9</v>
      </c>
      <c r="D93" s="108" t="s">
        <v>53</v>
      </c>
      <c r="E93" s="104">
        <v>21.91</v>
      </c>
      <c r="F93" s="107"/>
    </row>
    <row r="94">
      <c r="A94" s="252">
        <v>46122.0</v>
      </c>
      <c r="B94" s="257" t="s">
        <v>668</v>
      </c>
      <c r="C94" s="108" t="s">
        <v>9</v>
      </c>
      <c r="D94" s="108" t="s">
        <v>53</v>
      </c>
      <c r="E94" s="104">
        <v>25.91</v>
      </c>
      <c r="F94" s="107"/>
    </row>
    <row r="95">
      <c r="A95" s="252">
        <v>46122.0</v>
      </c>
      <c r="B95" s="257" t="s">
        <v>2418</v>
      </c>
      <c r="C95" s="108" t="s">
        <v>9</v>
      </c>
      <c r="D95" s="108" t="s">
        <v>53</v>
      </c>
      <c r="E95" s="104">
        <v>38.91</v>
      </c>
      <c r="F95" s="107"/>
    </row>
    <row r="96">
      <c r="A96" s="252">
        <v>46122.0</v>
      </c>
      <c r="B96" s="257" t="s">
        <v>2420</v>
      </c>
      <c r="C96" s="108" t="s">
        <v>9</v>
      </c>
      <c r="D96" s="108" t="s">
        <v>53</v>
      </c>
      <c r="E96" s="104">
        <v>22.91</v>
      </c>
      <c r="F96" s="107"/>
    </row>
    <row r="97">
      <c r="A97" s="252">
        <v>46122.0</v>
      </c>
      <c r="B97" s="257" t="s">
        <v>2422</v>
      </c>
      <c r="C97" s="108" t="s">
        <v>9</v>
      </c>
      <c r="D97" s="108" t="s">
        <v>53</v>
      </c>
      <c r="E97" s="104">
        <v>73.91</v>
      </c>
      <c r="F97" s="107"/>
    </row>
    <row r="98">
      <c r="A98" s="252">
        <v>46122.0</v>
      </c>
      <c r="B98" s="266" t="s">
        <v>458</v>
      </c>
      <c r="C98" s="108" t="s">
        <v>9</v>
      </c>
      <c r="D98" s="108" t="s">
        <v>53</v>
      </c>
      <c r="E98" s="104">
        <v>35.91</v>
      </c>
      <c r="F98" s="107"/>
    </row>
    <row r="99">
      <c r="A99" s="252">
        <v>46122.0</v>
      </c>
      <c r="B99" s="104" t="s">
        <v>2424</v>
      </c>
      <c r="C99" s="108" t="s">
        <v>9</v>
      </c>
      <c r="D99" s="108" t="s">
        <v>53</v>
      </c>
      <c r="E99" s="104">
        <v>45.91</v>
      </c>
      <c r="F99" s="107"/>
    </row>
    <row r="100">
      <c r="A100" s="252">
        <v>46122.0</v>
      </c>
      <c r="B100" s="108">
        <v>1.40287527075E11</v>
      </c>
      <c r="C100" s="108" t="s">
        <v>9</v>
      </c>
      <c r="D100" s="108" t="s">
        <v>53</v>
      </c>
      <c r="E100" s="104">
        <v>45.91</v>
      </c>
      <c r="F100" s="104">
        <v>2.0</v>
      </c>
    </row>
    <row r="101">
      <c r="A101" s="252">
        <v>46122.0</v>
      </c>
      <c r="B101" s="108">
        <v>5.304505004E9</v>
      </c>
      <c r="C101" s="108" t="s">
        <v>9</v>
      </c>
      <c r="D101" s="108" t="s">
        <v>53</v>
      </c>
      <c r="E101" s="104">
        <v>45.91</v>
      </c>
      <c r="F101" s="107"/>
    </row>
    <row r="102">
      <c r="A102" s="268" t="s">
        <v>2430</v>
      </c>
      <c r="B102" s="268" t="s">
        <v>2432</v>
      </c>
      <c r="C102" s="268" t="s">
        <v>9</v>
      </c>
      <c r="D102" s="268" t="s">
        <v>53</v>
      </c>
      <c r="E102" s="269" t="s">
        <v>2435</v>
      </c>
      <c r="F102" s="270"/>
    </row>
    <row r="103">
      <c r="A103" s="268" t="s">
        <v>2430</v>
      </c>
      <c r="B103" s="268" t="s">
        <v>2437</v>
      </c>
      <c r="C103" s="268" t="s">
        <v>9</v>
      </c>
      <c r="D103" s="268" t="s">
        <v>53</v>
      </c>
      <c r="E103" s="269" t="s">
        <v>2435</v>
      </c>
      <c r="F103" s="270"/>
    </row>
    <row r="104">
      <c r="A104" s="271"/>
      <c r="B104" s="272"/>
      <c r="C104" s="272"/>
      <c r="D104" s="272"/>
      <c r="E104" s="272"/>
      <c r="F104" s="272"/>
    </row>
    <row r="105">
      <c r="A105" s="268" t="s">
        <v>2441</v>
      </c>
      <c r="B105" s="268" t="s">
        <v>2442</v>
      </c>
      <c r="C105" s="268" t="s">
        <v>9</v>
      </c>
      <c r="D105" s="268" t="s">
        <v>53</v>
      </c>
      <c r="E105" s="269" t="s">
        <v>2444</v>
      </c>
      <c r="F105" s="270"/>
    </row>
    <row r="106">
      <c r="A106" s="268" t="s">
        <v>2441</v>
      </c>
      <c r="B106" s="268" t="s">
        <v>2446</v>
      </c>
      <c r="C106" s="268" t="s">
        <v>9</v>
      </c>
      <c r="D106" s="268" t="s">
        <v>53</v>
      </c>
      <c r="E106" s="269" t="s">
        <v>2448</v>
      </c>
      <c r="F106" s="270"/>
    </row>
    <row r="107">
      <c r="A107" s="268" t="s">
        <v>2441</v>
      </c>
      <c r="B107" s="268" t="s">
        <v>2449</v>
      </c>
      <c r="C107" s="268" t="s">
        <v>9</v>
      </c>
      <c r="D107" s="268" t="s">
        <v>53</v>
      </c>
      <c r="E107" s="269" t="s">
        <v>2435</v>
      </c>
      <c r="F107" s="270"/>
    </row>
    <row r="108">
      <c r="A108" s="271"/>
      <c r="B108" s="272"/>
      <c r="C108" s="272"/>
      <c r="D108" s="272"/>
      <c r="E108" s="272"/>
      <c r="F108" s="272"/>
    </row>
    <row r="109">
      <c r="A109" s="268" t="s">
        <v>2452</v>
      </c>
      <c r="B109" s="268" t="s">
        <v>2453</v>
      </c>
      <c r="C109" s="268" t="s">
        <v>9</v>
      </c>
      <c r="D109" s="268" t="s">
        <v>53</v>
      </c>
      <c r="E109" s="269" t="s">
        <v>2455</v>
      </c>
      <c r="F109" s="270"/>
    </row>
    <row r="110">
      <c r="A110" s="268" t="s">
        <v>2452</v>
      </c>
      <c r="B110" s="268" t="s">
        <v>2458</v>
      </c>
      <c r="C110" s="268" t="s">
        <v>9</v>
      </c>
      <c r="D110" s="268" t="s">
        <v>53</v>
      </c>
      <c r="E110" s="269" t="s">
        <v>2460</v>
      </c>
      <c r="F110" s="270"/>
    </row>
    <row r="111">
      <c r="A111" s="268" t="s">
        <v>2452</v>
      </c>
      <c r="B111" s="268" t="s">
        <v>2462</v>
      </c>
      <c r="C111" s="268" t="s">
        <v>9</v>
      </c>
      <c r="D111" s="268" t="s">
        <v>53</v>
      </c>
      <c r="E111" s="269" t="s">
        <v>2465</v>
      </c>
      <c r="F111" s="269" t="s">
        <v>2466</v>
      </c>
    </row>
    <row r="112">
      <c r="A112" s="268" t="s">
        <v>2452</v>
      </c>
      <c r="B112" s="268" t="s">
        <v>2468</v>
      </c>
      <c r="C112" s="268" t="s">
        <v>9</v>
      </c>
      <c r="D112" s="268" t="s">
        <v>53</v>
      </c>
      <c r="E112" s="269" t="s">
        <v>2469</v>
      </c>
      <c r="F112" s="270"/>
    </row>
    <row r="113">
      <c r="A113" s="268" t="s">
        <v>2452</v>
      </c>
      <c r="B113" s="268" t="s">
        <v>2471</v>
      </c>
      <c r="C113" s="268" t="s">
        <v>9</v>
      </c>
      <c r="D113" s="268" t="s">
        <v>53</v>
      </c>
      <c r="E113" s="269" t="s">
        <v>2472</v>
      </c>
      <c r="F113" s="270"/>
    </row>
    <row r="114">
      <c r="A114" s="268" t="s">
        <v>2452</v>
      </c>
      <c r="B114" s="268" t="s">
        <v>2473</v>
      </c>
      <c r="C114" s="268" t="s">
        <v>9</v>
      </c>
      <c r="D114" s="268" t="s">
        <v>53</v>
      </c>
      <c r="E114" s="269" t="s">
        <v>2472</v>
      </c>
      <c r="F114" s="270"/>
    </row>
    <row r="115">
      <c r="A115" s="268" t="s">
        <v>2452</v>
      </c>
      <c r="B115" s="268" t="s">
        <v>2474</v>
      </c>
      <c r="C115" s="268" t="s">
        <v>9</v>
      </c>
      <c r="D115" s="268" t="s">
        <v>53</v>
      </c>
      <c r="E115" s="269" t="s">
        <v>2475</v>
      </c>
      <c r="F115" s="270"/>
    </row>
    <row r="116">
      <c r="A116" s="268" t="s">
        <v>2452</v>
      </c>
      <c r="B116" s="268" t="s">
        <v>2477</v>
      </c>
      <c r="C116" s="268" t="s">
        <v>9</v>
      </c>
      <c r="D116" s="268" t="s">
        <v>53</v>
      </c>
      <c r="E116" s="269" t="s">
        <v>2479</v>
      </c>
      <c r="F116" s="270"/>
    </row>
    <row r="117">
      <c r="A117" s="268" t="s">
        <v>2452</v>
      </c>
      <c r="B117" s="268" t="s">
        <v>2482</v>
      </c>
      <c r="C117" s="268" t="s">
        <v>9</v>
      </c>
      <c r="D117" s="268" t="s">
        <v>53</v>
      </c>
      <c r="E117" s="269" t="s">
        <v>2460</v>
      </c>
      <c r="F117" s="270"/>
    </row>
    <row r="118">
      <c r="A118" s="268" t="s">
        <v>2452</v>
      </c>
      <c r="B118" s="268" t="s">
        <v>2484</v>
      </c>
      <c r="C118" s="268" t="s">
        <v>9</v>
      </c>
      <c r="D118" s="268" t="s">
        <v>53</v>
      </c>
      <c r="E118" s="269" t="s">
        <v>2486</v>
      </c>
      <c r="F118" s="270"/>
    </row>
    <row r="119">
      <c r="A119" s="268" t="s">
        <v>2452</v>
      </c>
      <c r="B119" s="268" t="s">
        <v>1857</v>
      </c>
      <c r="C119" s="268" t="s">
        <v>9</v>
      </c>
      <c r="D119" s="268" t="s">
        <v>53</v>
      </c>
      <c r="E119" s="274" t="s">
        <v>2465</v>
      </c>
      <c r="F119" s="275"/>
    </row>
    <row r="120">
      <c r="A120" s="268" t="s">
        <v>2452</v>
      </c>
      <c r="B120" s="268" t="s">
        <v>2491</v>
      </c>
      <c r="C120" s="268" t="s">
        <v>9</v>
      </c>
      <c r="D120" s="268" t="s">
        <v>53</v>
      </c>
      <c r="E120" s="274" t="s">
        <v>2493</v>
      </c>
      <c r="F120" s="275"/>
    </row>
    <row r="121">
      <c r="A121" s="268" t="s">
        <v>2452</v>
      </c>
      <c r="B121" s="268" t="s">
        <v>2496</v>
      </c>
      <c r="C121" s="268" t="s">
        <v>9</v>
      </c>
      <c r="D121" s="268" t="s">
        <v>53</v>
      </c>
      <c r="E121" s="274" t="s">
        <v>2435</v>
      </c>
      <c r="F121" s="275"/>
    </row>
    <row r="122">
      <c r="A122" s="268" t="s">
        <v>2452</v>
      </c>
      <c r="B122" s="268" t="s">
        <v>2499</v>
      </c>
      <c r="C122" s="268" t="s">
        <v>9</v>
      </c>
      <c r="D122" s="268" t="s">
        <v>53</v>
      </c>
      <c r="E122" s="269" t="s">
        <v>2444</v>
      </c>
      <c r="F122" s="275"/>
    </row>
    <row r="123">
      <c r="A123" s="271"/>
      <c r="B123" s="272"/>
      <c r="C123" s="272"/>
      <c r="D123" s="272"/>
      <c r="E123" s="272"/>
      <c r="F123" s="272"/>
    </row>
    <row r="124">
      <c r="A124" s="268" t="s">
        <v>2503</v>
      </c>
      <c r="B124" s="268" t="s">
        <v>2504</v>
      </c>
      <c r="C124" s="268" t="s">
        <v>9</v>
      </c>
      <c r="D124" s="268" t="s">
        <v>53</v>
      </c>
      <c r="E124" s="269" t="s">
        <v>2444</v>
      </c>
      <c r="F124" s="275"/>
    </row>
    <row r="125">
      <c r="A125" s="268" t="s">
        <v>2503</v>
      </c>
      <c r="B125" s="268" t="s">
        <v>2505</v>
      </c>
      <c r="C125" s="268" t="s">
        <v>9</v>
      </c>
      <c r="D125" s="268" t="s">
        <v>53</v>
      </c>
      <c r="E125" s="274" t="s">
        <v>2444</v>
      </c>
      <c r="F125" s="275"/>
    </row>
    <row r="126">
      <c r="A126" s="268" t="s">
        <v>2503</v>
      </c>
      <c r="B126" s="268" t="s">
        <v>2506</v>
      </c>
      <c r="C126" s="268" t="s">
        <v>9</v>
      </c>
      <c r="D126" s="268" t="s">
        <v>53</v>
      </c>
      <c r="E126" s="274" t="s">
        <v>2465</v>
      </c>
      <c r="F126" s="275"/>
    </row>
    <row r="127">
      <c r="A127" s="268" t="s">
        <v>2503</v>
      </c>
      <c r="B127" s="268" t="s">
        <v>1838</v>
      </c>
      <c r="C127" s="268" t="s">
        <v>9</v>
      </c>
      <c r="D127" s="268" t="s">
        <v>53</v>
      </c>
      <c r="E127" s="274" t="s">
        <v>2510</v>
      </c>
      <c r="F127" s="275"/>
    </row>
    <row r="128">
      <c r="A128" s="268" t="s">
        <v>2503</v>
      </c>
      <c r="B128" s="268" t="s">
        <v>2511</v>
      </c>
      <c r="C128" s="268" t="s">
        <v>9</v>
      </c>
      <c r="D128" s="268" t="s">
        <v>53</v>
      </c>
      <c r="E128" s="274" t="s">
        <v>2435</v>
      </c>
      <c r="F128" s="275"/>
    </row>
    <row r="129">
      <c r="A129" s="268" t="s">
        <v>2503</v>
      </c>
      <c r="B129" s="268" t="s">
        <v>2514</v>
      </c>
      <c r="C129" s="268" t="s">
        <v>9</v>
      </c>
      <c r="D129" s="268" t="s">
        <v>53</v>
      </c>
      <c r="E129" s="274" t="s">
        <v>2460</v>
      </c>
      <c r="F129" s="275"/>
    </row>
    <row r="130">
      <c r="A130" s="268" t="s">
        <v>2503</v>
      </c>
      <c r="B130" s="268" t="s">
        <v>2519</v>
      </c>
      <c r="C130" s="268" t="s">
        <v>9</v>
      </c>
      <c r="D130" s="268" t="s">
        <v>53</v>
      </c>
      <c r="E130" s="274" t="s">
        <v>2469</v>
      </c>
      <c r="F130" s="274" t="s">
        <v>2466</v>
      </c>
    </row>
    <row r="131">
      <c r="A131" s="268" t="s">
        <v>2503</v>
      </c>
      <c r="B131" s="268" t="s">
        <v>2521</v>
      </c>
      <c r="C131" s="268" t="s">
        <v>9</v>
      </c>
      <c r="D131" s="268" t="s">
        <v>53</v>
      </c>
      <c r="E131" s="274" t="s">
        <v>2460</v>
      </c>
      <c r="F131" s="275"/>
    </row>
    <row r="132">
      <c r="A132" s="268" t="s">
        <v>2503</v>
      </c>
      <c r="B132" s="268" t="s">
        <v>2522</v>
      </c>
      <c r="C132" s="268" t="s">
        <v>9</v>
      </c>
      <c r="D132" s="268" t="s">
        <v>53</v>
      </c>
      <c r="E132" s="274" t="s">
        <v>2435</v>
      </c>
      <c r="F132" s="275"/>
    </row>
    <row r="133">
      <c r="A133" s="268" t="s">
        <v>2503</v>
      </c>
      <c r="B133" s="268" t="s">
        <v>2525</v>
      </c>
      <c r="C133" s="268" t="s">
        <v>9</v>
      </c>
      <c r="D133" s="268" t="s">
        <v>53</v>
      </c>
      <c r="E133" s="274" t="s">
        <v>2460</v>
      </c>
      <c r="F133" s="275"/>
    </row>
    <row r="134">
      <c r="A134" s="271"/>
      <c r="B134" s="272"/>
      <c r="C134" s="272"/>
      <c r="D134" s="272"/>
      <c r="E134" s="272"/>
      <c r="F134" s="272"/>
    </row>
    <row r="135">
      <c r="A135" s="268" t="s">
        <v>2531</v>
      </c>
      <c r="B135" s="268" t="s">
        <v>2533</v>
      </c>
      <c r="C135" s="268" t="s">
        <v>9</v>
      </c>
      <c r="D135" s="268" t="s">
        <v>53</v>
      </c>
      <c r="E135" s="274" t="s">
        <v>2493</v>
      </c>
      <c r="F135" s="274" t="s">
        <v>2536</v>
      </c>
    </row>
    <row r="136">
      <c r="A136" s="268" t="s">
        <v>2531</v>
      </c>
      <c r="B136" s="278" t="s">
        <v>404</v>
      </c>
      <c r="C136" s="268" t="s">
        <v>9</v>
      </c>
      <c r="D136" s="268" t="s">
        <v>53</v>
      </c>
      <c r="E136" s="279" t="s">
        <v>2479</v>
      </c>
      <c r="F136" s="280"/>
    </row>
    <row r="137">
      <c r="A137" s="268" t="s">
        <v>2531</v>
      </c>
      <c r="B137" s="278" t="s">
        <v>2543</v>
      </c>
      <c r="C137" s="268" t="s">
        <v>9</v>
      </c>
      <c r="D137" s="268" t="s">
        <v>53</v>
      </c>
      <c r="E137" s="279" t="s">
        <v>2493</v>
      </c>
      <c r="F137" s="280"/>
    </row>
    <row r="138">
      <c r="A138" s="268" t="s">
        <v>2531</v>
      </c>
      <c r="B138" s="278" t="s">
        <v>2546</v>
      </c>
      <c r="C138" s="268" t="s">
        <v>9</v>
      </c>
      <c r="D138" s="268" t="s">
        <v>53</v>
      </c>
      <c r="E138" s="279" t="s">
        <v>2435</v>
      </c>
      <c r="F138" s="280"/>
    </row>
    <row r="139">
      <c r="A139" s="268" t="s">
        <v>2531</v>
      </c>
      <c r="B139" s="278" t="s">
        <v>2550</v>
      </c>
      <c r="C139" s="268" t="s">
        <v>9</v>
      </c>
      <c r="D139" s="268" t="s">
        <v>53</v>
      </c>
      <c r="E139" s="279" t="s">
        <v>2510</v>
      </c>
      <c r="F139" s="280"/>
    </row>
    <row r="140">
      <c r="A140" s="268" t="s">
        <v>2531</v>
      </c>
      <c r="B140" s="278" t="s">
        <v>2554</v>
      </c>
      <c r="C140" s="268" t="s">
        <v>9</v>
      </c>
      <c r="D140" s="268" t="s">
        <v>53</v>
      </c>
      <c r="E140" s="279" t="s">
        <v>2510</v>
      </c>
      <c r="F140" s="280"/>
    </row>
    <row r="141">
      <c r="A141" s="268" t="s">
        <v>2531</v>
      </c>
      <c r="B141" s="278" t="s">
        <v>2557</v>
      </c>
      <c r="C141" s="268" t="s">
        <v>9</v>
      </c>
      <c r="D141" s="268" t="s">
        <v>53</v>
      </c>
      <c r="E141" s="279" t="s">
        <v>2444</v>
      </c>
      <c r="F141" s="280"/>
    </row>
    <row r="142">
      <c r="A142" s="268" t="s">
        <v>2531</v>
      </c>
      <c r="B142" s="278" t="s">
        <v>2560</v>
      </c>
      <c r="C142" s="268" t="s">
        <v>9</v>
      </c>
      <c r="D142" s="268" t="s">
        <v>53</v>
      </c>
      <c r="E142" s="279" t="s">
        <v>2444</v>
      </c>
      <c r="F142" s="280"/>
    </row>
    <row r="143">
      <c r="A143" s="268" t="s">
        <v>2531</v>
      </c>
      <c r="B143" s="278" t="s">
        <v>2562</v>
      </c>
      <c r="C143" s="268" t="s">
        <v>9</v>
      </c>
      <c r="D143" s="268" t="s">
        <v>53</v>
      </c>
      <c r="E143" s="279" t="s">
        <v>2564</v>
      </c>
      <c r="F143" s="280"/>
    </row>
    <row r="144">
      <c r="A144" s="268" t="s">
        <v>2531</v>
      </c>
      <c r="B144" s="278" t="s">
        <v>2565</v>
      </c>
      <c r="C144" s="268" t="s">
        <v>9</v>
      </c>
      <c r="D144" s="268" t="s">
        <v>53</v>
      </c>
      <c r="E144" s="279" t="s">
        <v>2479</v>
      </c>
      <c r="F144" s="280"/>
    </row>
    <row r="145">
      <c r="A145" s="268" t="s">
        <v>2531</v>
      </c>
      <c r="B145" s="281" t="s">
        <v>2569</v>
      </c>
      <c r="C145" s="268" t="s">
        <v>9</v>
      </c>
      <c r="D145" s="268" t="s">
        <v>53</v>
      </c>
      <c r="E145" s="279" t="s">
        <v>2510</v>
      </c>
      <c r="F145" s="280"/>
    </row>
    <row r="146">
      <c r="A146" s="271"/>
      <c r="B146" s="272"/>
      <c r="C146" s="272"/>
      <c r="D146" s="272"/>
      <c r="E146" s="272"/>
      <c r="F146" s="272"/>
    </row>
    <row r="147">
      <c r="A147" s="281" t="s">
        <v>2573</v>
      </c>
      <c r="B147" s="281" t="s">
        <v>2575</v>
      </c>
      <c r="C147" s="268" t="s">
        <v>9</v>
      </c>
      <c r="D147" s="268" t="s">
        <v>53</v>
      </c>
      <c r="E147" s="279" t="s">
        <v>2493</v>
      </c>
      <c r="F147" s="280"/>
    </row>
    <row r="148">
      <c r="A148" s="281" t="s">
        <v>2573</v>
      </c>
      <c r="B148" s="281" t="s">
        <v>861</v>
      </c>
      <c r="C148" s="268" t="s">
        <v>9</v>
      </c>
      <c r="D148" s="268" t="s">
        <v>53</v>
      </c>
      <c r="E148" s="279" t="s">
        <v>2493</v>
      </c>
      <c r="F148" s="280"/>
    </row>
    <row r="149">
      <c r="A149" s="281" t="s">
        <v>2573</v>
      </c>
      <c r="B149" s="281" t="s">
        <v>876</v>
      </c>
      <c r="C149" s="268" t="s">
        <v>9</v>
      </c>
      <c r="D149" s="268" t="s">
        <v>53</v>
      </c>
      <c r="E149" s="279" t="s">
        <v>2435</v>
      </c>
      <c r="F149" s="280"/>
    </row>
    <row r="150">
      <c r="A150" s="271"/>
      <c r="B150" s="272"/>
      <c r="C150" s="272"/>
      <c r="D150" s="272"/>
      <c r="E150" s="272"/>
      <c r="F150" s="272"/>
    </row>
    <row r="151">
      <c r="A151" s="281" t="s">
        <v>2579</v>
      </c>
      <c r="B151" s="281" t="s">
        <v>1778</v>
      </c>
      <c r="C151" s="268" t="s">
        <v>9</v>
      </c>
      <c r="D151" s="268" t="s">
        <v>53</v>
      </c>
      <c r="E151" s="279" t="s">
        <v>2465</v>
      </c>
      <c r="F151" s="280"/>
    </row>
    <row r="152">
      <c r="A152" s="281" t="s">
        <v>2579</v>
      </c>
      <c r="B152" s="281" t="s">
        <v>2586</v>
      </c>
      <c r="C152" s="268" t="s">
        <v>9</v>
      </c>
      <c r="D152" s="268" t="s">
        <v>53</v>
      </c>
      <c r="E152" s="279" t="s">
        <v>2486</v>
      </c>
      <c r="F152" s="280"/>
    </row>
    <row r="153">
      <c r="A153" s="281" t="s">
        <v>2579</v>
      </c>
      <c r="B153" s="281" t="s">
        <v>2588</v>
      </c>
      <c r="C153" s="268" t="s">
        <v>9</v>
      </c>
      <c r="D153" s="268" t="s">
        <v>53</v>
      </c>
      <c r="E153" s="279" t="s">
        <v>2493</v>
      </c>
      <c r="F153" s="280"/>
    </row>
    <row r="154">
      <c r="A154" s="281" t="s">
        <v>2579</v>
      </c>
      <c r="B154" s="281" t="s">
        <v>2591</v>
      </c>
      <c r="C154" s="268" t="s">
        <v>9</v>
      </c>
      <c r="D154" s="268" t="s">
        <v>53</v>
      </c>
      <c r="E154" s="279" t="s">
        <v>2475</v>
      </c>
      <c r="F154" s="280"/>
    </row>
    <row r="155">
      <c r="A155" s="281" t="s">
        <v>2579</v>
      </c>
      <c r="B155" s="281" t="s">
        <v>2593</v>
      </c>
      <c r="C155" s="268" t="s">
        <v>9</v>
      </c>
      <c r="D155" s="268" t="s">
        <v>53</v>
      </c>
      <c r="E155" s="279" t="s">
        <v>2469</v>
      </c>
      <c r="F155" s="280"/>
    </row>
    <row r="156">
      <c r="A156" s="281" t="s">
        <v>2579</v>
      </c>
      <c r="B156" s="281" t="s">
        <v>2597</v>
      </c>
      <c r="C156" s="268" t="s">
        <v>9</v>
      </c>
      <c r="D156" s="268" t="s">
        <v>53</v>
      </c>
      <c r="E156" s="279" t="s">
        <v>2493</v>
      </c>
      <c r="F156" s="280"/>
    </row>
    <row r="157">
      <c r="A157" s="281" t="s">
        <v>2579</v>
      </c>
      <c r="B157" s="281" t="s">
        <v>2600</v>
      </c>
      <c r="C157" s="268" t="s">
        <v>9</v>
      </c>
      <c r="D157" s="268" t="s">
        <v>53</v>
      </c>
      <c r="E157" s="279" t="s">
        <v>2486</v>
      </c>
      <c r="F157" s="279" t="s">
        <v>2536</v>
      </c>
    </row>
    <row r="158">
      <c r="A158" s="281" t="s">
        <v>2579</v>
      </c>
      <c r="B158" s="281" t="s">
        <v>2603</v>
      </c>
      <c r="C158" s="268" t="s">
        <v>9</v>
      </c>
      <c r="D158" s="268" t="s">
        <v>53</v>
      </c>
      <c r="E158" s="279" t="s">
        <v>2444</v>
      </c>
      <c r="F158" s="280"/>
    </row>
    <row r="159">
      <c r="A159" s="281" t="s">
        <v>2579</v>
      </c>
      <c r="B159" s="281" t="s">
        <v>2206</v>
      </c>
      <c r="C159" s="268" t="s">
        <v>9</v>
      </c>
      <c r="D159" s="268" t="s">
        <v>53</v>
      </c>
      <c r="E159" s="279" t="s">
        <v>2472</v>
      </c>
      <c r="F159" s="280"/>
    </row>
    <row r="160">
      <c r="A160" s="281" t="s">
        <v>2579</v>
      </c>
      <c r="B160" s="281" t="s">
        <v>2609</v>
      </c>
      <c r="C160" s="268" t="s">
        <v>9</v>
      </c>
      <c r="D160" s="268" t="s">
        <v>53</v>
      </c>
      <c r="E160" s="279" t="s">
        <v>2472</v>
      </c>
      <c r="F160" s="280"/>
    </row>
    <row r="161">
      <c r="A161" s="281" t="s">
        <v>2579</v>
      </c>
      <c r="B161" s="281" t="s">
        <v>2612</v>
      </c>
      <c r="C161" s="268" t="s">
        <v>9</v>
      </c>
      <c r="D161" s="268" t="s">
        <v>53</v>
      </c>
      <c r="E161" s="279" t="s">
        <v>2472</v>
      </c>
      <c r="F161" s="280"/>
    </row>
    <row r="162">
      <c r="A162" s="281" t="s">
        <v>2579</v>
      </c>
      <c r="B162" s="281" t="s">
        <v>2616</v>
      </c>
      <c r="C162" s="268" t="s">
        <v>9</v>
      </c>
      <c r="D162" s="268" t="s">
        <v>53</v>
      </c>
      <c r="E162" s="279" t="s">
        <v>2472</v>
      </c>
      <c r="F162" s="280"/>
    </row>
    <row r="163">
      <c r="A163" s="281" t="s">
        <v>2579</v>
      </c>
      <c r="B163" s="269" t="s">
        <v>2618</v>
      </c>
      <c r="C163" s="268" t="s">
        <v>9</v>
      </c>
      <c r="D163" s="268" t="s">
        <v>53</v>
      </c>
      <c r="E163" s="274" t="s">
        <v>2444</v>
      </c>
      <c r="F163" s="275"/>
    </row>
    <row r="164">
      <c r="A164" s="281" t="s">
        <v>2579</v>
      </c>
      <c r="B164" s="269" t="s">
        <v>1541</v>
      </c>
      <c r="C164" s="268" t="s">
        <v>9</v>
      </c>
      <c r="D164" s="268" t="s">
        <v>53</v>
      </c>
      <c r="E164" s="274" t="s">
        <v>2435</v>
      </c>
      <c r="F164" s="275"/>
    </row>
    <row r="165">
      <c r="A165" s="281" t="s">
        <v>2579</v>
      </c>
      <c r="B165" s="269" t="s">
        <v>2626</v>
      </c>
      <c r="C165" s="268" t="s">
        <v>9</v>
      </c>
      <c r="D165" s="268" t="s">
        <v>53</v>
      </c>
      <c r="E165" s="274" t="s">
        <v>2628</v>
      </c>
      <c r="F165" s="275"/>
    </row>
    <row r="166">
      <c r="A166" s="281" t="s">
        <v>2579</v>
      </c>
      <c r="B166" s="269" t="s">
        <v>1419</v>
      </c>
      <c r="C166" s="268" t="s">
        <v>9</v>
      </c>
      <c r="D166" s="268" t="s">
        <v>53</v>
      </c>
      <c r="E166" s="274" t="s">
        <v>2564</v>
      </c>
      <c r="F166" s="275"/>
    </row>
    <row r="167">
      <c r="A167" s="281" t="s">
        <v>2579</v>
      </c>
      <c r="B167" s="269" t="s">
        <v>2632</v>
      </c>
      <c r="C167" s="268" t="s">
        <v>9</v>
      </c>
      <c r="D167" s="268" t="s">
        <v>53</v>
      </c>
      <c r="E167" s="274" t="s">
        <v>2633</v>
      </c>
      <c r="F167" s="275"/>
    </row>
    <row r="168">
      <c r="A168" s="281" t="s">
        <v>2579</v>
      </c>
      <c r="B168" s="269" t="s">
        <v>2635</v>
      </c>
      <c r="C168" s="268" t="s">
        <v>9</v>
      </c>
      <c r="D168" s="268" t="s">
        <v>53</v>
      </c>
      <c r="E168" s="274" t="s">
        <v>2493</v>
      </c>
      <c r="F168" s="275"/>
    </row>
    <row r="169">
      <c r="A169" s="281" t="s">
        <v>2579</v>
      </c>
      <c r="B169" s="269" t="s">
        <v>2638</v>
      </c>
      <c r="C169" s="268" t="s">
        <v>9</v>
      </c>
      <c r="D169" s="268" t="s">
        <v>53</v>
      </c>
      <c r="E169" s="274" t="s">
        <v>2460</v>
      </c>
      <c r="F169" s="275"/>
    </row>
    <row r="170">
      <c r="A170" s="281" t="s">
        <v>2579</v>
      </c>
      <c r="B170" s="269" t="s">
        <v>1318</v>
      </c>
      <c r="C170" s="268" t="s">
        <v>9</v>
      </c>
      <c r="D170" s="268" t="s">
        <v>53</v>
      </c>
      <c r="E170" s="274" t="s">
        <v>2472</v>
      </c>
      <c r="F170" s="275"/>
    </row>
    <row r="171">
      <c r="A171" s="281" t="s">
        <v>2579</v>
      </c>
      <c r="B171" s="269" t="s">
        <v>2645</v>
      </c>
      <c r="C171" s="268" t="s">
        <v>9</v>
      </c>
      <c r="D171" s="268" t="s">
        <v>53</v>
      </c>
      <c r="E171" s="274" t="s">
        <v>2448</v>
      </c>
      <c r="F171" s="275"/>
    </row>
    <row r="172">
      <c r="A172" s="281" t="s">
        <v>2579</v>
      </c>
      <c r="B172" s="269" t="s">
        <v>2647</v>
      </c>
      <c r="C172" s="268" t="s">
        <v>9</v>
      </c>
      <c r="D172" s="268" t="s">
        <v>53</v>
      </c>
      <c r="E172" s="274" t="s">
        <v>2479</v>
      </c>
      <c r="F172" s="275"/>
    </row>
    <row r="173">
      <c r="A173" s="271"/>
      <c r="B173" s="272"/>
      <c r="C173" s="272"/>
      <c r="D173" s="272"/>
      <c r="E173" s="272"/>
      <c r="F173" s="272"/>
    </row>
    <row r="174">
      <c r="A174" s="269" t="s">
        <v>2650</v>
      </c>
      <c r="B174" s="269" t="s">
        <v>284</v>
      </c>
      <c r="C174" s="268" t="s">
        <v>9</v>
      </c>
      <c r="D174" s="268" t="s">
        <v>53</v>
      </c>
      <c r="E174" s="274" t="s">
        <v>2444</v>
      </c>
      <c r="F174" s="275"/>
    </row>
    <row r="175">
      <c r="A175" s="269" t="s">
        <v>2650</v>
      </c>
      <c r="B175" s="269" t="s">
        <v>2655</v>
      </c>
      <c r="C175" s="268" t="s">
        <v>9</v>
      </c>
      <c r="D175" s="268" t="s">
        <v>53</v>
      </c>
      <c r="E175" s="274" t="s">
        <v>2460</v>
      </c>
      <c r="F175" s="275"/>
    </row>
    <row r="176">
      <c r="A176" s="288" t="s">
        <v>2650</v>
      </c>
      <c r="B176" s="269" t="s">
        <v>2658</v>
      </c>
      <c r="C176" s="268" t="s">
        <v>9</v>
      </c>
      <c r="D176" s="268" t="s">
        <v>53</v>
      </c>
      <c r="E176" s="274" t="s">
        <v>2460</v>
      </c>
      <c r="F176" s="275"/>
    </row>
    <row r="177">
      <c r="A177" s="269" t="s">
        <v>2650</v>
      </c>
      <c r="B177" s="269" t="s">
        <v>2662</v>
      </c>
      <c r="C177" s="268" t="s">
        <v>9</v>
      </c>
      <c r="D177" s="268" t="s">
        <v>53</v>
      </c>
      <c r="E177" s="274" t="s">
        <v>2460</v>
      </c>
      <c r="F177" s="275"/>
    </row>
    <row r="178">
      <c r="A178" s="269" t="s">
        <v>2650</v>
      </c>
      <c r="B178" s="269" t="s">
        <v>1442</v>
      </c>
      <c r="C178" s="268" t="s">
        <v>9</v>
      </c>
      <c r="D178" s="268" t="s">
        <v>53</v>
      </c>
      <c r="E178" s="274" t="s">
        <v>2472</v>
      </c>
      <c r="F178" s="270"/>
    </row>
    <row r="179">
      <c r="A179" s="288" t="s">
        <v>2650</v>
      </c>
      <c r="B179" s="269" t="s">
        <v>2669</v>
      </c>
      <c r="C179" s="268" t="s">
        <v>9</v>
      </c>
      <c r="D179" s="268" t="s">
        <v>53</v>
      </c>
      <c r="E179" s="274" t="s">
        <v>2448</v>
      </c>
      <c r="F179" s="270"/>
    </row>
    <row r="180">
      <c r="A180" s="269" t="s">
        <v>2650</v>
      </c>
      <c r="B180" s="269" t="s">
        <v>2672</v>
      </c>
      <c r="C180" s="268" t="s">
        <v>9</v>
      </c>
      <c r="D180" s="268" t="s">
        <v>53</v>
      </c>
      <c r="E180" s="274" t="s">
        <v>2475</v>
      </c>
      <c r="F180" s="270"/>
    </row>
    <row r="181">
      <c r="A181" s="269" t="s">
        <v>2650</v>
      </c>
      <c r="B181" s="269" t="s">
        <v>2677</v>
      </c>
      <c r="C181" s="268" t="s">
        <v>9</v>
      </c>
      <c r="D181" s="268" t="s">
        <v>53</v>
      </c>
      <c r="E181" s="274" t="s">
        <v>2472</v>
      </c>
      <c r="F181" s="275"/>
    </row>
    <row r="182">
      <c r="A182" s="288" t="s">
        <v>2650</v>
      </c>
      <c r="B182" s="269" t="s">
        <v>2680</v>
      </c>
      <c r="C182" s="268" t="s">
        <v>9</v>
      </c>
      <c r="D182" s="268" t="s">
        <v>53</v>
      </c>
      <c r="E182" s="274" t="s">
        <v>2493</v>
      </c>
      <c r="F182" s="275"/>
    </row>
    <row r="183">
      <c r="A183" s="269" t="s">
        <v>2650</v>
      </c>
      <c r="B183" s="269" t="s">
        <v>2682</v>
      </c>
      <c r="C183" s="268" t="s">
        <v>9</v>
      </c>
      <c r="D183" s="268" t="s">
        <v>53</v>
      </c>
      <c r="E183" s="274" t="s">
        <v>2469</v>
      </c>
      <c r="F183" s="275"/>
    </row>
    <row r="184">
      <c r="A184" s="269" t="s">
        <v>2650</v>
      </c>
      <c r="B184" s="269" t="s">
        <v>2683</v>
      </c>
      <c r="C184" s="268" t="s">
        <v>9</v>
      </c>
      <c r="D184" s="268" t="s">
        <v>53</v>
      </c>
      <c r="E184" s="274" t="s">
        <v>2486</v>
      </c>
      <c r="F184" s="275"/>
    </row>
    <row r="185">
      <c r="A185" s="288" t="s">
        <v>2650</v>
      </c>
      <c r="B185" s="269" t="s">
        <v>2687</v>
      </c>
      <c r="C185" s="268" t="s">
        <v>9</v>
      </c>
      <c r="D185" s="268" t="s">
        <v>53</v>
      </c>
      <c r="E185" s="274" t="s">
        <v>2435</v>
      </c>
      <c r="F185" s="275"/>
    </row>
    <row r="186">
      <c r="A186" s="269" t="s">
        <v>2650</v>
      </c>
      <c r="B186" s="269" t="s">
        <v>2688</v>
      </c>
      <c r="C186" s="268" t="s">
        <v>9</v>
      </c>
      <c r="D186" s="268" t="s">
        <v>53</v>
      </c>
      <c r="E186" s="274" t="s">
        <v>2690</v>
      </c>
      <c r="F186" s="275"/>
    </row>
    <row r="187">
      <c r="A187" s="269" t="s">
        <v>2650</v>
      </c>
      <c r="B187" s="269" t="s">
        <v>2692</v>
      </c>
      <c r="C187" s="268" t="s">
        <v>9</v>
      </c>
      <c r="D187" s="268" t="s">
        <v>53</v>
      </c>
      <c r="E187" s="274" t="s">
        <v>2460</v>
      </c>
      <c r="F187" s="275"/>
    </row>
    <row r="188">
      <c r="A188" s="288" t="s">
        <v>2650</v>
      </c>
      <c r="B188" s="269" t="s">
        <v>2697</v>
      </c>
      <c r="C188" s="268" t="s">
        <v>9</v>
      </c>
      <c r="D188" s="268" t="s">
        <v>53</v>
      </c>
      <c r="E188" s="274" t="s">
        <v>2455</v>
      </c>
      <c r="F188" s="275"/>
    </row>
    <row r="189">
      <c r="A189" s="269" t="s">
        <v>2650</v>
      </c>
      <c r="B189" s="269" t="s">
        <v>2699</v>
      </c>
      <c r="C189" s="268" t="s">
        <v>9</v>
      </c>
      <c r="D189" s="268" t="s">
        <v>53</v>
      </c>
      <c r="E189" s="274" t="s">
        <v>2444</v>
      </c>
      <c r="F189" s="275"/>
    </row>
    <row r="190">
      <c r="A190" s="269" t="s">
        <v>2650</v>
      </c>
      <c r="B190" s="269" t="s">
        <v>2701</v>
      </c>
      <c r="C190" s="268" t="s">
        <v>9</v>
      </c>
      <c r="D190" s="268" t="s">
        <v>53</v>
      </c>
      <c r="E190" s="274" t="s">
        <v>2702</v>
      </c>
      <c r="F190" s="275"/>
    </row>
    <row r="191">
      <c r="A191" s="288" t="s">
        <v>2650</v>
      </c>
      <c r="B191" s="269" t="s">
        <v>1757</v>
      </c>
      <c r="C191" s="268" t="s">
        <v>9</v>
      </c>
      <c r="D191" s="268" t="s">
        <v>53</v>
      </c>
      <c r="E191" s="274" t="s">
        <v>2702</v>
      </c>
      <c r="F191" s="275"/>
    </row>
    <row r="192">
      <c r="A192" s="269" t="s">
        <v>2650</v>
      </c>
      <c r="B192" s="269" t="s">
        <v>2704</v>
      </c>
      <c r="C192" s="268" t="s">
        <v>9</v>
      </c>
      <c r="D192" s="268" t="s">
        <v>53</v>
      </c>
      <c r="E192" s="274" t="s">
        <v>2448</v>
      </c>
      <c r="F192" s="275"/>
    </row>
    <row r="193">
      <c r="A193" s="269" t="s">
        <v>2650</v>
      </c>
      <c r="B193" s="269" t="s">
        <v>2707</v>
      </c>
      <c r="C193" s="268" t="s">
        <v>9</v>
      </c>
      <c r="D193" s="268" t="s">
        <v>53</v>
      </c>
      <c r="E193" s="274" t="s">
        <v>2708</v>
      </c>
      <c r="F193" s="275"/>
    </row>
    <row r="194">
      <c r="A194" s="288" t="s">
        <v>2650</v>
      </c>
      <c r="B194" s="269" t="s">
        <v>2710</v>
      </c>
      <c r="C194" s="268" t="s">
        <v>9</v>
      </c>
      <c r="D194" s="268" t="s">
        <v>53</v>
      </c>
      <c r="E194" s="274" t="s">
        <v>2713</v>
      </c>
      <c r="F194" s="275"/>
    </row>
    <row r="195">
      <c r="A195" s="269" t="s">
        <v>2650</v>
      </c>
      <c r="B195" s="269" t="s">
        <v>2715</v>
      </c>
      <c r="C195" s="268" t="s">
        <v>9</v>
      </c>
      <c r="D195" s="268" t="s">
        <v>53</v>
      </c>
      <c r="E195" s="274" t="s">
        <v>2469</v>
      </c>
      <c r="F195" s="274" t="s">
        <v>2466</v>
      </c>
    </row>
    <row r="196">
      <c r="A196" s="269" t="s">
        <v>2650</v>
      </c>
      <c r="B196" s="269" t="s">
        <v>2718</v>
      </c>
      <c r="C196" s="268" t="s">
        <v>9</v>
      </c>
      <c r="D196" s="268" t="s">
        <v>53</v>
      </c>
      <c r="E196" s="274" t="s">
        <v>2708</v>
      </c>
      <c r="F196" s="275"/>
    </row>
    <row r="197">
      <c r="A197" s="288" t="s">
        <v>2650</v>
      </c>
      <c r="B197" s="269" t="s">
        <v>2721</v>
      </c>
      <c r="C197" s="268" t="s">
        <v>9</v>
      </c>
      <c r="D197" s="268" t="s">
        <v>53</v>
      </c>
      <c r="E197" s="274" t="s">
        <v>2448</v>
      </c>
      <c r="F197" s="275"/>
    </row>
    <row r="198">
      <c r="A198" s="269" t="s">
        <v>2650</v>
      </c>
      <c r="B198" s="269" t="s">
        <v>2723</v>
      </c>
      <c r="C198" s="268" t="s">
        <v>9</v>
      </c>
      <c r="D198" s="268" t="s">
        <v>53</v>
      </c>
      <c r="E198" s="274" t="s">
        <v>2702</v>
      </c>
      <c r="F198" s="275"/>
    </row>
    <row r="199">
      <c r="A199" s="269" t="s">
        <v>2650</v>
      </c>
      <c r="B199" s="269" t="s">
        <v>2725</v>
      </c>
      <c r="C199" s="268" t="s">
        <v>9</v>
      </c>
      <c r="D199" s="268" t="s">
        <v>53</v>
      </c>
      <c r="E199" s="274" t="s">
        <v>2713</v>
      </c>
      <c r="F199" s="274" t="s">
        <v>2536</v>
      </c>
    </row>
    <row r="200">
      <c r="A200" s="288" t="s">
        <v>2650</v>
      </c>
      <c r="B200" s="269" t="s">
        <v>2728</v>
      </c>
      <c r="C200" s="268" t="s">
        <v>9</v>
      </c>
      <c r="D200" s="268" t="s">
        <v>53</v>
      </c>
      <c r="E200" s="274" t="s">
        <v>2465</v>
      </c>
      <c r="F200" s="275"/>
    </row>
    <row r="201">
      <c r="A201" s="271"/>
      <c r="B201" s="272"/>
      <c r="C201" s="272"/>
      <c r="D201" s="272"/>
      <c r="E201" s="272"/>
      <c r="F201" s="272"/>
    </row>
    <row r="202">
      <c r="A202" s="269" t="s">
        <v>2730</v>
      </c>
      <c r="B202" s="269" t="s">
        <v>2731</v>
      </c>
      <c r="C202" s="268" t="s">
        <v>9</v>
      </c>
      <c r="D202" s="268" t="s">
        <v>53</v>
      </c>
      <c r="E202" s="274" t="s">
        <v>2702</v>
      </c>
      <c r="F202" s="275"/>
    </row>
    <row r="203">
      <c r="A203" s="269" t="s">
        <v>2730</v>
      </c>
      <c r="B203" s="269" t="s">
        <v>2734</v>
      </c>
      <c r="C203" s="268" t="s">
        <v>9</v>
      </c>
      <c r="D203" s="268" t="s">
        <v>53</v>
      </c>
      <c r="E203" s="274" t="s">
        <v>2493</v>
      </c>
      <c r="F203" s="275"/>
    </row>
    <row r="204">
      <c r="A204" s="269" t="s">
        <v>2730</v>
      </c>
      <c r="B204" s="269" t="s">
        <v>2738</v>
      </c>
      <c r="C204" s="268" t="s">
        <v>9</v>
      </c>
      <c r="D204" s="268" t="s">
        <v>53</v>
      </c>
      <c r="E204" s="274" t="s">
        <v>2475</v>
      </c>
      <c r="F204" s="275"/>
    </row>
    <row r="205">
      <c r="A205" s="269" t="s">
        <v>2730</v>
      </c>
      <c r="B205" s="269" t="s">
        <v>2741</v>
      </c>
      <c r="C205" s="268" t="s">
        <v>9</v>
      </c>
      <c r="D205" s="268" t="s">
        <v>53</v>
      </c>
      <c r="E205" s="274" t="s">
        <v>2472</v>
      </c>
      <c r="F205" s="275"/>
    </row>
    <row r="206">
      <c r="A206" s="269" t="s">
        <v>2730</v>
      </c>
      <c r="B206" s="269" t="s">
        <v>2744</v>
      </c>
      <c r="C206" s="268" t="s">
        <v>9</v>
      </c>
      <c r="D206" s="268" t="s">
        <v>53</v>
      </c>
      <c r="E206" s="274" t="s">
        <v>2460</v>
      </c>
      <c r="F206" s="275"/>
    </row>
    <row r="207">
      <c r="A207" s="269" t="s">
        <v>2730</v>
      </c>
      <c r="B207" s="269" t="s">
        <v>318</v>
      </c>
      <c r="C207" s="268" t="s">
        <v>9</v>
      </c>
      <c r="D207" s="268" t="s">
        <v>53</v>
      </c>
      <c r="E207" s="274" t="s">
        <v>2472</v>
      </c>
      <c r="F207" s="275"/>
    </row>
    <row r="208">
      <c r="A208" s="269" t="s">
        <v>2730</v>
      </c>
      <c r="B208" s="269" t="s">
        <v>2748</v>
      </c>
      <c r="C208" s="268" t="s">
        <v>9</v>
      </c>
      <c r="D208" s="268" t="s">
        <v>53</v>
      </c>
      <c r="E208" s="274" t="s">
        <v>2475</v>
      </c>
      <c r="F208" s="275"/>
    </row>
    <row r="209">
      <c r="A209" s="269" t="s">
        <v>2730</v>
      </c>
      <c r="B209" s="269" t="s">
        <v>2750</v>
      </c>
      <c r="C209" s="268" t="s">
        <v>9</v>
      </c>
      <c r="D209" s="268" t="s">
        <v>53</v>
      </c>
      <c r="E209" s="274" t="s">
        <v>2465</v>
      </c>
      <c r="F209" s="275"/>
    </row>
    <row r="210">
      <c r="A210" s="269" t="s">
        <v>2730</v>
      </c>
      <c r="B210" s="269" t="s">
        <v>2753</v>
      </c>
      <c r="C210" s="268" t="s">
        <v>9</v>
      </c>
      <c r="D210" s="268" t="s">
        <v>53</v>
      </c>
      <c r="E210" s="274" t="s">
        <v>2472</v>
      </c>
      <c r="F210" s="275"/>
    </row>
    <row r="211">
      <c r="A211" s="269" t="s">
        <v>2730</v>
      </c>
      <c r="B211" s="269" t="s">
        <v>2755</v>
      </c>
      <c r="C211" s="268" t="s">
        <v>9</v>
      </c>
      <c r="D211" s="268" t="s">
        <v>53</v>
      </c>
      <c r="E211" s="274" t="s">
        <v>2475</v>
      </c>
      <c r="F211" s="275"/>
    </row>
    <row r="212">
      <c r="A212" s="269" t="s">
        <v>2730</v>
      </c>
      <c r="B212" s="269" t="s">
        <v>600</v>
      </c>
      <c r="C212" s="268" t="s">
        <v>9</v>
      </c>
      <c r="D212" s="268" t="s">
        <v>53</v>
      </c>
      <c r="E212" s="274" t="s">
        <v>2472</v>
      </c>
      <c r="F212" s="275"/>
    </row>
    <row r="213">
      <c r="A213" s="269" t="s">
        <v>2730</v>
      </c>
      <c r="B213" s="269" t="s">
        <v>625</v>
      </c>
      <c r="C213" s="268" t="s">
        <v>9</v>
      </c>
      <c r="D213" s="268" t="s">
        <v>53</v>
      </c>
      <c r="E213" s="274" t="s">
        <v>2472</v>
      </c>
      <c r="F213" s="275"/>
    </row>
    <row r="214">
      <c r="A214" s="269" t="s">
        <v>2730</v>
      </c>
      <c r="B214" s="269" t="s">
        <v>2763</v>
      </c>
      <c r="C214" s="268" t="s">
        <v>9</v>
      </c>
      <c r="D214" s="268" t="s">
        <v>53</v>
      </c>
      <c r="E214" s="274" t="s">
        <v>2472</v>
      </c>
      <c r="F214" s="274" t="s">
        <v>2766</v>
      </c>
    </row>
    <row r="215">
      <c r="A215" s="269" t="s">
        <v>2730</v>
      </c>
      <c r="B215" s="269" t="s">
        <v>2768</v>
      </c>
      <c r="C215" s="268" t="s">
        <v>9</v>
      </c>
      <c r="D215" s="268" t="s">
        <v>53</v>
      </c>
      <c r="E215" s="274" t="s">
        <v>2460</v>
      </c>
      <c r="F215" s="275"/>
    </row>
    <row r="216">
      <c r="A216" s="269" t="s">
        <v>2730</v>
      </c>
      <c r="B216" s="269" t="s">
        <v>1739</v>
      </c>
      <c r="C216" s="268" t="s">
        <v>9</v>
      </c>
      <c r="D216" s="268" t="s">
        <v>53</v>
      </c>
      <c r="E216" s="274" t="s">
        <v>2493</v>
      </c>
      <c r="F216" s="274" t="s">
        <v>2466</v>
      </c>
    </row>
    <row r="217">
      <c r="A217" s="269" t="s">
        <v>2730</v>
      </c>
      <c r="B217" s="269" t="s">
        <v>2772</v>
      </c>
      <c r="C217" s="268" t="s">
        <v>9</v>
      </c>
      <c r="D217" s="268" t="s">
        <v>53</v>
      </c>
      <c r="E217" s="274" t="s">
        <v>2708</v>
      </c>
      <c r="F217" s="275"/>
    </row>
    <row r="218">
      <c r="A218" s="294" t="s">
        <v>2730</v>
      </c>
      <c r="B218" s="114" t="s">
        <v>2779</v>
      </c>
      <c r="C218" s="295" t="s">
        <v>9</v>
      </c>
      <c r="D218" s="295" t="s">
        <v>53</v>
      </c>
      <c r="E218" s="296">
        <v>44.91</v>
      </c>
      <c r="F218" s="297"/>
    </row>
    <row r="219">
      <c r="A219" s="269" t="s">
        <v>2730</v>
      </c>
      <c r="B219" s="104" t="s">
        <v>2790</v>
      </c>
      <c r="C219" s="268" t="s">
        <v>9</v>
      </c>
      <c r="D219" s="268" t="s">
        <v>53</v>
      </c>
      <c r="E219" s="298">
        <v>169.91</v>
      </c>
      <c r="F219" s="299"/>
    </row>
    <row r="220">
      <c r="A220" s="269" t="s">
        <v>2730</v>
      </c>
      <c r="B220" s="108">
        <v>5.304524887E9</v>
      </c>
      <c r="C220" s="268" t="s">
        <v>9</v>
      </c>
      <c r="D220" s="268" t="s">
        <v>53</v>
      </c>
      <c r="E220" s="298">
        <v>59.91</v>
      </c>
      <c r="F220" s="299"/>
    </row>
    <row r="221">
      <c r="A221" s="269" t="s">
        <v>2730</v>
      </c>
      <c r="B221" s="108" t="s">
        <v>2798</v>
      </c>
      <c r="C221" s="268" t="s">
        <v>9</v>
      </c>
      <c r="D221" s="268" t="s">
        <v>53</v>
      </c>
      <c r="E221" s="298">
        <v>44.91</v>
      </c>
      <c r="F221" s="299"/>
    </row>
    <row r="222">
      <c r="A222" s="271"/>
      <c r="B222" s="271"/>
      <c r="C222" s="272"/>
      <c r="D222" s="272"/>
      <c r="E222" s="272"/>
      <c r="F222" s="272"/>
    </row>
    <row r="223">
      <c r="A223" s="252">
        <v>46135.0</v>
      </c>
      <c r="B223" s="108">
        <v>2.41510208E8</v>
      </c>
      <c r="C223" s="268" t="s">
        <v>9</v>
      </c>
      <c r="D223" s="268" t="s">
        <v>53</v>
      </c>
      <c r="E223" s="298">
        <v>69.91</v>
      </c>
      <c r="F223" s="299"/>
    </row>
    <row r="224">
      <c r="A224" s="252">
        <v>46135.0</v>
      </c>
      <c r="B224" s="108">
        <v>5.304537408E9</v>
      </c>
      <c r="C224" s="268" t="s">
        <v>9</v>
      </c>
      <c r="D224" s="268" t="s">
        <v>53</v>
      </c>
      <c r="E224" s="298">
        <v>39.91</v>
      </c>
      <c r="F224" s="299"/>
    </row>
    <row r="225">
      <c r="A225" s="252">
        <v>46135.0</v>
      </c>
      <c r="B225" s="108" t="s">
        <v>2803</v>
      </c>
      <c r="C225" s="268" t="s">
        <v>9</v>
      </c>
      <c r="D225" s="268" t="s">
        <v>53</v>
      </c>
      <c r="E225" s="298">
        <v>149.91</v>
      </c>
      <c r="F225" s="299"/>
    </row>
    <row r="226">
      <c r="A226" s="252">
        <v>46135.0</v>
      </c>
      <c r="B226" s="108" t="s">
        <v>2807</v>
      </c>
      <c r="C226" s="268" t="s">
        <v>9</v>
      </c>
      <c r="D226" s="268" t="s">
        <v>53</v>
      </c>
      <c r="E226" s="298">
        <v>69.91</v>
      </c>
      <c r="F226" s="298">
        <v>2.0</v>
      </c>
    </row>
    <row r="227">
      <c r="A227" s="252">
        <v>46135.0</v>
      </c>
      <c r="B227" s="108" t="s">
        <v>2809</v>
      </c>
      <c r="C227" s="268" t="s">
        <v>9</v>
      </c>
      <c r="D227" s="268" t="s">
        <v>53</v>
      </c>
      <c r="E227" s="298">
        <v>99.91</v>
      </c>
      <c r="F227" s="299"/>
    </row>
    <row r="228">
      <c r="A228" s="252">
        <v>46135.0</v>
      </c>
      <c r="B228" s="108" t="s">
        <v>2812</v>
      </c>
      <c r="C228" s="268" t="s">
        <v>9</v>
      </c>
      <c r="D228" s="268" t="s">
        <v>53</v>
      </c>
      <c r="E228" s="298">
        <v>109.91</v>
      </c>
      <c r="F228" s="299"/>
    </row>
    <row r="229">
      <c r="A229" s="252">
        <v>46135.0</v>
      </c>
      <c r="B229" s="108" t="s">
        <v>2816</v>
      </c>
      <c r="C229" s="268" t="s">
        <v>9</v>
      </c>
      <c r="D229" s="268" t="s">
        <v>53</v>
      </c>
      <c r="E229" s="298">
        <v>199.91</v>
      </c>
      <c r="F229" s="298">
        <v>2.0</v>
      </c>
    </row>
    <row r="230">
      <c r="A230" s="252">
        <v>46135.0</v>
      </c>
      <c r="B230" s="108" t="s">
        <v>2820</v>
      </c>
      <c r="C230" s="268" t="s">
        <v>9</v>
      </c>
      <c r="D230" s="268" t="s">
        <v>53</v>
      </c>
      <c r="E230" s="298">
        <v>109.91</v>
      </c>
      <c r="F230" s="299"/>
    </row>
    <row r="231">
      <c r="A231" s="252">
        <v>46135.0</v>
      </c>
      <c r="B231" s="108" t="s">
        <v>2823</v>
      </c>
      <c r="C231" s="268" t="s">
        <v>9</v>
      </c>
      <c r="D231" s="268" t="s">
        <v>53</v>
      </c>
      <c r="E231" s="298">
        <v>69.91</v>
      </c>
      <c r="F231" s="299"/>
    </row>
    <row r="232">
      <c r="A232" s="252">
        <v>46135.0</v>
      </c>
      <c r="B232" s="108" t="s">
        <v>2825</v>
      </c>
      <c r="C232" s="268" t="s">
        <v>9</v>
      </c>
      <c r="D232" s="268" t="s">
        <v>53</v>
      </c>
      <c r="E232" s="298">
        <v>89.91</v>
      </c>
      <c r="F232" s="298">
        <v>5.0</v>
      </c>
    </row>
    <row r="233">
      <c r="A233" s="252">
        <v>46135.0</v>
      </c>
      <c r="B233" s="108" t="s">
        <v>2827</v>
      </c>
      <c r="C233" s="268" t="s">
        <v>9</v>
      </c>
      <c r="D233" s="268" t="s">
        <v>53</v>
      </c>
      <c r="E233" s="298">
        <v>109.91</v>
      </c>
      <c r="F233" s="298">
        <v>2.0</v>
      </c>
    </row>
    <row r="234">
      <c r="A234" s="252">
        <v>46135.0</v>
      </c>
      <c r="B234" s="268" t="s">
        <v>2831</v>
      </c>
      <c r="C234" s="268" t="s">
        <v>9</v>
      </c>
      <c r="D234" s="268" t="s">
        <v>53</v>
      </c>
      <c r="E234" s="298">
        <v>99.91</v>
      </c>
      <c r="F234" s="299"/>
    </row>
    <row r="235">
      <c r="A235" s="252">
        <v>46135.0</v>
      </c>
      <c r="B235" s="108" t="s">
        <v>1831</v>
      </c>
      <c r="C235" s="268" t="s">
        <v>9</v>
      </c>
      <c r="D235" s="268" t="s">
        <v>53</v>
      </c>
      <c r="E235" s="298">
        <v>29.91</v>
      </c>
      <c r="F235" s="299"/>
    </row>
    <row r="236">
      <c r="A236" s="252">
        <v>46135.0</v>
      </c>
      <c r="B236" s="108" t="s">
        <v>489</v>
      </c>
      <c r="C236" s="268" t="s">
        <v>9</v>
      </c>
      <c r="D236" s="268" t="s">
        <v>53</v>
      </c>
      <c r="E236" s="298">
        <v>44.91</v>
      </c>
      <c r="F236" s="299"/>
    </row>
    <row r="237">
      <c r="A237" s="252">
        <v>46135.0</v>
      </c>
      <c r="B237" s="108" t="s">
        <v>2839</v>
      </c>
      <c r="C237" s="268" t="s">
        <v>9</v>
      </c>
      <c r="D237" s="268" t="s">
        <v>53</v>
      </c>
      <c r="E237" s="298">
        <v>49.91</v>
      </c>
      <c r="F237" s="299"/>
    </row>
    <row r="238">
      <c r="A238" s="252">
        <v>46135.0</v>
      </c>
      <c r="B238" s="108" t="s">
        <v>417</v>
      </c>
      <c r="C238" s="268" t="s">
        <v>9</v>
      </c>
      <c r="D238" s="268" t="s">
        <v>53</v>
      </c>
      <c r="E238" s="298">
        <v>149.91</v>
      </c>
      <c r="F238" s="299"/>
    </row>
    <row r="239">
      <c r="A239" s="252">
        <v>46135.0</v>
      </c>
      <c r="B239" s="108" t="s">
        <v>424</v>
      </c>
      <c r="C239" s="268" t="s">
        <v>9</v>
      </c>
      <c r="D239" s="268" t="s">
        <v>53</v>
      </c>
      <c r="E239" s="298">
        <v>54.91</v>
      </c>
      <c r="F239" s="299"/>
    </row>
    <row r="240">
      <c r="A240" s="252"/>
      <c r="B240" s="108"/>
      <c r="C240" s="268"/>
      <c r="D240" s="268"/>
      <c r="E240" s="298"/>
      <c r="F240" s="299"/>
    </row>
    <row r="241">
      <c r="A241" s="252">
        <v>46135.0</v>
      </c>
      <c r="B241" s="108" t="s">
        <v>432</v>
      </c>
      <c r="C241" s="268" t="s">
        <v>9</v>
      </c>
      <c r="D241" s="268" t="s">
        <v>53</v>
      </c>
      <c r="E241" s="298">
        <v>69.91</v>
      </c>
      <c r="F241" s="298">
        <v>2.0</v>
      </c>
    </row>
    <row r="242">
      <c r="A242" s="252">
        <v>46135.0</v>
      </c>
      <c r="B242" s="108" t="s">
        <v>2850</v>
      </c>
      <c r="C242" s="268" t="s">
        <v>9</v>
      </c>
      <c r="D242" s="268" t="s">
        <v>53</v>
      </c>
      <c r="E242" s="298">
        <v>54.91</v>
      </c>
      <c r="F242" s="299"/>
    </row>
    <row r="243">
      <c r="A243" s="271"/>
      <c r="B243" s="271"/>
      <c r="C243" s="272"/>
      <c r="D243" s="272"/>
      <c r="E243" s="272"/>
      <c r="F243" s="272"/>
    </row>
    <row r="244">
      <c r="A244" s="252">
        <v>46136.0</v>
      </c>
      <c r="B244" s="108">
        <v>5.304532451E9</v>
      </c>
      <c r="C244" s="268" t="s">
        <v>9</v>
      </c>
      <c r="D244" s="268" t="s">
        <v>53</v>
      </c>
      <c r="E244" s="298">
        <v>69.91</v>
      </c>
      <c r="F244" s="104">
        <v>2.0</v>
      </c>
    </row>
    <row r="245">
      <c r="A245" s="252">
        <v>46136.0</v>
      </c>
      <c r="B245" s="108" t="s">
        <v>2856</v>
      </c>
      <c r="C245" s="268" t="s">
        <v>9</v>
      </c>
      <c r="D245" s="268" t="s">
        <v>53</v>
      </c>
      <c r="E245" s="298">
        <v>69.91</v>
      </c>
      <c r="F245" s="107"/>
    </row>
    <row r="246">
      <c r="A246" s="252">
        <v>46136.0</v>
      </c>
      <c r="B246" s="108" t="s">
        <v>647</v>
      </c>
      <c r="C246" s="268" t="s">
        <v>9</v>
      </c>
      <c r="D246" s="268" t="s">
        <v>53</v>
      </c>
      <c r="E246" s="298">
        <v>79.91</v>
      </c>
      <c r="F246" s="107"/>
    </row>
    <row r="247">
      <c r="A247" s="252">
        <v>46136.0</v>
      </c>
      <c r="B247" s="110" t="s">
        <v>2864</v>
      </c>
      <c r="C247" s="268" t="s">
        <v>9</v>
      </c>
      <c r="D247" s="268" t="s">
        <v>53</v>
      </c>
      <c r="E247" s="298">
        <v>169.91</v>
      </c>
      <c r="F247" s="107"/>
    </row>
    <row r="248">
      <c r="A248" s="252">
        <v>46136.0</v>
      </c>
      <c r="B248" s="108">
        <v>5.304534515E9</v>
      </c>
      <c r="C248" s="268" t="s">
        <v>9</v>
      </c>
      <c r="D248" s="268" t="s">
        <v>53</v>
      </c>
      <c r="E248" s="298">
        <v>99.91</v>
      </c>
      <c r="F248" s="107"/>
    </row>
    <row r="249">
      <c r="A249" s="252">
        <v>46136.0</v>
      </c>
      <c r="B249" s="110" t="s">
        <v>2869</v>
      </c>
      <c r="C249" s="268" t="s">
        <v>9</v>
      </c>
      <c r="D249" s="268" t="s">
        <v>53</v>
      </c>
      <c r="E249" s="298">
        <v>239.91</v>
      </c>
      <c r="F249" s="299"/>
    </row>
    <row r="250">
      <c r="A250" s="252">
        <v>46136.0</v>
      </c>
      <c r="B250" s="110" t="s">
        <v>2872</v>
      </c>
      <c r="C250" s="268" t="s">
        <v>9</v>
      </c>
      <c r="D250" s="268" t="s">
        <v>53</v>
      </c>
      <c r="E250" s="298">
        <v>199.91</v>
      </c>
      <c r="F250" s="299"/>
    </row>
    <row r="251">
      <c r="A251" s="252">
        <v>46136.0</v>
      </c>
      <c r="B251" s="108" t="s">
        <v>2874</v>
      </c>
      <c r="C251" s="268" t="s">
        <v>9</v>
      </c>
      <c r="D251" s="268" t="s">
        <v>53</v>
      </c>
      <c r="E251" s="298">
        <v>179.91</v>
      </c>
      <c r="F251" s="299"/>
    </row>
    <row r="252">
      <c r="A252" s="252">
        <v>46136.0</v>
      </c>
      <c r="B252" s="108" t="s">
        <v>2875</v>
      </c>
      <c r="C252" s="268" t="s">
        <v>9</v>
      </c>
      <c r="D252" s="268" t="s">
        <v>53</v>
      </c>
      <c r="E252" s="298">
        <v>219.91</v>
      </c>
      <c r="F252" s="298">
        <v>2.0</v>
      </c>
    </row>
    <row r="253">
      <c r="A253" s="252">
        <v>46136.0</v>
      </c>
      <c r="B253" s="108" t="s">
        <v>44</v>
      </c>
      <c r="C253" s="268" t="s">
        <v>9</v>
      </c>
      <c r="D253" s="268" t="s">
        <v>53</v>
      </c>
      <c r="E253" s="298">
        <v>29.91</v>
      </c>
      <c r="F253" s="298">
        <v>2.0</v>
      </c>
    </row>
    <row r="254">
      <c r="A254" s="252">
        <v>46136.0</v>
      </c>
      <c r="B254" s="108" t="s">
        <v>929</v>
      </c>
      <c r="C254" s="268" t="s">
        <v>9</v>
      </c>
      <c r="D254" s="268" t="s">
        <v>53</v>
      </c>
      <c r="E254" s="298">
        <v>109.91</v>
      </c>
      <c r="F254" s="299"/>
    </row>
    <row r="255">
      <c r="A255" s="252">
        <v>46136.0</v>
      </c>
      <c r="B255" s="108" t="s">
        <v>284</v>
      </c>
      <c r="C255" s="268" t="s">
        <v>9</v>
      </c>
      <c r="D255" s="268" t="s">
        <v>53</v>
      </c>
      <c r="E255" s="298">
        <v>59.91</v>
      </c>
      <c r="F255" s="298" t="s">
        <v>2882</v>
      </c>
    </row>
    <row r="256">
      <c r="A256" s="252">
        <v>46136.0</v>
      </c>
      <c r="B256" s="108" t="s">
        <v>511</v>
      </c>
      <c r="C256" s="268" t="s">
        <v>9</v>
      </c>
      <c r="D256" s="268" t="s">
        <v>53</v>
      </c>
      <c r="E256" s="298">
        <v>99.91</v>
      </c>
      <c r="F256" s="299"/>
    </row>
    <row r="257">
      <c r="A257" s="252">
        <v>46136.0</v>
      </c>
      <c r="B257" s="108" t="s">
        <v>2885</v>
      </c>
      <c r="C257" s="268" t="s">
        <v>9</v>
      </c>
      <c r="D257" s="268" t="s">
        <v>53</v>
      </c>
      <c r="E257" s="298">
        <v>24.91</v>
      </c>
      <c r="F257" s="299"/>
    </row>
    <row r="258">
      <c r="A258" s="252">
        <v>46136.0</v>
      </c>
      <c r="B258" s="108" t="s">
        <v>2887</v>
      </c>
      <c r="C258" s="268" t="s">
        <v>9</v>
      </c>
      <c r="D258" s="268" t="s">
        <v>53</v>
      </c>
      <c r="E258" s="104">
        <v>39.91</v>
      </c>
      <c r="F258" s="299"/>
    </row>
    <row r="259">
      <c r="A259" s="252">
        <v>46136.0</v>
      </c>
      <c r="B259" s="108" t="s">
        <v>2892</v>
      </c>
      <c r="C259" s="268" t="s">
        <v>9</v>
      </c>
      <c r="D259" s="268" t="s">
        <v>53</v>
      </c>
      <c r="E259" s="104">
        <v>39.91</v>
      </c>
      <c r="F259" s="299"/>
    </row>
    <row r="260">
      <c r="A260" s="252">
        <v>46136.0</v>
      </c>
      <c r="B260" s="108" t="s">
        <v>1811</v>
      </c>
      <c r="C260" s="268" t="s">
        <v>9</v>
      </c>
      <c r="D260" s="268" t="s">
        <v>53</v>
      </c>
      <c r="E260" s="104">
        <v>99.91</v>
      </c>
      <c r="F260" s="298">
        <v>3.0</v>
      </c>
    </row>
    <row r="261">
      <c r="A261" s="252">
        <v>46136.0</v>
      </c>
      <c r="B261" s="108">
        <v>1.2131000033524E13</v>
      </c>
      <c r="C261" s="268" t="s">
        <v>9</v>
      </c>
      <c r="D261" s="268" t="s">
        <v>53</v>
      </c>
      <c r="E261" s="104">
        <v>79.91</v>
      </c>
      <c r="F261" s="299"/>
    </row>
    <row r="262">
      <c r="A262" s="252">
        <v>46136.0</v>
      </c>
      <c r="B262" s="108">
        <v>1.2131000094413E13</v>
      </c>
      <c r="C262" s="268" t="s">
        <v>9</v>
      </c>
      <c r="D262" s="268" t="s">
        <v>53</v>
      </c>
      <c r="E262" s="104">
        <v>29.91</v>
      </c>
      <c r="F262" s="299"/>
    </row>
    <row r="263">
      <c r="A263" s="252">
        <v>46136.0</v>
      </c>
      <c r="B263" s="108">
        <v>5.304526032E9</v>
      </c>
      <c r="C263" s="268" t="s">
        <v>9</v>
      </c>
      <c r="D263" s="268" t="s">
        <v>53</v>
      </c>
      <c r="E263" s="104">
        <v>44.91</v>
      </c>
      <c r="F263" s="299"/>
    </row>
    <row r="264">
      <c r="A264" s="252">
        <v>46136.0</v>
      </c>
      <c r="B264" s="108">
        <v>2.43297608E8</v>
      </c>
      <c r="C264" s="268" t="s">
        <v>9</v>
      </c>
      <c r="D264" s="268" t="s">
        <v>53</v>
      </c>
      <c r="E264" s="104">
        <v>37.91</v>
      </c>
      <c r="F264" s="104">
        <v>2.0</v>
      </c>
      <c r="G264" s="302"/>
    </row>
    <row r="265">
      <c r="A265" s="252">
        <v>46136.0</v>
      </c>
      <c r="B265" s="108" t="s">
        <v>781</v>
      </c>
      <c r="C265" s="268" t="s">
        <v>9</v>
      </c>
      <c r="D265" s="268" t="s">
        <v>53</v>
      </c>
      <c r="E265" s="104">
        <v>39.91</v>
      </c>
      <c r="F265" s="299"/>
    </row>
    <row r="266">
      <c r="A266" s="252">
        <v>46136.0</v>
      </c>
      <c r="B266" s="108">
        <v>2.41734001E8</v>
      </c>
      <c r="C266" s="268" t="s">
        <v>9</v>
      </c>
      <c r="D266" s="268" t="s">
        <v>53</v>
      </c>
      <c r="E266" s="104">
        <v>49.91</v>
      </c>
      <c r="F266" s="299"/>
    </row>
    <row r="267">
      <c r="A267" s="252">
        <v>46136.0</v>
      </c>
      <c r="B267" s="108">
        <v>2.41734201E8</v>
      </c>
      <c r="C267" s="268" t="s">
        <v>9</v>
      </c>
      <c r="D267" s="268" t="s">
        <v>53</v>
      </c>
      <c r="E267" s="104">
        <v>39.91</v>
      </c>
      <c r="F267" s="299"/>
    </row>
    <row r="268">
      <c r="A268" s="252">
        <v>46136.0</v>
      </c>
      <c r="B268" s="108">
        <v>5.304525931E9</v>
      </c>
      <c r="C268" s="268" t="s">
        <v>9</v>
      </c>
      <c r="D268" s="268" t="s">
        <v>53</v>
      </c>
      <c r="E268" s="104">
        <v>119.91</v>
      </c>
      <c r="F268" s="299"/>
    </row>
    <row r="269">
      <c r="A269" s="252">
        <v>46136.0</v>
      </c>
      <c r="B269" s="108">
        <v>5.304526872E9</v>
      </c>
      <c r="C269" s="268" t="s">
        <v>9</v>
      </c>
      <c r="D269" s="268" t="s">
        <v>53</v>
      </c>
      <c r="E269" s="104">
        <v>39.91</v>
      </c>
      <c r="F269" s="107"/>
    </row>
    <row r="270">
      <c r="A270" s="252">
        <v>46136.0</v>
      </c>
      <c r="B270" s="108" t="s">
        <v>2686</v>
      </c>
      <c r="C270" s="268" t="s">
        <v>9</v>
      </c>
      <c r="D270" s="268" t="s">
        <v>53</v>
      </c>
      <c r="E270" s="104">
        <v>99.91</v>
      </c>
      <c r="F270" s="104">
        <v>2.0</v>
      </c>
    </row>
    <row r="271">
      <c r="A271" s="252">
        <v>46136.0</v>
      </c>
      <c r="B271" s="108" t="s">
        <v>2914</v>
      </c>
      <c r="C271" s="268" t="s">
        <v>9</v>
      </c>
      <c r="D271" s="268" t="s">
        <v>53</v>
      </c>
      <c r="E271" s="104">
        <v>99.91</v>
      </c>
      <c r="F271" s="104">
        <v>2.0</v>
      </c>
    </row>
    <row r="272">
      <c r="A272" s="252">
        <v>46136.0</v>
      </c>
      <c r="B272" s="108" t="s">
        <v>2916</v>
      </c>
      <c r="C272" s="268" t="s">
        <v>9</v>
      </c>
      <c r="D272" s="268" t="s">
        <v>53</v>
      </c>
      <c r="E272" s="104">
        <v>119.91</v>
      </c>
      <c r="F272" s="107"/>
    </row>
    <row r="273">
      <c r="A273" s="252">
        <v>46136.0</v>
      </c>
      <c r="B273" s="108" t="s">
        <v>2920</v>
      </c>
      <c r="C273" s="268" t="s">
        <v>9</v>
      </c>
      <c r="D273" s="268" t="s">
        <v>53</v>
      </c>
      <c r="E273" s="104">
        <v>89.91</v>
      </c>
      <c r="F273" s="107"/>
    </row>
    <row r="274">
      <c r="A274" s="271"/>
      <c r="B274" s="271"/>
      <c r="C274" s="272"/>
      <c r="D274" s="272"/>
      <c r="E274" s="272"/>
      <c r="F274" s="272"/>
    </row>
    <row r="275">
      <c r="A275" s="252">
        <v>46139.0</v>
      </c>
      <c r="B275" s="108" t="s">
        <v>2923</v>
      </c>
      <c r="C275" s="268" t="s">
        <v>9</v>
      </c>
      <c r="D275" s="268" t="s">
        <v>53</v>
      </c>
      <c r="E275" s="104">
        <v>149.91</v>
      </c>
      <c r="F275" s="104">
        <v>4.0</v>
      </c>
    </row>
    <row r="276">
      <c r="A276" s="252">
        <v>46139.0</v>
      </c>
      <c r="B276" s="108" t="s">
        <v>2925</v>
      </c>
      <c r="C276" s="268" t="s">
        <v>9</v>
      </c>
      <c r="D276" s="268" t="s">
        <v>53</v>
      </c>
      <c r="E276" s="104">
        <v>99.91</v>
      </c>
      <c r="F276" s="107"/>
    </row>
    <row r="277">
      <c r="A277" s="252">
        <v>46139.0</v>
      </c>
      <c r="B277" s="108" t="s">
        <v>2929</v>
      </c>
      <c r="C277" s="268" t="s">
        <v>9</v>
      </c>
      <c r="D277" s="268" t="s">
        <v>53</v>
      </c>
      <c r="E277" s="104">
        <v>99.91</v>
      </c>
      <c r="F277" s="107"/>
    </row>
    <row r="278">
      <c r="A278" s="252">
        <v>46139.0</v>
      </c>
      <c r="B278" s="108" t="s">
        <v>1849</v>
      </c>
      <c r="C278" s="268" t="s">
        <v>9</v>
      </c>
      <c r="D278" s="268" t="s">
        <v>53</v>
      </c>
      <c r="E278" s="104">
        <v>24.91</v>
      </c>
      <c r="F278" s="107"/>
    </row>
    <row r="279">
      <c r="A279" s="252">
        <v>46139.0</v>
      </c>
      <c r="B279" s="108" t="s">
        <v>484</v>
      </c>
      <c r="C279" s="268" t="s">
        <v>9</v>
      </c>
      <c r="D279" s="268" t="s">
        <v>53</v>
      </c>
      <c r="E279" s="104">
        <v>24.91</v>
      </c>
      <c r="F279" s="107"/>
    </row>
    <row r="280">
      <c r="A280" s="252">
        <v>46139.0</v>
      </c>
      <c r="B280" s="108" t="s">
        <v>2939</v>
      </c>
      <c r="C280" s="268" t="s">
        <v>9</v>
      </c>
      <c r="D280" s="268" t="s">
        <v>53</v>
      </c>
      <c r="E280" s="104">
        <v>44.41</v>
      </c>
      <c r="F280" s="107"/>
    </row>
    <row r="281">
      <c r="A281" s="252">
        <v>46139.0</v>
      </c>
      <c r="B281" s="108" t="s">
        <v>1424</v>
      </c>
      <c r="C281" s="268" t="s">
        <v>9</v>
      </c>
      <c r="D281" s="268" t="s">
        <v>53</v>
      </c>
      <c r="E281" s="104">
        <v>24.91</v>
      </c>
      <c r="F281" s="107"/>
    </row>
    <row r="282">
      <c r="A282" s="252">
        <v>46139.0</v>
      </c>
      <c r="B282" s="108" t="s">
        <v>2940</v>
      </c>
      <c r="C282" s="268" t="s">
        <v>9</v>
      </c>
      <c r="D282" s="268" t="s">
        <v>53</v>
      </c>
      <c r="E282" s="104">
        <v>24.91</v>
      </c>
      <c r="F282" s="107"/>
    </row>
    <row r="283">
      <c r="A283" s="252">
        <v>46139.0</v>
      </c>
      <c r="B283" s="108" t="s">
        <v>2943</v>
      </c>
      <c r="C283" s="268" t="s">
        <v>9</v>
      </c>
      <c r="D283" s="268" t="s">
        <v>53</v>
      </c>
      <c r="E283" s="104">
        <v>24.91</v>
      </c>
      <c r="F283" s="107"/>
    </row>
    <row r="284">
      <c r="A284" s="252">
        <v>46139.0</v>
      </c>
      <c r="B284" s="108" t="s">
        <v>2944</v>
      </c>
      <c r="C284" s="268" t="s">
        <v>9</v>
      </c>
      <c r="D284" s="268" t="s">
        <v>53</v>
      </c>
      <c r="E284" s="104">
        <v>24.91</v>
      </c>
      <c r="F284" s="107"/>
    </row>
    <row r="285">
      <c r="A285" s="252">
        <v>46139.0</v>
      </c>
      <c r="B285" s="108" t="s">
        <v>2945</v>
      </c>
      <c r="C285" s="268" t="s">
        <v>9</v>
      </c>
      <c r="D285" s="268" t="s">
        <v>53</v>
      </c>
      <c r="E285" s="104">
        <v>59.91</v>
      </c>
      <c r="F285" s="107"/>
    </row>
    <row r="286">
      <c r="A286" s="252">
        <v>46139.0</v>
      </c>
      <c r="B286" s="108" t="s">
        <v>2946</v>
      </c>
      <c r="C286" s="268" t="s">
        <v>9</v>
      </c>
      <c r="D286" s="268" t="s">
        <v>53</v>
      </c>
      <c r="E286" s="104">
        <v>39.91</v>
      </c>
      <c r="F286" s="107"/>
    </row>
    <row r="287">
      <c r="A287" s="271"/>
      <c r="B287" s="271"/>
      <c r="C287" s="272"/>
      <c r="D287" s="272"/>
      <c r="E287" s="272"/>
      <c r="F287" s="272"/>
    </row>
    <row r="288">
      <c r="A288" s="252">
        <v>46140.0</v>
      </c>
      <c r="B288" s="108" t="s">
        <v>2947</v>
      </c>
      <c r="C288" s="268" t="s">
        <v>9</v>
      </c>
      <c r="D288" s="268" t="s">
        <v>53</v>
      </c>
      <c r="E288" s="104">
        <v>99.91</v>
      </c>
      <c r="F288" s="107"/>
    </row>
    <row r="289">
      <c r="A289" s="252">
        <v>46140.0</v>
      </c>
      <c r="B289" s="108" t="s">
        <v>2948</v>
      </c>
      <c r="C289" s="268" t="s">
        <v>9</v>
      </c>
      <c r="D289" s="268" t="s">
        <v>53</v>
      </c>
      <c r="E289" s="104">
        <v>99.91</v>
      </c>
      <c r="F289" s="107"/>
    </row>
    <row r="290">
      <c r="A290" s="252">
        <v>46140.0</v>
      </c>
      <c r="B290" s="108" t="s">
        <v>2949</v>
      </c>
      <c r="C290" s="268" t="s">
        <v>9</v>
      </c>
      <c r="D290" s="268" t="s">
        <v>53</v>
      </c>
      <c r="E290" s="104">
        <v>54.91</v>
      </c>
      <c r="F290" s="107"/>
    </row>
    <row r="291">
      <c r="A291" s="252">
        <v>46140.0</v>
      </c>
      <c r="B291" s="108" t="s">
        <v>2950</v>
      </c>
      <c r="C291" s="268" t="s">
        <v>8</v>
      </c>
      <c r="D291" s="268" t="s">
        <v>53</v>
      </c>
      <c r="E291" s="104">
        <v>89.91</v>
      </c>
      <c r="F291" s="107"/>
    </row>
    <row r="292">
      <c r="A292" s="252">
        <v>46140.0</v>
      </c>
      <c r="B292" s="108">
        <v>5.304529562E9</v>
      </c>
      <c r="C292" s="268" t="s">
        <v>8</v>
      </c>
      <c r="D292" s="268" t="s">
        <v>53</v>
      </c>
      <c r="E292" s="104">
        <v>99.91</v>
      </c>
      <c r="F292" s="107"/>
    </row>
    <row r="293">
      <c r="A293" s="252">
        <v>46140.0</v>
      </c>
      <c r="B293" s="108">
        <v>5.304530415E9</v>
      </c>
      <c r="C293" s="268" t="s">
        <v>9</v>
      </c>
      <c r="D293" s="268" t="s">
        <v>53</v>
      </c>
      <c r="E293" s="104">
        <v>214.91</v>
      </c>
      <c r="F293" s="107"/>
    </row>
    <row r="294">
      <c r="A294" s="252">
        <v>46140.0</v>
      </c>
      <c r="B294" s="108">
        <v>5.304533925E9</v>
      </c>
      <c r="C294" s="268" t="s">
        <v>9</v>
      </c>
      <c r="D294" s="268" t="s">
        <v>53</v>
      </c>
      <c r="E294" s="104">
        <v>59.91</v>
      </c>
      <c r="F294" s="107"/>
    </row>
    <row r="295">
      <c r="A295" s="252">
        <v>46140.0</v>
      </c>
      <c r="B295" s="108">
        <v>5.304534354E9</v>
      </c>
      <c r="C295" s="268" t="s">
        <v>9</v>
      </c>
      <c r="D295" s="268" t="s">
        <v>53</v>
      </c>
      <c r="E295" s="104">
        <v>109.91</v>
      </c>
      <c r="F295" s="107"/>
    </row>
    <row r="296">
      <c r="A296" s="252">
        <v>46140.0</v>
      </c>
      <c r="B296" s="108">
        <v>5.304537099E9</v>
      </c>
      <c r="C296" s="268" t="s">
        <v>9</v>
      </c>
      <c r="D296" s="268" t="s">
        <v>53</v>
      </c>
      <c r="E296" s="104">
        <v>199.91</v>
      </c>
      <c r="F296" s="107"/>
    </row>
    <row r="297">
      <c r="A297" s="252">
        <v>46140.0</v>
      </c>
      <c r="B297" s="108">
        <v>5.304537103E9</v>
      </c>
      <c r="C297" s="268" t="s">
        <v>9</v>
      </c>
      <c r="D297" s="268" t="s">
        <v>53</v>
      </c>
      <c r="E297" s="104">
        <v>169.91</v>
      </c>
      <c r="F297" s="107"/>
    </row>
    <row r="298">
      <c r="A298" s="252">
        <v>46140.0</v>
      </c>
      <c r="B298" s="108">
        <v>5.304538352E9</v>
      </c>
      <c r="C298" s="268" t="s">
        <v>9</v>
      </c>
      <c r="D298" s="268" t="s">
        <v>53</v>
      </c>
      <c r="E298" s="104">
        <v>59.91</v>
      </c>
      <c r="F298" s="107"/>
    </row>
    <row r="299">
      <c r="A299" s="252">
        <v>46140.0</v>
      </c>
      <c r="B299" s="108" t="s">
        <v>2952</v>
      </c>
      <c r="C299" s="268" t="s">
        <v>9</v>
      </c>
      <c r="D299" s="268" t="s">
        <v>53</v>
      </c>
      <c r="E299" s="104">
        <v>299.91</v>
      </c>
      <c r="F299" s="107"/>
    </row>
    <row r="300">
      <c r="A300" s="252">
        <v>46140.0</v>
      </c>
      <c r="B300" s="268" t="s">
        <v>2953</v>
      </c>
      <c r="C300" s="268" t="s">
        <v>9</v>
      </c>
      <c r="D300" s="268" t="s">
        <v>53</v>
      </c>
      <c r="E300" s="104">
        <v>299.91</v>
      </c>
      <c r="F300" s="107"/>
    </row>
    <row r="301">
      <c r="A301" s="252">
        <v>46140.0</v>
      </c>
      <c r="B301" s="268" t="s">
        <v>2954</v>
      </c>
      <c r="C301" s="268" t="s">
        <v>9</v>
      </c>
      <c r="D301" s="268" t="s">
        <v>53</v>
      </c>
      <c r="E301" s="104">
        <v>299.91</v>
      </c>
      <c r="F301" s="107"/>
    </row>
    <row r="302">
      <c r="A302" s="252">
        <v>46140.0</v>
      </c>
      <c r="B302" s="108" t="s">
        <v>2955</v>
      </c>
      <c r="C302" s="268" t="s">
        <v>9</v>
      </c>
      <c r="D302" s="268" t="s">
        <v>53</v>
      </c>
      <c r="E302" s="104">
        <v>229.91</v>
      </c>
      <c r="F302" s="107"/>
    </row>
    <row r="303">
      <c r="A303" s="252">
        <v>46140.0</v>
      </c>
      <c r="B303" s="108" t="s">
        <v>2956</v>
      </c>
      <c r="C303" s="268" t="s">
        <v>9</v>
      </c>
      <c r="D303" s="268" t="s">
        <v>53</v>
      </c>
      <c r="E303" s="104">
        <v>339.91</v>
      </c>
      <c r="F303" s="107"/>
    </row>
    <row r="304">
      <c r="A304" s="252">
        <v>46140.0</v>
      </c>
      <c r="B304" s="108" t="s">
        <v>2957</v>
      </c>
      <c r="C304" s="268" t="s">
        <v>9</v>
      </c>
      <c r="D304" s="268" t="s">
        <v>53</v>
      </c>
      <c r="E304" s="104">
        <v>329.91</v>
      </c>
      <c r="F304" s="107"/>
    </row>
    <row r="305">
      <c r="A305" s="252">
        <v>46140.0</v>
      </c>
      <c r="B305" s="108" t="s">
        <v>2958</v>
      </c>
      <c r="C305" s="268" t="s">
        <v>9</v>
      </c>
      <c r="D305" s="268" t="s">
        <v>53</v>
      </c>
      <c r="E305" s="104">
        <v>299.91</v>
      </c>
      <c r="F305" s="104">
        <v>2.0</v>
      </c>
    </row>
    <row r="306">
      <c r="A306" s="252">
        <v>46140.0</v>
      </c>
      <c r="B306" s="108" t="s">
        <v>2959</v>
      </c>
      <c r="C306" s="268" t="s">
        <v>9</v>
      </c>
      <c r="D306" s="268" t="s">
        <v>53</v>
      </c>
      <c r="E306" s="104">
        <v>199.91</v>
      </c>
      <c r="F306" s="107"/>
    </row>
    <row r="307">
      <c r="A307" s="252">
        <v>46140.0</v>
      </c>
      <c r="B307" s="108" t="s">
        <v>2960</v>
      </c>
      <c r="C307" s="268" t="s">
        <v>9</v>
      </c>
      <c r="D307" s="268" t="s">
        <v>53</v>
      </c>
      <c r="E307" s="104">
        <v>299.91</v>
      </c>
      <c r="F307" s="107"/>
    </row>
    <row r="308">
      <c r="A308" s="271"/>
      <c r="B308" s="271"/>
      <c r="C308" s="272"/>
      <c r="D308" s="272"/>
      <c r="E308" s="272"/>
      <c r="F308" s="272"/>
    </row>
    <row r="309">
      <c r="A309" s="252">
        <v>46141.0</v>
      </c>
      <c r="B309" s="108" t="s">
        <v>2961</v>
      </c>
      <c r="C309" s="268" t="s">
        <v>9</v>
      </c>
      <c r="D309" s="268" t="s">
        <v>53</v>
      </c>
      <c r="E309" s="104">
        <v>199.91</v>
      </c>
      <c r="F309" s="107"/>
    </row>
    <row r="310">
      <c r="A310" s="252">
        <v>46141.0</v>
      </c>
      <c r="B310" s="108" t="s">
        <v>2962</v>
      </c>
      <c r="C310" s="268" t="s">
        <v>9</v>
      </c>
      <c r="D310" s="268" t="s">
        <v>53</v>
      </c>
      <c r="E310" s="104">
        <v>169.91</v>
      </c>
      <c r="F310" s="107"/>
    </row>
    <row r="311">
      <c r="A311" s="252">
        <v>46141.0</v>
      </c>
      <c r="B311" s="108" t="s">
        <v>2963</v>
      </c>
      <c r="C311" s="268" t="s">
        <v>9</v>
      </c>
      <c r="D311" s="268" t="s">
        <v>53</v>
      </c>
      <c r="E311" s="104">
        <v>99.91</v>
      </c>
      <c r="F311" s="107"/>
    </row>
    <row r="312">
      <c r="A312" s="252">
        <v>46141.0</v>
      </c>
      <c r="B312" s="108" t="s">
        <v>2964</v>
      </c>
      <c r="C312" s="268" t="s">
        <v>9</v>
      </c>
      <c r="D312" s="268" t="s">
        <v>53</v>
      </c>
      <c r="E312" s="104">
        <v>119.91</v>
      </c>
      <c r="F312" s="107"/>
    </row>
    <row r="313">
      <c r="A313" s="252">
        <v>46141.0</v>
      </c>
      <c r="B313" s="108" t="s">
        <v>2965</v>
      </c>
      <c r="C313" s="268" t="s">
        <v>9</v>
      </c>
      <c r="D313" s="268" t="s">
        <v>53</v>
      </c>
      <c r="E313" s="104">
        <v>499.91</v>
      </c>
      <c r="F313" s="107"/>
    </row>
    <row r="314">
      <c r="A314" s="252">
        <v>46141.0</v>
      </c>
      <c r="B314" s="108" t="s">
        <v>2966</v>
      </c>
      <c r="C314" s="268" t="s">
        <v>9</v>
      </c>
      <c r="D314" s="268" t="s">
        <v>53</v>
      </c>
      <c r="E314" s="104">
        <v>139.91</v>
      </c>
      <c r="F314" s="107"/>
    </row>
    <row r="315">
      <c r="A315" s="252">
        <v>46141.0</v>
      </c>
      <c r="B315" s="108" t="s">
        <v>2967</v>
      </c>
      <c r="C315" s="268" t="s">
        <v>9</v>
      </c>
      <c r="D315" s="268" t="s">
        <v>53</v>
      </c>
      <c r="E315" s="104">
        <v>299.91</v>
      </c>
      <c r="F315" s="107"/>
    </row>
    <row r="316">
      <c r="A316" s="252">
        <v>46141.0</v>
      </c>
      <c r="B316" s="108" t="s">
        <v>2968</v>
      </c>
      <c r="C316" s="268" t="s">
        <v>9</v>
      </c>
      <c r="D316" s="268" t="s">
        <v>53</v>
      </c>
      <c r="E316" s="104">
        <v>299.91</v>
      </c>
      <c r="F316" s="107"/>
    </row>
    <row r="317">
      <c r="A317" s="252">
        <v>46141.0</v>
      </c>
      <c r="B317" s="108" t="s">
        <v>2969</v>
      </c>
      <c r="C317" s="268" t="s">
        <v>9</v>
      </c>
      <c r="D317" s="268" t="s">
        <v>53</v>
      </c>
      <c r="E317" s="104">
        <v>99.91</v>
      </c>
      <c r="F317" s="107"/>
    </row>
    <row r="318">
      <c r="A318" s="252">
        <v>46141.0</v>
      </c>
      <c r="B318" s="108" t="s">
        <v>2970</v>
      </c>
      <c r="C318" s="268" t="s">
        <v>9</v>
      </c>
      <c r="D318" s="268" t="s">
        <v>53</v>
      </c>
      <c r="E318" s="104">
        <v>89.91</v>
      </c>
      <c r="F318" s="104">
        <v>2.0</v>
      </c>
    </row>
    <row r="319">
      <c r="A319" s="252">
        <v>46141.0</v>
      </c>
      <c r="B319" s="108" t="s">
        <v>2971</v>
      </c>
      <c r="C319" s="268" t="s">
        <v>9</v>
      </c>
      <c r="D319" s="268" t="s">
        <v>53</v>
      </c>
      <c r="E319" s="104">
        <v>149.91</v>
      </c>
      <c r="F319" s="104">
        <v>2.0</v>
      </c>
    </row>
    <row r="320">
      <c r="A320" s="271"/>
      <c r="B320" s="271"/>
      <c r="C320" s="272"/>
      <c r="D320" s="272"/>
      <c r="E320" s="272"/>
      <c r="F320" s="272"/>
    </row>
    <row r="321">
      <c r="A321" s="252">
        <v>46142.0</v>
      </c>
      <c r="B321" s="108" t="s">
        <v>2972</v>
      </c>
      <c r="C321" s="268" t="s">
        <v>9</v>
      </c>
      <c r="D321" s="268" t="s">
        <v>53</v>
      </c>
      <c r="E321" s="104">
        <v>69.91</v>
      </c>
      <c r="F321" s="107"/>
    </row>
    <row r="322">
      <c r="A322" s="252">
        <v>46142.0</v>
      </c>
      <c r="B322" s="108" t="s">
        <v>2973</v>
      </c>
      <c r="C322" s="268" t="s">
        <v>9</v>
      </c>
      <c r="D322" s="268" t="s">
        <v>53</v>
      </c>
      <c r="E322" s="104">
        <v>119.91</v>
      </c>
      <c r="F322" s="107"/>
    </row>
    <row r="323">
      <c r="A323" s="252">
        <v>46142.0</v>
      </c>
      <c r="B323" s="108" t="s">
        <v>2974</v>
      </c>
      <c r="C323" s="268" t="s">
        <v>9</v>
      </c>
      <c r="D323" s="268" t="s">
        <v>53</v>
      </c>
      <c r="E323" s="104">
        <v>79.91</v>
      </c>
      <c r="F323" s="107"/>
    </row>
    <row r="324">
      <c r="A324" s="252">
        <v>46142.0</v>
      </c>
      <c r="B324" s="108" t="s">
        <v>2975</v>
      </c>
      <c r="C324" s="268" t="s">
        <v>9</v>
      </c>
      <c r="D324" s="268" t="s">
        <v>53</v>
      </c>
      <c r="E324" s="104">
        <v>59.91</v>
      </c>
      <c r="F324" s="107"/>
    </row>
    <row r="325">
      <c r="A325" s="252">
        <v>46142.0</v>
      </c>
      <c r="B325" s="108" t="s">
        <v>2976</v>
      </c>
      <c r="C325" s="268" t="s">
        <v>9</v>
      </c>
      <c r="D325" s="268" t="s">
        <v>53</v>
      </c>
      <c r="E325" s="104">
        <v>29.91</v>
      </c>
      <c r="F325" s="107"/>
    </row>
    <row r="326">
      <c r="A326" s="252">
        <v>46142.0</v>
      </c>
      <c r="B326" s="108" t="s">
        <v>2977</v>
      </c>
      <c r="C326" s="268" t="s">
        <v>9</v>
      </c>
      <c r="D326" s="268" t="s">
        <v>53</v>
      </c>
      <c r="E326" s="104">
        <v>899.91</v>
      </c>
      <c r="F326" s="107"/>
    </row>
    <row r="327">
      <c r="A327" s="252">
        <v>46142.0</v>
      </c>
      <c r="B327" s="108" t="s">
        <v>2978</v>
      </c>
      <c r="C327" s="268" t="s">
        <v>9</v>
      </c>
      <c r="D327" s="268" t="s">
        <v>53</v>
      </c>
      <c r="E327" s="104">
        <v>339.91</v>
      </c>
      <c r="F327" s="107"/>
    </row>
    <row r="328">
      <c r="A328" s="252">
        <v>46142.0</v>
      </c>
      <c r="B328" s="108" t="s">
        <v>2979</v>
      </c>
      <c r="C328" s="268" t="s">
        <v>9</v>
      </c>
      <c r="D328" s="268" t="s">
        <v>53</v>
      </c>
      <c r="E328" s="298" t="s">
        <v>2980</v>
      </c>
      <c r="F328" s="299"/>
    </row>
    <row r="329">
      <c r="A329" s="252">
        <v>46142.0</v>
      </c>
      <c r="B329" s="108" t="s">
        <v>2981</v>
      </c>
      <c r="C329" s="268" t="s">
        <v>9</v>
      </c>
      <c r="D329" s="268" t="s">
        <v>53</v>
      </c>
      <c r="E329" s="298">
        <v>189.91</v>
      </c>
      <c r="F329" s="299"/>
    </row>
    <row r="330">
      <c r="A330" s="304">
        <v>46142.0</v>
      </c>
      <c r="B330" s="112" t="s">
        <v>2983</v>
      </c>
      <c r="C330" s="295" t="s">
        <v>9</v>
      </c>
      <c r="D330" s="295" t="s">
        <v>53</v>
      </c>
      <c r="E330" s="296">
        <v>139.91</v>
      </c>
      <c r="F330" s="296" t="s">
        <v>2984</v>
      </c>
    </row>
    <row r="331">
      <c r="A331" s="252">
        <v>46142.0</v>
      </c>
      <c r="B331" s="108" t="s">
        <v>2985</v>
      </c>
      <c r="C331" s="268" t="s">
        <v>9</v>
      </c>
      <c r="D331" s="268" t="s">
        <v>53</v>
      </c>
      <c r="E331" s="298">
        <v>429.91</v>
      </c>
      <c r="F331" s="299"/>
    </row>
    <row r="332">
      <c r="A332" s="252">
        <v>46142.0</v>
      </c>
      <c r="B332" s="108" t="s">
        <v>2986</v>
      </c>
      <c r="C332" s="268" t="s">
        <v>9</v>
      </c>
      <c r="D332" s="268" t="s">
        <v>53</v>
      </c>
      <c r="E332" s="298">
        <v>199.91</v>
      </c>
      <c r="F332" s="299"/>
    </row>
    <row r="333">
      <c r="A333" s="252">
        <v>46142.0</v>
      </c>
      <c r="B333" s="108" t="s">
        <v>2987</v>
      </c>
      <c r="C333" s="268" t="s">
        <v>9</v>
      </c>
      <c r="D333" s="268" t="s">
        <v>53</v>
      </c>
      <c r="E333" s="298">
        <v>439.91</v>
      </c>
      <c r="F333" s="299"/>
    </row>
    <row r="334">
      <c r="A334" s="252">
        <v>46142.0</v>
      </c>
      <c r="B334" s="108" t="s">
        <v>2988</v>
      </c>
      <c r="C334" s="268" t="s">
        <v>9</v>
      </c>
      <c r="D334" s="268" t="s">
        <v>53</v>
      </c>
      <c r="E334" s="298">
        <v>139.91</v>
      </c>
      <c r="F334" s="299"/>
    </row>
    <row r="335">
      <c r="A335" s="252">
        <v>46142.0</v>
      </c>
      <c r="B335" s="108" t="s">
        <v>2989</v>
      </c>
      <c r="C335" s="268" t="s">
        <v>9</v>
      </c>
      <c r="D335" s="268" t="s">
        <v>53</v>
      </c>
      <c r="E335" s="298">
        <v>149.91</v>
      </c>
      <c r="F335" s="299"/>
    </row>
    <row r="336">
      <c r="A336" s="252">
        <v>46142.0</v>
      </c>
      <c r="B336" s="108" t="s">
        <v>2990</v>
      </c>
      <c r="C336" s="268" t="s">
        <v>9</v>
      </c>
      <c r="D336" s="268" t="s">
        <v>53</v>
      </c>
      <c r="E336" s="298">
        <v>519.91</v>
      </c>
      <c r="F336" s="299"/>
    </row>
    <row r="337">
      <c r="A337" s="252">
        <v>46142.0</v>
      </c>
      <c r="B337" s="108" t="s">
        <v>2991</v>
      </c>
      <c r="C337" s="268" t="s">
        <v>9</v>
      </c>
      <c r="D337" s="268" t="s">
        <v>53</v>
      </c>
      <c r="E337" s="298">
        <v>99.91</v>
      </c>
      <c r="F337" s="298">
        <v>2.0</v>
      </c>
    </row>
    <row r="338">
      <c r="A338" s="252">
        <v>46142.0</v>
      </c>
      <c r="B338" s="108" t="s">
        <v>2992</v>
      </c>
      <c r="C338" s="268" t="s">
        <v>9</v>
      </c>
      <c r="D338" s="268" t="s">
        <v>53</v>
      </c>
      <c r="E338" s="298">
        <v>99.91</v>
      </c>
      <c r="F338" s="299"/>
    </row>
    <row r="339">
      <c r="A339" s="252">
        <v>46142.0</v>
      </c>
      <c r="B339" s="108" t="s">
        <v>2993</v>
      </c>
      <c r="C339" s="268" t="s">
        <v>9</v>
      </c>
      <c r="D339" s="268" t="s">
        <v>53</v>
      </c>
      <c r="E339" s="298">
        <v>399.91</v>
      </c>
      <c r="F339" s="299"/>
    </row>
    <row r="340">
      <c r="A340" s="252">
        <v>46142.0</v>
      </c>
      <c r="B340" s="108" t="s">
        <v>545</v>
      </c>
      <c r="C340" s="268" t="s">
        <v>9</v>
      </c>
      <c r="D340" s="268" t="s">
        <v>53</v>
      </c>
      <c r="E340" s="298">
        <v>44.91</v>
      </c>
      <c r="F340" s="299"/>
    </row>
    <row r="341">
      <c r="A341" s="252">
        <v>46142.0</v>
      </c>
      <c r="B341" s="108" t="s">
        <v>2994</v>
      </c>
      <c r="C341" s="268" t="s">
        <v>9</v>
      </c>
      <c r="D341" s="268" t="s">
        <v>53</v>
      </c>
      <c r="E341" s="298">
        <v>34.91</v>
      </c>
      <c r="F341" s="299"/>
    </row>
    <row r="342">
      <c r="A342" s="252">
        <v>46142.0</v>
      </c>
      <c r="B342" s="108" t="s">
        <v>2995</v>
      </c>
      <c r="C342" s="268" t="s">
        <v>9</v>
      </c>
      <c r="D342" s="268" t="s">
        <v>53</v>
      </c>
      <c r="E342" s="298">
        <v>39.91</v>
      </c>
      <c r="F342" s="299"/>
    </row>
    <row r="343">
      <c r="A343" s="252">
        <v>46142.0</v>
      </c>
      <c r="B343" s="108" t="s">
        <v>2996</v>
      </c>
      <c r="C343" s="268" t="s">
        <v>9</v>
      </c>
      <c r="D343" s="268" t="s">
        <v>53</v>
      </c>
      <c r="E343" s="298">
        <v>79.91</v>
      </c>
      <c r="F343" s="299"/>
    </row>
    <row r="344">
      <c r="A344" s="252">
        <v>46142.0</v>
      </c>
      <c r="B344" s="108" t="s">
        <v>2997</v>
      </c>
      <c r="C344" s="268" t="s">
        <v>9</v>
      </c>
      <c r="D344" s="268" t="s">
        <v>53</v>
      </c>
      <c r="E344" s="298">
        <v>44.91</v>
      </c>
      <c r="F344" s="299"/>
    </row>
    <row r="345">
      <c r="A345" s="252">
        <v>46142.0</v>
      </c>
      <c r="B345" s="108" t="s">
        <v>954</v>
      </c>
      <c r="C345" s="268" t="s">
        <v>9</v>
      </c>
      <c r="D345" s="268" t="s">
        <v>53</v>
      </c>
      <c r="E345" s="104">
        <v>24.91</v>
      </c>
      <c r="F345" s="104">
        <v>2.0</v>
      </c>
    </row>
    <row r="346">
      <c r="A346" s="252">
        <v>46142.0</v>
      </c>
      <c r="B346" s="108" t="s">
        <v>2998</v>
      </c>
      <c r="C346" s="268" t="s">
        <v>9</v>
      </c>
      <c r="D346" s="268" t="s">
        <v>53</v>
      </c>
      <c r="E346" s="104">
        <v>24.91</v>
      </c>
      <c r="F346" s="107"/>
    </row>
    <row r="347">
      <c r="A347" s="252">
        <v>46142.0</v>
      </c>
      <c r="B347" s="108" t="s">
        <v>947</v>
      </c>
      <c r="C347" s="268" t="s">
        <v>9</v>
      </c>
      <c r="D347" s="268" t="s">
        <v>53</v>
      </c>
      <c r="E347" s="104">
        <v>94.91</v>
      </c>
      <c r="F347" s="107"/>
    </row>
    <row r="348">
      <c r="A348" s="252">
        <v>46142.0</v>
      </c>
      <c r="B348" s="108" t="s">
        <v>2883</v>
      </c>
      <c r="C348" s="268" t="s">
        <v>9</v>
      </c>
      <c r="D348" s="268" t="s">
        <v>53</v>
      </c>
      <c r="E348" s="104">
        <v>44.91</v>
      </c>
      <c r="F348" s="107"/>
    </row>
    <row r="349">
      <c r="A349" s="252">
        <v>46142.0</v>
      </c>
      <c r="B349" s="108" t="s">
        <v>2500</v>
      </c>
      <c r="C349" s="268" t="s">
        <v>9</v>
      </c>
      <c r="D349" s="268" t="s">
        <v>53</v>
      </c>
      <c r="E349" s="104">
        <v>39.91</v>
      </c>
      <c r="F349" s="104">
        <v>2.0</v>
      </c>
    </row>
    <row r="350">
      <c r="A350" s="252">
        <v>46142.0</v>
      </c>
      <c r="B350" s="108" t="s">
        <v>282</v>
      </c>
      <c r="C350" s="268" t="s">
        <v>9</v>
      </c>
      <c r="D350" s="268" t="s">
        <v>53</v>
      </c>
      <c r="E350" s="104">
        <v>34.91</v>
      </c>
      <c r="F350" s="107"/>
    </row>
    <row r="351">
      <c r="A351" s="252">
        <v>46142.0</v>
      </c>
      <c r="B351" s="108" t="s">
        <v>3000</v>
      </c>
      <c r="C351" s="268" t="s">
        <v>9</v>
      </c>
      <c r="D351" s="268" t="s">
        <v>53</v>
      </c>
      <c r="E351" s="104">
        <v>34.91</v>
      </c>
      <c r="F351" s="107"/>
    </row>
    <row r="352">
      <c r="A352" s="252">
        <v>46142.0</v>
      </c>
      <c r="B352" s="108" t="s">
        <v>3001</v>
      </c>
      <c r="C352" s="268" t="s">
        <v>9</v>
      </c>
      <c r="D352" s="268" t="s">
        <v>53</v>
      </c>
      <c r="E352" s="104">
        <v>139.91</v>
      </c>
      <c r="F352" s="107"/>
    </row>
    <row r="353">
      <c r="A353" s="252">
        <v>46142.0</v>
      </c>
      <c r="B353" s="108" t="s">
        <v>3002</v>
      </c>
      <c r="C353" s="268" t="s">
        <v>9</v>
      </c>
      <c r="D353" s="268" t="s">
        <v>53</v>
      </c>
      <c r="E353" s="104">
        <v>119.91</v>
      </c>
      <c r="F353" s="107"/>
    </row>
    <row r="354">
      <c r="A354" s="252">
        <v>46142.0</v>
      </c>
      <c r="B354" s="108" t="s">
        <v>3003</v>
      </c>
      <c r="C354" s="268" t="s">
        <v>9</v>
      </c>
      <c r="D354" s="268" t="s">
        <v>53</v>
      </c>
      <c r="E354" s="104">
        <v>74.91</v>
      </c>
      <c r="F354" s="107"/>
    </row>
    <row r="355">
      <c r="A355" s="252">
        <v>46142.0</v>
      </c>
      <c r="B355" s="108" t="s">
        <v>464</v>
      </c>
      <c r="C355" s="268" t="s">
        <v>9</v>
      </c>
      <c r="D355" s="268" t="s">
        <v>53</v>
      </c>
      <c r="E355" s="104">
        <v>24.91</v>
      </c>
      <c r="F355" s="107"/>
    </row>
    <row r="356">
      <c r="A356" s="252">
        <v>46142.0</v>
      </c>
      <c r="B356" s="108" t="s">
        <v>1237</v>
      </c>
      <c r="C356" s="268" t="s">
        <v>9</v>
      </c>
      <c r="D356" s="268" t="s">
        <v>53</v>
      </c>
      <c r="E356" s="104">
        <v>44.91</v>
      </c>
      <c r="F356" s="104">
        <v>2.0</v>
      </c>
    </row>
    <row r="357">
      <c r="A357" s="252">
        <v>46142.0</v>
      </c>
      <c r="B357" s="108" t="s">
        <v>3004</v>
      </c>
      <c r="C357" s="268" t="s">
        <v>9</v>
      </c>
      <c r="D357" s="268" t="s">
        <v>53</v>
      </c>
      <c r="E357" s="104">
        <v>99.91</v>
      </c>
      <c r="F357" s="107"/>
    </row>
    <row r="358">
      <c r="A358" s="252">
        <v>46142.0</v>
      </c>
      <c r="B358" s="108" t="s">
        <v>1039</v>
      </c>
      <c r="C358" s="268" t="s">
        <v>9</v>
      </c>
      <c r="D358" s="268" t="s">
        <v>53</v>
      </c>
      <c r="E358" s="104">
        <v>64.91</v>
      </c>
      <c r="F358" s="107"/>
    </row>
    <row r="359">
      <c r="A359" s="252">
        <v>46142.0</v>
      </c>
      <c r="B359" s="108" t="s">
        <v>1835</v>
      </c>
      <c r="C359" s="268" t="s">
        <v>9</v>
      </c>
      <c r="D359" s="268" t="s">
        <v>53</v>
      </c>
      <c r="E359" s="104">
        <v>129.91</v>
      </c>
      <c r="F359" s="107"/>
    </row>
    <row r="360">
      <c r="A360" s="252">
        <v>46142.0</v>
      </c>
      <c r="B360" s="108" t="s">
        <v>531</v>
      </c>
      <c r="C360" s="268" t="s">
        <v>9</v>
      </c>
      <c r="D360" s="268" t="s">
        <v>53</v>
      </c>
      <c r="E360" s="104">
        <v>24.91</v>
      </c>
      <c r="F360" s="104">
        <v>2.0</v>
      </c>
    </row>
    <row r="361">
      <c r="A361" s="252">
        <v>46142.0</v>
      </c>
      <c r="B361" s="108" t="s">
        <v>1703</v>
      </c>
      <c r="C361" s="268" t="s">
        <v>9</v>
      </c>
      <c r="D361" s="268" t="s">
        <v>53</v>
      </c>
      <c r="E361" s="104">
        <v>24.91</v>
      </c>
      <c r="F361" s="107"/>
    </row>
    <row r="362">
      <c r="A362" s="271"/>
      <c r="B362" s="271"/>
      <c r="C362" s="271"/>
      <c r="D362" s="271"/>
      <c r="E362" s="272"/>
      <c r="F362" s="272"/>
    </row>
    <row r="363">
      <c r="A363" s="252">
        <v>46143.0</v>
      </c>
      <c r="B363" s="108" t="s">
        <v>3005</v>
      </c>
      <c r="C363" s="268" t="s">
        <v>9</v>
      </c>
      <c r="D363" s="268" t="s">
        <v>53</v>
      </c>
      <c r="E363" s="104">
        <v>54.91</v>
      </c>
      <c r="F363" s="107"/>
    </row>
    <row r="364">
      <c r="A364" s="252">
        <v>46143.0</v>
      </c>
      <c r="B364" s="108" t="s">
        <v>3006</v>
      </c>
      <c r="C364" s="268" t="s">
        <v>9</v>
      </c>
      <c r="D364" s="268" t="s">
        <v>53</v>
      </c>
      <c r="E364" s="104">
        <v>54.91</v>
      </c>
      <c r="F364" s="107"/>
    </row>
    <row r="365">
      <c r="A365" s="252">
        <v>46143.0</v>
      </c>
      <c r="B365" s="104" t="s">
        <v>3007</v>
      </c>
      <c r="C365" s="268" t="s">
        <v>9</v>
      </c>
      <c r="D365" s="268" t="s">
        <v>53</v>
      </c>
      <c r="E365" s="104">
        <v>339.91</v>
      </c>
      <c r="F365" s="107"/>
    </row>
    <row r="366">
      <c r="A366" s="252">
        <v>46143.0</v>
      </c>
      <c r="B366" s="104" t="s">
        <v>1399</v>
      </c>
      <c r="C366" s="268" t="s">
        <v>9</v>
      </c>
      <c r="D366" s="268" t="s">
        <v>53</v>
      </c>
      <c r="E366" s="104">
        <v>539.91</v>
      </c>
      <c r="F366" s="107"/>
    </row>
    <row r="367">
      <c r="A367" s="252">
        <v>46143.0</v>
      </c>
      <c r="B367" s="104" t="s">
        <v>1888</v>
      </c>
      <c r="C367" s="268" t="s">
        <v>9</v>
      </c>
      <c r="D367" s="268" t="s">
        <v>53</v>
      </c>
      <c r="E367" s="104">
        <v>94.91</v>
      </c>
      <c r="F367" s="107"/>
    </row>
    <row r="368">
      <c r="A368" s="252">
        <v>46143.0</v>
      </c>
      <c r="B368" s="104" t="s">
        <v>3008</v>
      </c>
      <c r="C368" s="268" t="s">
        <v>9</v>
      </c>
      <c r="D368" s="268" t="s">
        <v>53</v>
      </c>
      <c r="E368" s="104">
        <v>29.91</v>
      </c>
      <c r="F368" s="107"/>
    </row>
    <row r="369">
      <c r="A369" s="252">
        <v>46143.0</v>
      </c>
      <c r="B369" s="104" t="s">
        <v>1463</v>
      </c>
      <c r="C369" s="268" t="s">
        <v>9</v>
      </c>
      <c r="D369" s="268" t="s">
        <v>53</v>
      </c>
      <c r="E369" s="104">
        <v>39.91</v>
      </c>
      <c r="F369" s="107"/>
    </row>
    <row r="370">
      <c r="A370" s="252">
        <v>46143.0</v>
      </c>
      <c r="B370" s="104" t="s">
        <v>955</v>
      </c>
      <c r="C370" s="268" t="s">
        <v>9</v>
      </c>
      <c r="D370" s="268" t="s">
        <v>53</v>
      </c>
      <c r="E370" s="104">
        <v>29.91</v>
      </c>
      <c r="F370" s="104">
        <v>2.0</v>
      </c>
    </row>
    <row r="371">
      <c r="A371" s="252">
        <v>46143.0</v>
      </c>
      <c r="B371" s="104" t="s">
        <v>2685</v>
      </c>
      <c r="C371" s="268" t="s">
        <v>9</v>
      </c>
      <c r="D371" s="268" t="s">
        <v>53</v>
      </c>
      <c r="E371" s="104">
        <v>99.91</v>
      </c>
      <c r="F371" s="107"/>
    </row>
    <row r="372">
      <c r="A372" s="252">
        <v>46143.0</v>
      </c>
      <c r="B372" s="104" t="s">
        <v>3009</v>
      </c>
      <c r="C372" s="268" t="s">
        <v>9</v>
      </c>
      <c r="D372" s="268" t="s">
        <v>53</v>
      </c>
      <c r="E372" s="104">
        <v>99.91</v>
      </c>
      <c r="F372" s="107"/>
    </row>
    <row r="373">
      <c r="A373" s="252">
        <v>46143.0</v>
      </c>
      <c r="B373" s="104" t="s">
        <v>3010</v>
      </c>
      <c r="C373" s="268" t="s">
        <v>9</v>
      </c>
      <c r="D373" s="268" t="s">
        <v>53</v>
      </c>
      <c r="E373" s="104">
        <v>49.91</v>
      </c>
      <c r="F373" s="107"/>
    </row>
    <row r="374">
      <c r="A374" s="252">
        <v>46143.0</v>
      </c>
      <c r="B374" s="104" t="s">
        <v>961</v>
      </c>
      <c r="C374" s="268" t="s">
        <v>9</v>
      </c>
      <c r="D374" s="268" t="s">
        <v>53</v>
      </c>
      <c r="E374" s="104">
        <v>34.91</v>
      </c>
      <c r="F374" s="107"/>
    </row>
    <row r="375">
      <c r="A375" s="252">
        <v>46143.0</v>
      </c>
      <c r="B375" s="104" t="s">
        <v>3011</v>
      </c>
      <c r="C375" s="268" t="s">
        <v>9</v>
      </c>
      <c r="D375" s="268" t="s">
        <v>53</v>
      </c>
      <c r="E375" s="104">
        <v>34.91</v>
      </c>
      <c r="F375" s="107"/>
    </row>
    <row r="376">
      <c r="A376" s="252">
        <v>46143.0</v>
      </c>
      <c r="B376" s="104" t="s">
        <v>2101</v>
      </c>
      <c r="C376" s="268" t="s">
        <v>9</v>
      </c>
      <c r="D376" s="268" t="s">
        <v>53</v>
      </c>
      <c r="E376" s="104">
        <v>279.91</v>
      </c>
      <c r="F376" s="107"/>
    </row>
    <row r="377">
      <c r="A377" s="252">
        <v>46143.0</v>
      </c>
      <c r="B377" s="104" t="s">
        <v>6</v>
      </c>
      <c r="C377" s="268" t="s">
        <v>9</v>
      </c>
      <c r="D377" s="268" t="s">
        <v>53</v>
      </c>
      <c r="E377" s="104">
        <v>24.91</v>
      </c>
      <c r="F377" s="107"/>
    </row>
    <row r="378">
      <c r="A378" s="252">
        <v>46143.0</v>
      </c>
      <c r="B378" s="104" t="s">
        <v>3012</v>
      </c>
      <c r="C378" s="268" t="s">
        <v>9</v>
      </c>
      <c r="D378" s="268" t="s">
        <v>53</v>
      </c>
      <c r="E378" s="104">
        <v>24.91</v>
      </c>
      <c r="F378" s="107"/>
    </row>
    <row r="379">
      <c r="A379" s="252">
        <v>46143.0</v>
      </c>
      <c r="B379" s="104" t="s">
        <v>3013</v>
      </c>
      <c r="C379" s="268" t="s">
        <v>9</v>
      </c>
      <c r="D379" s="268" t="s">
        <v>53</v>
      </c>
      <c r="E379" s="104">
        <v>109.91</v>
      </c>
      <c r="F379" s="107"/>
    </row>
    <row r="380">
      <c r="A380" s="252">
        <v>46143.0</v>
      </c>
      <c r="B380" s="104" t="s">
        <v>2117</v>
      </c>
      <c r="C380" s="268" t="s">
        <v>9</v>
      </c>
      <c r="D380" s="268" t="s">
        <v>53</v>
      </c>
      <c r="E380" s="104">
        <v>89.91</v>
      </c>
      <c r="F380" s="107"/>
    </row>
    <row r="381">
      <c r="A381" s="252">
        <v>46143.0</v>
      </c>
      <c r="B381" s="104" t="s">
        <v>3014</v>
      </c>
      <c r="C381" s="268" t="s">
        <v>9</v>
      </c>
      <c r="D381" s="268" t="s">
        <v>53</v>
      </c>
      <c r="E381" s="104">
        <v>99.91</v>
      </c>
      <c r="F381" s="107"/>
    </row>
    <row r="382">
      <c r="A382" s="252">
        <v>46143.0</v>
      </c>
      <c r="B382" s="104" t="s">
        <v>3015</v>
      </c>
      <c r="C382" s="268" t="s">
        <v>9</v>
      </c>
      <c r="D382" s="268" t="s">
        <v>53</v>
      </c>
      <c r="E382" s="104">
        <v>24.91</v>
      </c>
      <c r="F382" s="107"/>
    </row>
    <row r="383">
      <c r="A383" s="252">
        <v>46143.0</v>
      </c>
      <c r="B383" s="104" t="s">
        <v>3016</v>
      </c>
      <c r="C383" s="268" t="s">
        <v>9</v>
      </c>
      <c r="D383" s="268" t="s">
        <v>53</v>
      </c>
      <c r="E383" s="104">
        <v>39.91</v>
      </c>
      <c r="F383" s="107"/>
    </row>
    <row r="384">
      <c r="A384" s="252">
        <v>46143.0</v>
      </c>
      <c r="B384" s="104" t="s">
        <v>805</v>
      </c>
      <c r="C384" s="268" t="s">
        <v>9</v>
      </c>
      <c r="D384" s="268" t="s">
        <v>53</v>
      </c>
      <c r="E384" s="104">
        <v>99.91</v>
      </c>
      <c r="F384" s="107"/>
    </row>
    <row r="385">
      <c r="A385" s="252">
        <v>46143.0</v>
      </c>
      <c r="B385" s="104" t="s">
        <v>916</v>
      </c>
      <c r="C385" s="268" t="s">
        <v>9</v>
      </c>
      <c r="D385" s="268" t="s">
        <v>53</v>
      </c>
      <c r="E385" s="104">
        <v>69.91</v>
      </c>
      <c r="F385" s="104">
        <v>2.0</v>
      </c>
    </row>
    <row r="386">
      <c r="A386" s="252">
        <v>46143.0</v>
      </c>
      <c r="B386" s="104" t="s">
        <v>3017</v>
      </c>
      <c r="C386" s="268" t="s">
        <v>9</v>
      </c>
      <c r="D386" s="268" t="s">
        <v>53</v>
      </c>
      <c r="E386" s="104">
        <v>39.91</v>
      </c>
      <c r="F386" s="107"/>
    </row>
    <row r="387">
      <c r="A387" s="252">
        <v>46143.0</v>
      </c>
      <c r="B387" s="104" t="s">
        <v>1781</v>
      </c>
      <c r="C387" s="268" t="s">
        <v>9</v>
      </c>
      <c r="D387" s="268" t="s">
        <v>53</v>
      </c>
      <c r="E387" s="104">
        <v>39.91</v>
      </c>
      <c r="F387" s="107"/>
    </row>
    <row r="388">
      <c r="A388" s="252">
        <v>46143.0</v>
      </c>
      <c r="B388" s="104" t="s">
        <v>3018</v>
      </c>
      <c r="C388" s="268" t="s">
        <v>9</v>
      </c>
      <c r="D388" s="268" t="s">
        <v>53</v>
      </c>
      <c r="E388" s="104">
        <v>129.91</v>
      </c>
      <c r="F388" s="107"/>
    </row>
    <row r="389">
      <c r="A389" s="252">
        <v>46143.0</v>
      </c>
      <c r="B389" s="104" t="s">
        <v>3019</v>
      </c>
      <c r="C389" s="268" t="s">
        <v>9</v>
      </c>
      <c r="D389" s="268" t="s">
        <v>53</v>
      </c>
      <c r="E389" s="104">
        <v>89.91</v>
      </c>
      <c r="F389" s="107"/>
    </row>
    <row r="390">
      <c r="A390" s="252">
        <v>46143.0</v>
      </c>
      <c r="B390" s="104" t="s">
        <v>1260</v>
      </c>
      <c r="C390" s="268" t="s">
        <v>9</v>
      </c>
      <c r="D390" s="268" t="s">
        <v>53</v>
      </c>
      <c r="E390" s="104">
        <v>54.91</v>
      </c>
      <c r="F390" s="107"/>
    </row>
    <row r="391">
      <c r="A391" s="252">
        <v>46143.0</v>
      </c>
      <c r="B391" s="104" t="s">
        <v>3021</v>
      </c>
      <c r="C391" s="268" t="s">
        <v>9</v>
      </c>
      <c r="D391" s="268" t="s">
        <v>53</v>
      </c>
      <c r="E391" s="104">
        <v>129.91</v>
      </c>
      <c r="F391" s="107"/>
    </row>
    <row r="392">
      <c r="A392" s="252">
        <v>46143.0</v>
      </c>
      <c r="B392" s="104" t="s">
        <v>2750</v>
      </c>
      <c r="C392" s="268" t="s">
        <v>9</v>
      </c>
      <c r="D392" s="268" t="s">
        <v>53</v>
      </c>
      <c r="E392" s="104">
        <v>64.91</v>
      </c>
      <c r="F392" s="107"/>
    </row>
    <row r="393">
      <c r="A393" s="252">
        <v>46143.0</v>
      </c>
      <c r="B393" s="104" t="s">
        <v>2359</v>
      </c>
      <c r="C393" s="268" t="s">
        <v>9</v>
      </c>
      <c r="D393" s="268" t="s">
        <v>53</v>
      </c>
      <c r="E393" s="104">
        <v>34.91</v>
      </c>
      <c r="F393" s="104">
        <v>3.0</v>
      </c>
    </row>
    <row r="394">
      <c r="A394" s="252">
        <v>46143.0</v>
      </c>
      <c r="B394" s="104" t="s">
        <v>3022</v>
      </c>
      <c r="C394" s="268" t="s">
        <v>9</v>
      </c>
      <c r="D394" s="268" t="s">
        <v>53</v>
      </c>
      <c r="E394" s="104">
        <v>369.91</v>
      </c>
      <c r="F394" s="107"/>
    </row>
    <row r="395">
      <c r="A395" s="252">
        <v>46143.0</v>
      </c>
      <c r="B395" s="104" t="s">
        <v>3023</v>
      </c>
      <c r="C395" s="268" t="s">
        <v>9</v>
      </c>
      <c r="D395" s="268" t="s">
        <v>53</v>
      </c>
      <c r="E395" s="104">
        <v>54.91</v>
      </c>
      <c r="F395" s="107"/>
    </row>
    <row r="396">
      <c r="A396" s="252">
        <v>46143.0</v>
      </c>
      <c r="B396" s="104" t="s">
        <v>3024</v>
      </c>
      <c r="C396" s="268" t="s">
        <v>9</v>
      </c>
      <c r="D396" s="268" t="s">
        <v>53</v>
      </c>
      <c r="E396" s="104">
        <v>54.91</v>
      </c>
      <c r="F396" s="107"/>
    </row>
    <row r="397">
      <c r="A397" s="252">
        <v>46143.0</v>
      </c>
      <c r="B397" s="104" t="s">
        <v>1454</v>
      </c>
      <c r="C397" s="268" t="s">
        <v>9</v>
      </c>
      <c r="D397" s="268" t="s">
        <v>53</v>
      </c>
      <c r="E397" s="104">
        <v>54.91</v>
      </c>
      <c r="F397" s="107"/>
    </row>
    <row r="398">
      <c r="A398" s="271"/>
      <c r="B398" s="271"/>
      <c r="C398" s="271"/>
      <c r="D398" s="271"/>
      <c r="E398" s="272"/>
      <c r="F398" s="272"/>
    </row>
    <row r="399">
      <c r="A399" s="252">
        <v>46147.0</v>
      </c>
      <c r="B399" s="104" t="s">
        <v>3025</v>
      </c>
      <c r="C399" s="268" t="s">
        <v>9</v>
      </c>
      <c r="D399" s="268" t="s">
        <v>53</v>
      </c>
      <c r="E399" s="104">
        <v>20.91</v>
      </c>
      <c r="F399" s="107"/>
    </row>
    <row r="400">
      <c r="A400" s="252">
        <v>46147.0</v>
      </c>
      <c r="B400" s="104" t="s">
        <v>562</v>
      </c>
      <c r="C400" s="268" t="s">
        <v>9</v>
      </c>
      <c r="D400" s="268" t="s">
        <v>53</v>
      </c>
      <c r="E400" s="104">
        <v>24.91</v>
      </c>
      <c r="F400" s="107"/>
    </row>
    <row r="401">
      <c r="A401" s="252">
        <v>46147.0</v>
      </c>
      <c r="B401" s="104" t="s">
        <v>288</v>
      </c>
      <c r="C401" s="268" t="s">
        <v>9</v>
      </c>
      <c r="D401" s="268" t="s">
        <v>53</v>
      </c>
      <c r="E401" s="104">
        <v>20.91</v>
      </c>
      <c r="F401" s="104">
        <v>2.0</v>
      </c>
    </row>
    <row r="402">
      <c r="A402" s="252">
        <v>46147.0</v>
      </c>
      <c r="B402" s="104" t="s">
        <v>643</v>
      </c>
      <c r="C402" s="268" t="s">
        <v>9</v>
      </c>
      <c r="D402" s="268" t="s">
        <v>53</v>
      </c>
      <c r="E402" s="104">
        <v>20.91</v>
      </c>
      <c r="F402" s="107"/>
    </row>
    <row r="403">
      <c r="A403" s="252">
        <v>46147.0</v>
      </c>
      <c r="B403" s="104" t="s">
        <v>3026</v>
      </c>
      <c r="C403" s="268" t="s">
        <v>9</v>
      </c>
      <c r="D403" s="268" t="s">
        <v>53</v>
      </c>
      <c r="E403" s="104">
        <v>20.91</v>
      </c>
      <c r="F403" s="107"/>
    </row>
    <row r="404">
      <c r="A404" s="252">
        <v>46147.0</v>
      </c>
      <c r="B404" s="104" t="s">
        <v>230</v>
      </c>
      <c r="C404" s="268" t="s">
        <v>9</v>
      </c>
      <c r="D404" s="268" t="s">
        <v>53</v>
      </c>
      <c r="E404" s="104">
        <v>20.91</v>
      </c>
      <c r="F404" s="104">
        <v>2.0</v>
      </c>
    </row>
    <row r="405">
      <c r="A405" s="252">
        <v>46147.0</v>
      </c>
      <c r="B405" s="104" t="s">
        <v>3027</v>
      </c>
      <c r="C405" s="268" t="s">
        <v>9</v>
      </c>
      <c r="D405" s="268" t="s">
        <v>53</v>
      </c>
      <c r="E405" s="104">
        <v>24.91</v>
      </c>
      <c r="F405" s="107"/>
    </row>
    <row r="406">
      <c r="A406" s="252">
        <v>46147.0</v>
      </c>
      <c r="B406" s="108" t="s">
        <v>1431</v>
      </c>
      <c r="C406" s="268" t="s">
        <v>9</v>
      </c>
      <c r="D406" s="268" t="s">
        <v>53</v>
      </c>
      <c r="E406" s="298">
        <v>24.91</v>
      </c>
      <c r="F406" s="299"/>
    </row>
    <row r="407">
      <c r="A407" s="252">
        <v>46147.0</v>
      </c>
      <c r="B407" s="108" t="s">
        <v>78</v>
      </c>
      <c r="C407" s="268" t="s">
        <v>9</v>
      </c>
      <c r="D407" s="268" t="s">
        <v>53</v>
      </c>
      <c r="E407" s="298">
        <v>24.91</v>
      </c>
      <c r="F407" s="299"/>
    </row>
    <row r="408">
      <c r="A408" s="252">
        <v>46147.0</v>
      </c>
      <c r="B408" s="108" t="s">
        <v>3015</v>
      </c>
      <c r="C408" s="268" t="s">
        <v>9</v>
      </c>
      <c r="D408" s="268" t="s">
        <v>53</v>
      </c>
      <c r="E408" s="298">
        <v>24.91</v>
      </c>
      <c r="F408" s="299"/>
    </row>
    <row r="409">
      <c r="A409" s="252">
        <v>46147.0</v>
      </c>
      <c r="B409" s="108" t="s">
        <v>3028</v>
      </c>
      <c r="C409" s="268" t="s">
        <v>9</v>
      </c>
      <c r="D409" s="268" t="s">
        <v>53</v>
      </c>
      <c r="E409" s="298">
        <v>29.91</v>
      </c>
      <c r="F409" s="299"/>
    </row>
    <row r="410">
      <c r="A410" s="252">
        <v>46147.0</v>
      </c>
      <c r="B410" s="108" t="s">
        <v>102</v>
      </c>
      <c r="C410" s="268" t="s">
        <v>9</v>
      </c>
      <c r="D410" s="268" t="s">
        <v>53</v>
      </c>
      <c r="E410" s="298">
        <v>34.91</v>
      </c>
      <c r="F410" s="299"/>
    </row>
    <row r="411">
      <c r="A411" s="252">
        <v>46147.0</v>
      </c>
      <c r="B411" s="108" t="s">
        <v>2884</v>
      </c>
      <c r="C411" s="268" t="s">
        <v>9</v>
      </c>
      <c r="D411" s="268" t="s">
        <v>53</v>
      </c>
      <c r="E411" s="298">
        <v>28.91</v>
      </c>
      <c r="F411" s="299"/>
    </row>
    <row r="412">
      <c r="A412" s="252">
        <v>46147.0</v>
      </c>
      <c r="B412" s="108">
        <v>2.42095423E8</v>
      </c>
      <c r="C412" s="268" t="s">
        <v>9</v>
      </c>
      <c r="D412" s="268" t="s">
        <v>53</v>
      </c>
      <c r="E412" s="298">
        <v>20.91</v>
      </c>
      <c r="F412" s="299"/>
    </row>
    <row r="413">
      <c r="A413" s="252">
        <v>46147.0</v>
      </c>
      <c r="B413" s="108" t="s">
        <v>3030</v>
      </c>
      <c r="C413" s="268" t="s">
        <v>9</v>
      </c>
      <c r="D413" s="268" t="s">
        <v>53</v>
      </c>
      <c r="E413" s="298">
        <v>29.91</v>
      </c>
      <c r="F413" s="299"/>
    </row>
    <row r="414">
      <c r="A414" s="252">
        <v>46147.0</v>
      </c>
      <c r="B414" s="108" t="s">
        <v>1238</v>
      </c>
      <c r="C414" s="268" t="s">
        <v>9</v>
      </c>
      <c r="D414" s="268" t="s">
        <v>53</v>
      </c>
      <c r="E414" s="298">
        <v>29.91</v>
      </c>
      <c r="F414" s="298">
        <v>8.0</v>
      </c>
    </row>
    <row r="415">
      <c r="A415" s="252">
        <v>46147.0</v>
      </c>
      <c r="B415" s="108" t="s">
        <v>204</v>
      </c>
      <c r="C415" s="268" t="s">
        <v>9</v>
      </c>
      <c r="D415" s="268" t="s">
        <v>53</v>
      </c>
      <c r="E415" s="298">
        <v>20.91</v>
      </c>
      <c r="F415" s="298">
        <v>2.0</v>
      </c>
    </row>
    <row r="416">
      <c r="A416" s="252">
        <v>46147.0</v>
      </c>
      <c r="B416" s="108" t="s">
        <v>3031</v>
      </c>
      <c r="C416" s="268" t="s">
        <v>9</v>
      </c>
      <c r="D416" s="268" t="s">
        <v>53</v>
      </c>
      <c r="E416" s="298">
        <v>24.91</v>
      </c>
      <c r="F416" s="299"/>
    </row>
    <row r="417">
      <c r="A417" s="252">
        <v>46147.0</v>
      </c>
      <c r="B417" s="108" t="s">
        <v>3032</v>
      </c>
      <c r="C417" s="268" t="s">
        <v>9</v>
      </c>
      <c r="D417" s="268" t="s">
        <v>53</v>
      </c>
      <c r="E417" s="298">
        <v>24.91</v>
      </c>
      <c r="F417" s="299"/>
    </row>
    <row r="418">
      <c r="A418" s="252">
        <v>46147.0</v>
      </c>
      <c r="B418" s="108" t="s">
        <v>3033</v>
      </c>
      <c r="C418" s="268" t="s">
        <v>9</v>
      </c>
      <c r="D418" s="268" t="s">
        <v>53</v>
      </c>
      <c r="E418" s="298">
        <v>29.91</v>
      </c>
      <c r="F418" s="298">
        <v>5.0</v>
      </c>
    </row>
    <row r="419">
      <c r="A419" s="252">
        <v>46147.0</v>
      </c>
      <c r="B419" s="108" t="s">
        <v>3034</v>
      </c>
      <c r="C419" s="268" t="s">
        <v>9</v>
      </c>
      <c r="D419" s="268" t="s">
        <v>53</v>
      </c>
      <c r="E419" s="298">
        <v>20.91</v>
      </c>
      <c r="F419" s="299"/>
    </row>
    <row r="420">
      <c r="A420" s="252">
        <v>46147.0</v>
      </c>
      <c r="B420" s="108" t="s">
        <v>1433</v>
      </c>
      <c r="C420" s="268" t="s">
        <v>9</v>
      </c>
      <c r="D420" s="268" t="s">
        <v>53</v>
      </c>
      <c r="E420" s="298">
        <v>24.91</v>
      </c>
      <c r="F420" s="298">
        <v>2.0</v>
      </c>
    </row>
    <row r="421">
      <c r="A421" s="252">
        <v>46147.0</v>
      </c>
      <c r="B421" s="108" t="s">
        <v>735</v>
      </c>
      <c r="C421" s="268" t="s">
        <v>9</v>
      </c>
      <c r="D421" s="268" t="s">
        <v>53</v>
      </c>
      <c r="E421" s="298">
        <v>23.91</v>
      </c>
      <c r="F421" s="299"/>
    </row>
    <row r="422">
      <c r="A422" s="252">
        <v>46147.0</v>
      </c>
      <c r="B422" s="108" t="s">
        <v>217</v>
      </c>
      <c r="C422" s="268" t="s">
        <v>9</v>
      </c>
      <c r="D422" s="268" t="s">
        <v>53</v>
      </c>
      <c r="E422" s="298">
        <v>20.91</v>
      </c>
      <c r="F422" s="299"/>
    </row>
    <row r="423">
      <c r="A423" s="252">
        <v>46147.0</v>
      </c>
      <c r="B423" s="108" t="s">
        <v>3035</v>
      </c>
      <c r="C423" s="268" t="s">
        <v>9</v>
      </c>
      <c r="D423" s="268" t="s">
        <v>53</v>
      </c>
      <c r="E423" s="298">
        <v>29.91</v>
      </c>
      <c r="F423" s="298">
        <v>2.0</v>
      </c>
    </row>
    <row r="424">
      <c r="A424" s="252">
        <v>46147.0</v>
      </c>
      <c r="B424" s="108" t="s">
        <v>3036</v>
      </c>
      <c r="C424" s="268" t="s">
        <v>9</v>
      </c>
      <c r="D424" s="268" t="s">
        <v>53</v>
      </c>
      <c r="E424" s="298">
        <v>29.91</v>
      </c>
      <c r="F424" s="299"/>
    </row>
    <row r="425">
      <c r="A425" s="252">
        <v>46147.0</v>
      </c>
      <c r="B425" s="108" t="s">
        <v>160</v>
      </c>
      <c r="C425" s="268" t="s">
        <v>9</v>
      </c>
      <c r="D425" s="268" t="s">
        <v>53</v>
      </c>
      <c r="E425" s="298">
        <v>24.91</v>
      </c>
      <c r="F425" s="299"/>
    </row>
    <row r="426">
      <c r="A426" s="252">
        <v>46147.0</v>
      </c>
      <c r="B426" s="108" t="s">
        <v>1255</v>
      </c>
      <c r="C426" s="268" t="s">
        <v>9</v>
      </c>
      <c r="D426" s="268" t="s">
        <v>53</v>
      </c>
      <c r="E426" s="298">
        <v>24.91</v>
      </c>
      <c r="F426" s="298">
        <v>2.0</v>
      </c>
    </row>
    <row r="427">
      <c r="A427" s="252">
        <v>46147.0</v>
      </c>
      <c r="B427" s="108" t="s">
        <v>3037</v>
      </c>
      <c r="C427" s="268" t="s">
        <v>9</v>
      </c>
      <c r="D427" s="268" t="s">
        <v>53</v>
      </c>
      <c r="E427" s="298">
        <v>24.91</v>
      </c>
      <c r="F427" s="298">
        <v>2.0</v>
      </c>
    </row>
    <row r="428">
      <c r="A428" s="252">
        <v>46147.0</v>
      </c>
      <c r="B428" s="108" t="s">
        <v>795</v>
      </c>
      <c r="C428" s="268" t="s">
        <v>9</v>
      </c>
      <c r="D428" s="268" t="s">
        <v>53</v>
      </c>
      <c r="E428" s="298">
        <v>44.91</v>
      </c>
      <c r="F428" s="299"/>
    </row>
    <row r="429">
      <c r="A429" s="263"/>
      <c r="B429" s="263"/>
      <c r="C429" s="263"/>
      <c r="D429" s="263"/>
      <c r="E429" s="305"/>
      <c r="F429" s="305"/>
    </row>
    <row r="430">
      <c r="A430" s="252">
        <v>46148.0</v>
      </c>
      <c r="B430" s="108" t="s">
        <v>106</v>
      </c>
      <c r="C430" s="268" t="s">
        <v>9</v>
      </c>
      <c r="D430" s="268" t="s">
        <v>53</v>
      </c>
      <c r="E430" s="298">
        <v>34.91</v>
      </c>
      <c r="F430" s="298">
        <v>2.0</v>
      </c>
    </row>
    <row r="431">
      <c r="A431" s="252">
        <v>46148.0</v>
      </c>
      <c r="B431" s="108" t="s">
        <v>3039</v>
      </c>
      <c r="C431" s="268" t="s">
        <v>9</v>
      </c>
      <c r="D431" s="268" t="s">
        <v>53</v>
      </c>
      <c r="E431" s="298">
        <v>199.91</v>
      </c>
      <c r="F431" s="299"/>
    </row>
    <row r="432">
      <c r="A432" s="252">
        <v>46148.0</v>
      </c>
      <c r="B432" s="108" t="s">
        <v>3040</v>
      </c>
      <c r="C432" s="268" t="s">
        <v>9</v>
      </c>
      <c r="D432" s="268" t="s">
        <v>53</v>
      </c>
      <c r="E432" s="298">
        <v>99.91</v>
      </c>
      <c r="F432" s="299"/>
    </row>
    <row r="433">
      <c r="A433" s="252">
        <v>46148.0</v>
      </c>
      <c r="B433" s="108" t="s">
        <v>3041</v>
      </c>
      <c r="C433" s="268" t="s">
        <v>9</v>
      </c>
      <c r="D433" s="268" t="s">
        <v>53</v>
      </c>
      <c r="E433" s="298">
        <v>189.91</v>
      </c>
      <c r="F433" s="299"/>
    </row>
    <row r="434">
      <c r="A434" s="252">
        <v>46148.0</v>
      </c>
      <c r="B434" s="108" t="s">
        <v>1712</v>
      </c>
      <c r="C434" s="268" t="s">
        <v>9</v>
      </c>
      <c r="D434" s="268" t="s">
        <v>53</v>
      </c>
      <c r="E434" s="298">
        <v>99.91</v>
      </c>
      <c r="F434" s="299"/>
    </row>
    <row r="435">
      <c r="A435" s="252">
        <v>46148.0</v>
      </c>
      <c r="B435" s="108" t="s">
        <v>3003</v>
      </c>
      <c r="C435" s="268" t="s">
        <v>9</v>
      </c>
      <c r="D435" s="268" t="s">
        <v>53</v>
      </c>
      <c r="E435" s="298">
        <v>74.91</v>
      </c>
      <c r="F435" s="299"/>
    </row>
    <row r="436">
      <c r="A436" s="252">
        <v>46148.0</v>
      </c>
      <c r="B436" s="108" t="s">
        <v>3042</v>
      </c>
      <c r="C436" s="268" t="s">
        <v>9</v>
      </c>
      <c r="D436" s="268" t="s">
        <v>53</v>
      </c>
      <c r="E436" s="298">
        <v>109.91</v>
      </c>
      <c r="F436" s="299"/>
    </row>
    <row r="437">
      <c r="A437" s="252">
        <v>46148.0</v>
      </c>
      <c r="B437" s="108" t="s">
        <v>3043</v>
      </c>
      <c r="C437" s="268" t="s">
        <v>9</v>
      </c>
      <c r="D437" s="268" t="s">
        <v>53</v>
      </c>
      <c r="E437" s="298">
        <v>34.91</v>
      </c>
      <c r="F437" s="299"/>
    </row>
    <row r="438">
      <c r="A438" s="252">
        <v>46148.0</v>
      </c>
      <c r="B438" s="108" t="s">
        <v>3044</v>
      </c>
      <c r="C438" s="268" t="s">
        <v>9</v>
      </c>
      <c r="D438" s="268" t="s">
        <v>53</v>
      </c>
      <c r="E438" s="298">
        <v>119.91</v>
      </c>
      <c r="F438" s="299"/>
    </row>
    <row r="439">
      <c r="A439" s="252">
        <v>46148.0</v>
      </c>
      <c r="B439" s="108" t="s">
        <v>3045</v>
      </c>
      <c r="C439" s="268" t="s">
        <v>9</v>
      </c>
      <c r="D439" s="268" t="s">
        <v>53</v>
      </c>
      <c r="E439" s="298">
        <v>34.91</v>
      </c>
      <c r="F439" s="299"/>
    </row>
    <row r="440">
      <c r="A440" s="252">
        <v>46148.0</v>
      </c>
      <c r="B440" s="108" t="s">
        <v>3046</v>
      </c>
      <c r="C440" s="268" t="s">
        <v>9</v>
      </c>
      <c r="D440" s="268" t="s">
        <v>53</v>
      </c>
      <c r="E440" s="298">
        <v>129.91</v>
      </c>
      <c r="F440" s="299"/>
    </row>
    <row r="441">
      <c r="A441" s="252">
        <v>46148.0</v>
      </c>
      <c r="B441" s="108" t="s">
        <v>3047</v>
      </c>
      <c r="C441" s="268" t="s">
        <v>9</v>
      </c>
      <c r="D441" s="268" t="s">
        <v>53</v>
      </c>
      <c r="E441" s="298">
        <v>319.91</v>
      </c>
      <c r="F441" s="299"/>
    </row>
    <row r="442">
      <c r="A442" s="252">
        <v>46148.0</v>
      </c>
      <c r="B442" s="108" t="s">
        <v>3048</v>
      </c>
      <c r="C442" s="268" t="s">
        <v>9</v>
      </c>
      <c r="D442" s="268" t="s">
        <v>53</v>
      </c>
      <c r="E442" s="298">
        <v>20.91</v>
      </c>
      <c r="F442" s="299"/>
    </row>
    <row r="443">
      <c r="A443" s="252">
        <v>46148.0</v>
      </c>
      <c r="B443" s="108" t="s">
        <v>962</v>
      </c>
      <c r="C443" s="268" t="s">
        <v>9</v>
      </c>
      <c r="D443" s="268" t="s">
        <v>53</v>
      </c>
      <c r="E443" s="298">
        <v>24.91</v>
      </c>
      <c r="F443" s="298">
        <v>4.0</v>
      </c>
    </row>
    <row r="444">
      <c r="A444" s="252">
        <v>46148.0</v>
      </c>
      <c r="B444" s="108" t="s">
        <v>3050</v>
      </c>
      <c r="C444" s="268" t="s">
        <v>9</v>
      </c>
      <c r="D444" s="268" t="s">
        <v>53</v>
      </c>
      <c r="E444" s="298">
        <v>34.91</v>
      </c>
      <c r="F444" s="299"/>
    </row>
    <row r="445">
      <c r="A445" s="252">
        <v>46148.0</v>
      </c>
      <c r="B445" s="108" t="s">
        <v>3051</v>
      </c>
      <c r="C445" s="268" t="s">
        <v>9</v>
      </c>
      <c r="D445" s="268" t="s">
        <v>53</v>
      </c>
      <c r="E445" s="298">
        <v>34.91</v>
      </c>
      <c r="F445" s="299"/>
    </row>
    <row r="446">
      <c r="A446" s="252">
        <v>46148.0</v>
      </c>
      <c r="B446" s="108" t="s">
        <v>115</v>
      </c>
      <c r="C446" s="268" t="s">
        <v>9</v>
      </c>
      <c r="D446" s="268" t="s">
        <v>53</v>
      </c>
      <c r="E446" s="298">
        <v>39.91</v>
      </c>
      <c r="F446" s="299"/>
    </row>
    <row r="447">
      <c r="A447" s="252">
        <v>46148.0</v>
      </c>
      <c r="B447" s="108" t="s">
        <v>3052</v>
      </c>
      <c r="C447" s="268" t="s">
        <v>9</v>
      </c>
      <c r="D447" s="268" t="s">
        <v>53</v>
      </c>
      <c r="E447" s="298">
        <v>109.91</v>
      </c>
      <c r="F447" s="299"/>
    </row>
    <row r="448">
      <c r="A448" s="252">
        <v>46148.0</v>
      </c>
      <c r="B448" s="108" t="s">
        <v>3053</v>
      </c>
      <c r="C448" s="268" t="s">
        <v>9</v>
      </c>
      <c r="D448" s="268" t="s">
        <v>53</v>
      </c>
      <c r="E448" s="298">
        <v>74.91</v>
      </c>
      <c r="F448" s="299"/>
    </row>
    <row r="449">
      <c r="A449" s="252">
        <v>46148.0</v>
      </c>
      <c r="B449" s="108" t="s">
        <v>3054</v>
      </c>
      <c r="C449" s="268" t="s">
        <v>9</v>
      </c>
      <c r="D449" s="268" t="s">
        <v>53</v>
      </c>
      <c r="E449" s="298">
        <v>59.91</v>
      </c>
      <c r="F449" s="299"/>
    </row>
    <row r="450">
      <c r="A450" s="252">
        <v>46148.0</v>
      </c>
      <c r="B450" s="108" t="s">
        <v>3055</v>
      </c>
      <c r="C450" s="268" t="s">
        <v>9</v>
      </c>
      <c r="D450" s="268" t="s">
        <v>53</v>
      </c>
      <c r="E450" s="298">
        <v>29.91</v>
      </c>
      <c r="F450" s="299"/>
    </row>
    <row r="451">
      <c r="A451" s="252">
        <v>46148.0</v>
      </c>
      <c r="B451" s="108" t="s">
        <v>818</v>
      </c>
      <c r="C451" s="268" t="s">
        <v>9</v>
      </c>
      <c r="D451" s="268" t="s">
        <v>53</v>
      </c>
      <c r="E451" s="298">
        <v>34.91</v>
      </c>
      <c r="F451" s="299"/>
    </row>
    <row r="452">
      <c r="A452" s="252">
        <v>46148.0</v>
      </c>
      <c r="B452" s="108" t="s">
        <v>3057</v>
      </c>
      <c r="C452" s="268" t="s">
        <v>9</v>
      </c>
      <c r="D452" s="268" t="s">
        <v>53</v>
      </c>
      <c r="E452" s="298">
        <v>59.91</v>
      </c>
      <c r="F452" s="299"/>
    </row>
    <row r="453">
      <c r="A453" s="252">
        <v>46148.0</v>
      </c>
      <c r="B453" s="108" t="s">
        <v>3058</v>
      </c>
      <c r="C453" s="268" t="s">
        <v>9</v>
      </c>
      <c r="D453" s="268" t="s">
        <v>53</v>
      </c>
      <c r="E453" s="298">
        <v>109.91</v>
      </c>
      <c r="F453" s="299"/>
    </row>
    <row r="454">
      <c r="A454" s="252">
        <v>46148.0</v>
      </c>
      <c r="B454" s="108" t="s">
        <v>3059</v>
      </c>
      <c r="C454" s="268" t="s">
        <v>9</v>
      </c>
      <c r="D454" s="268" t="s">
        <v>53</v>
      </c>
      <c r="E454" s="298">
        <v>34.91</v>
      </c>
      <c r="F454" s="299"/>
    </row>
    <row r="455">
      <c r="A455" s="252">
        <v>46148.0</v>
      </c>
      <c r="B455" s="108" t="s">
        <v>3060</v>
      </c>
      <c r="C455" s="268" t="s">
        <v>9</v>
      </c>
      <c r="D455" s="268" t="s">
        <v>53</v>
      </c>
      <c r="E455" s="298">
        <v>20.91</v>
      </c>
      <c r="F455" s="299"/>
    </row>
    <row r="456">
      <c r="A456" s="252">
        <v>46148.0</v>
      </c>
      <c r="B456" s="108" t="s">
        <v>3061</v>
      </c>
      <c r="C456" s="268" t="s">
        <v>9</v>
      </c>
      <c r="D456" s="268" t="s">
        <v>53</v>
      </c>
      <c r="E456" s="298">
        <v>39.91</v>
      </c>
      <c r="F456" s="299"/>
    </row>
    <row r="457">
      <c r="A457" s="252">
        <v>46148.0</v>
      </c>
      <c r="B457" s="108" t="s">
        <v>3062</v>
      </c>
      <c r="C457" s="268" t="s">
        <v>9</v>
      </c>
      <c r="D457" s="268" t="s">
        <v>53</v>
      </c>
      <c r="E457" s="298">
        <v>29.91</v>
      </c>
      <c r="F457" s="299"/>
    </row>
    <row r="458">
      <c r="A458" s="252">
        <v>46148.0</v>
      </c>
      <c r="B458" s="108" t="s">
        <v>38</v>
      </c>
      <c r="C458" s="268" t="s">
        <v>9</v>
      </c>
      <c r="D458" s="268" t="s">
        <v>53</v>
      </c>
      <c r="E458" s="298">
        <v>20.91</v>
      </c>
      <c r="F458" s="299"/>
    </row>
    <row r="459">
      <c r="A459" s="252">
        <v>46148.0</v>
      </c>
      <c r="B459" s="108" t="s">
        <v>3064</v>
      </c>
      <c r="C459" s="268" t="s">
        <v>9</v>
      </c>
      <c r="D459" s="268" t="s">
        <v>53</v>
      </c>
      <c r="E459" s="298">
        <v>24.91</v>
      </c>
      <c r="F459" s="299"/>
    </row>
    <row r="460">
      <c r="A460" s="252">
        <v>46148.0</v>
      </c>
      <c r="B460" s="104" t="s">
        <v>415</v>
      </c>
      <c r="C460" s="268" t="s">
        <v>9</v>
      </c>
      <c r="D460" s="268" t="s">
        <v>53</v>
      </c>
      <c r="E460" s="298">
        <v>24.91</v>
      </c>
      <c r="F460" s="299"/>
    </row>
    <row r="461">
      <c r="A461" s="252">
        <v>46148.0</v>
      </c>
      <c r="B461" s="104" t="s">
        <v>3065</v>
      </c>
      <c r="C461" s="268" t="s">
        <v>9</v>
      </c>
      <c r="D461" s="268" t="s">
        <v>53</v>
      </c>
      <c r="E461" s="298">
        <v>20.91</v>
      </c>
      <c r="F461" s="299"/>
    </row>
    <row r="462">
      <c r="A462" s="252">
        <v>46148.0</v>
      </c>
      <c r="B462" s="104" t="s">
        <v>3066</v>
      </c>
      <c r="C462" s="268" t="s">
        <v>9</v>
      </c>
      <c r="D462" s="268" t="s">
        <v>53</v>
      </c>
      <c r="E462" s="298">
        <v>49.91</v>
      </c>
      <c r="F462" s="299"/>
    </row>
    <row r="463">
      <c r="A463" s="252">
        <v>46148.0</v>
      </c>
      <c r="B463" s="104" t="s">
        <v>3067</v>
      </c>
      <c r="C463" s="268" t="s">
        <v>9</v>
      </c>
      <c r="D463" s="268" t="s">
        <v>53</v>
      </c>
      <c r="E463" s="298">
        <v>89.91</v>
      </c>
      <c r="F463" s="299"/>
    </row>
    <row r="464">
      <c r="A464" s="252">
        <v>46148.0</v>
      </c>
      <c r="B464" s="104" t="s">
        <v>900</v>
      </c>
      <c r="C464" s="268" t="s">
        <v>9</v>
      </c>
      <c r="D464" s="268" t="s">
        <v>53</v>
      </c>
      <c r="E464" s="298">
        <v>29.91</v>
      </c>
      <c r="F464" s="299"/>
    </row>
    <row r="465">
      <c r="A465" s="252">
        <v>46148.0</v>
      </c>
      <c r="B465" s="104" t="s">
        <v>817</v>
      </c>
      <c r="C465" s="268" t="s">
        <v>9</v>
      </c>
      <c r="D465" s="268" t="s">
        <v>53</v>
      </c>
      <c r="E465" s="298">
        <v>20.91</v>
      </c>
      <c r="F465" s="299"/>
    </row>
    <row r="466">
      <c r="A466" s="252">
        <v>46148.0</v>
      </c>
      <c r="B466" s="104" t="s">
        <v>3068</v>
      </c>
      <c r="C466" s="268" t="s">
        <v>9</v>
      </c>
      <c r="D466" s="268" t="s">
        <v>53</v>
      </c>
      <c r="E466" s="298">
        <v>20.91</v>
      </c>
      <c r="F466" s="298">
        <v>2.0</v>
      </c>
    </row>
    <row r="467">
      <c r="A467" s="252">
        <v>46148.0</v>
      </c>
      <c r="B467" s="104" t="s">
        <v>3069</v>
      </c>
      <c r="C467" s="268" t="s">
        <v>9</v>
      </c>
      <c r="D467" s="268" t="s">
        <v>53</v>
      </c>
      <c r="E467" s="298">
        <v>34.91</v>
      </c>
      <c r="F467" s="299"/>
    </row>
    <row r="468">
      <c r="A468" s="252">
        <v>46148.0</v>
      </c>
      <c r="B468" s="104" t="s">
        <v>818</v>
      </c>
      <c r="C468" s="268" t="s">
        <v>9</v>
      </c>
      <c r="D468" s="268" t="s">
        <v>53</v>
      </c>
      <c r="E468" s="298">
        <v>59.91</v>
      </c>
      <c r="F468" s="299"/>
    </row>
    <row r="469">
      <c r="A469" s="252">
        <v>46148.0</v>
      </c>
      <c r="B469" s="104" t="s">
        <v>3070</v>
      </c>
      <c r="C469" s="268" t="s">
        <v>9</v>
      </c>
      <c r="D469" s="268" t="s">
        <v>53</v>
      </c>
      <c r="E469" s="298">
        <v>20.91</v>
      </c>
      <c r="F469" s="299"/>
    </row>
    <row r="470">
      <c r="A470" s="263"/>
      <c r="B470" s="263"/>
      <c r="C470" s="263"/>
      <c r="D470" s="263"/>
      <c r="E470" s="305"/>
      <c r="F470" s="305"/>
    </row>
    <row r="471">
      <c r="A471" s="252">
        <v>46149.0</v>
      </c>
      <c r="B471" s="104" t="s">
        <v>3071</v>
      </c>
      <c r="C471" s="268" t="s">
        <v>9</v>
      </c>
      <c r="D471" s="268" t="s">
        <v>53</v>
      </c>
      <c r="E471" s="298">
        <v>54.91</v>
      </c>
      <c r="F471" s="299"/>
    </row>
    <row r="472">
      <c r="A472" s="252">
        <v>46149.0</v>
      </c>
      <c r="B472" s="104" t="s">
        <v>3072</v>
      </c>
      <c r="C472" s="268" t="s">
        <v>9</v>
      </c>
      <c r="D472" s="268" t="s">
        <v>53</v>
      </c>
      <c r="E472" s="298">
        <v>44.91</v>
      </c>
      <c r="F472" s="299"/>
    </row>
    <row r="473">
      <c r="A473" s="252">
        <v>46149.0</v>
      </c>
      <c r="B473" s="104" t="s">
        <v>3073</v>
      </c>
      <c r="C473" s="268" t="s">
        <v>9</v>
      </c>
      <c r="D473" s="268" t="s">
        <v>53</v>
      </c>
      <c r="E473" s="298">
        <v>44.91</v>
      </c>
      <c r="F473" s="299"/>
    </row>
    <row r="474">
      <c r="A474" s="252">
        <v>46149.0</v>
      </c>
      <c r="B474" s="104" t="s">
        <v>3074</v>
      </c>
      <c r="C474" s="268" t="s">
        <v>9</v>
      </c>
      <c r="D474" s="268" t="s">
        <v>53</v>
      </c>
      <c r="E474" s="298">
        <v>24.91</v>
      </c>
      <c r="F474" s="299"/>
    </row>
    <row r="475">
      <c r="A475" s="252">
        <v>46149.0</v>
      </c>
      <c r="B475" s="104" t="s">
        <v>985</v>
      </c>
      <c r="C475" s="268" t="s">
        <v>9</v>
      </c>
      <c r="D475" s="268" t="s">
        <v>53</v>
      </c>
      <c r="E475" s="298">
        <v>24.91</v>
      </c>
      <c r="F475" s="299"/>
    </row>
    <row r="476">
      <c r="A476" s="252">
        <v>46149.0</v>
      </c>
      <c r="B476" s="104" t="s">
        <v>1016</v>
      </c>
      <c r="C476" s="268" t="s">
        <v>9</v>
      </c>
      <c r="D476" s="268" t="s">
        <v>53</v>
      </c>
      <c r="E476" s="298">
        <v>34.91</v>
      </c>
      <c r="F476" s="298">
        <v>5.0</v>
      </c>
    </row>
    <row r="477">
      <c r="A477" s="252">
        <v>46149.0</v>
      </c>
      <c r="B477" s="104" t="s">
        <v>72</v>
      </c>
      <c r="C477" s="268" t="s">
        <v>9</v>
      </c>
      <c r="D477" s="268" t="s">
        <v>53</v>
      </c>
      <c r="E477" s="298">
        <v>20.91</v>
      </c>
      <c r="F477" s="299"/>
    </row>
    <row r="478">
      <c r="A478" s="252">
        <v>46149.0</v>
      </c>
      <c r="B478" s="104" t="s">
        <v>659</v>
      </c>
      <c r="C478" s="268" t="s">
        <v>9</v>
      </c>
      <c r="D478" s="268" t="s">
        <v>53</v>
      </c>
      <c r="E478" s="298">
        <v>124.91</v>
      </c>
      <c r="F478" s="299"/>
    </row>
    <row r="479">
      <c r="A479" s="252">
        <v>46149.0</v>
      </c>
      <c r="B479" s="104" t="s">
        <v>3075</v>
      </c>
      <c r="C479" s="268" t="s">
        <v>9</v>
      </c>
      <c r="D479" s="268" t="s">
        <v>53</v>
      </c>
      <c r="E479" s="104">
        <v>44.91</v>
      </c>
      <c r="F479" s="107"/>
    </row>
    <row r="480">
      <c r="A480" s="252">
        <v>46149.0</v>
      </c>
      <c r="B480" s="104" t="s">
        <v>164</v>
      </c>
      <c r="C480" s="268" t="s">
        <v>9</v>
      </c>
      <c r="D480" s="268" t="s">
        <v>53</v>
      </c>
      <c r="E480" s="104">
        <v>44.91</v>
      </c>
      <c r="F480" s="107"/>
    </row>
    <row r="481">
      <c r="A481" s="252">
        <v>46149.0</v>
      </c>
      <c r="B481" s="104" t="s">
        <v>274</v>
      </c>
      <c r="C481" s="268" t="s">
        <v>9</v>
      </c>
      <c r="D481" s="268" t="s">
        <v>53</v>
      </c>
      <c r="E481" s="104">
        <v>99.91</v>
      </c>
      <c r="F481" s="107"/>
    </row>
    <row r="482">
      <c r="A482" s="252">
        <v>46149.0</v>
      </c>
      <c r="B482" s="104" t="s">
        <v>3077</v>
      </c>
      <c r="C482" s="268" t="s">
        <v>9</v>
      </c>
      <c r="D482" s="268" t="s">
        <v>53</v>
      </c>
      <c r="E482" s="104">
        <v>124.91</v>
      </c>
      <c r="F482" s="107"/>
    </row>
    <row r="483">
      <c r="A483" s="252">
        <v>46149.0</v>
      </c>
      <c r="B483" s="104" t="s">
        <v>3078</v>
      </c>
      <c r="C483" s="268" t="s">
        <v>9</v>
      </c>
      <c r="D483" s="268" t="s">
        <v>53</v>
      </c>
      <c r="E483" s="104">
        <v>159.91</v>
      </c>
      <c r="F483" s="107"/>
    </row>
    <row r="484">
      <c r="A484" s="252">
        <v>46149.0</v>
      </c>
      <c r="B484" s="104" t="s">
        <v>313</v>
      </c>
      <c r="C484" s="268" t="s">
        <v>9</v>
      </c>
      <c r="D484" s="268" t="s">
        <v>53</v>
      </c>
      <c r="E484" s="104">
        <v>49.91</v>
      </c>
      <c r="F484" s="104">
        <v>2.0</v>
      </c>
    </row>
    <row r="485">
      <c r="A485" s="252">
        <v>46149.0</v>
      </c>
      <c r="B485" s="104" t="s">
        <v>3079</v>
      </c>
      <c r="C485" s="268" t="s">
        <v>9</v>
      </c>
      <c r="D485" s="268" t="s">
        <v>53</v>
      </c>
      <c r="E485" s="104">
        <v>54.91</v>
      </c>
      <c r="F485" s="107"/>
    </row>
    <row r="486">
      <c r="A486" s="252">
        <v>46149.0</v>
      </c>
      <c r="B486" s="104" t="s">
        <v>3080</v>
      </c>
      <c r="C486" s="268" t="s">
        <v>9</v>
      </c>
      <c r="D486" s="268" t="s">
        <v>53</v>
      </c>
      <c r="E486" s="104">
        <v>99.91</v>
      </c>
      <c r="F486" s="107"/>
    </row>
    <row r="487">
      <c r="A487" s="252">
        <v>46149.0</v>
      </c>
      <c r="B487" s="104" t="s">
        <v>3082</v>
      </c>
      <c r="C487" s="268" t="s">
        <v>9</v>
      </c>
      <c r="D487" s="268" t="s">
        <v>53</v>
      </c>
      <c r="E487" s="104">
        <v>99.91</v>
      </c>
      <c r="F487" s="107"/>
    </row>
    <row r="488">
      <c r="A488" s="252">
        <v>46149.0</v>
      </c>
      <c r="B488" s="104" t="s">
        <v>3083</v>
      </c>
      <c r="C488" s="268" t="s">
        <v>9</v>
      </c>
      <c r="D488" s="268" t="s">
        <v>53</v>
      </c>
      <c r="E488" s="104">
        <v>99.91</v>
      </c>
      <c r="F488" s="107"/>
    </row>
    <row r="489">
      <c r="A489" s="252">
        <v>46149.0</v>
      </c>
      <c r="B489" s="104" t="s">
        <v>3084</v>
      </c>
      <c r="C489" s="268" t="s">
        <v>9</v>
      </c>
      <c r="D489" s="268" t="s">
        <v>53</v>
      </c>
      <c r="E489" s="104">
        <v>64.91</v>
      </c>
      <c r="F489" s="107"/>
    </row>
    <row r="490">
      <c r="A490" s="252">
        <v>46149.0</v>
      </c>
      <c r="B490" s="104" t="s">
        <v>3085</v>
      </c>
      <c r="C490" s="268" t="s">
        <v>9</v>
      </c>
      <c r="D490" s="268" t="s">
        <v>53</v>
      </c>
      <c r="E490" s="104">
        <v>179.91</v>
      </c>
      <c r="F490" s="107"/>
    </row>
    <row r="491">
      <c r="A491" s="252">
        <v>46149.0</v>
      </c>
      <c r="B491" s="104" t="s">
        <v>3086</v>
      </c>
      <c r="C491" s="268" t="s">
        <v>9</v>
      </c>
      <c r="D491" s="268" t="s">
        <v>53</v>
      </c>
      <c r="E491" s="104">
        <v>20.91</v>
      </c>
      <c r="F491" s="107"/>
    </row>
    <row r="492">
      <c r="A492" s="252">
        <v>46149.0</v>
      </c>
      <c r="B492" s="104" t="s">
        <v>3087</v>
      </c>
      <c r="C492" s="268" t="s">
        <v>9</v>
      </c>
      <c r="D492" s="268" t="s">
        <v>53</v>
      </c>
      <c r="E492" s="104">
        <v>154.91</v>
      </c>
      <c r="F492" s="107"/>
    </row>
    <row r="493">
      <c r="A493" s="252">
        <v>46149.0</v>
      </c>
      <c r="B493" s="104" t="s">
        <v>3088</v>
      </c>
      <c r="C493" s="268" t="s">
        <v>9</v>
      </c>
      <c r="D493" s="268" t="s">
        <v>53</v>
      </c>
      <c r="E493" s="104">
        <v>119.91</v>
      </c>
      <c r="F493" s="107"/>
    </row>
    <row r="494">
      <c r="A494" s="252">
        <v>46149.0</v>
      </c>
      <c r="B494" s="104" t="s">
        <v>3089</v>
      </c>
      <c r="C494" s="268" t="s">
        <v>9</v>
      </c>
      <c r="D494" s="268" t="s">
        <v>53</v>
      </c>
      <c r="E494" s="104">
        <v>189.91</v>
      </c>
      <c r="F494" s="107"/>
    </row>
    <row r="495">
      <c r="A495" s="252">
        <v>46149.0</v>
      </c>
      <c r="B495" s="104" t="s">
        <v>3090</v>
      </c>
      <c r="C495" s="268" t="s">
        <v>9</v>
      </c>
      <c r="D495" s="268" t="s">
        <v>53</v>
      </c>
      <c r="E495" s="104">
        <v>49.91</v>
      </c>
      <c r="F495" s="107"/>
    </row>
    <row r="496">
      <c r="A496" s="252">
        <v>46149.0</v>
      </c>
      <c r="B496" s="104" t="s">
        <v>3091</v>
      </c>
      <c r="C496" s="268" t="s">
        <v>9</v>
      </c>
      <c r="D496" s="268" t="s">
        <v>53</v>
      </c>
      <c r="E496" s="104">
        <v>109.91</v>
      </c>
      <c r="F496" s="107"/>
    </row>
    <row r="497">
      <c r="A497" s="252">
        <v>46149.0</v>
      </c>
      <c r="B497" s="104" t="s">
        <v>1537</v>
      </c>
      <c r="C497" s="268" t="s">
        <v>9</v>
      </c>
      <c r="D497" s="268" t="s">
        <v>53</v>
      </c>
      <c r="E497" s="104">
        <v>24.91</v>
      </c>
      <c r="F497" s="104">
        <v>2.0</v>
      </c>
    </row>
    <row r="498">
      <c r="A498" s="252">
        <v>46149.0</v>
      </c>
      <c r="B498" s="104" t="s">
        <v>3092</v>
      </c>
      <c r="C498" s="268" t="s">
        <v>9</v>
      </c>
      <c r="D498" s="268" t="s">
        <v>53</v>
      </c>
      <c r="E498" s="104">
        <v>29.91</v>
      </c>
      <c r="F498" s="104">
        <v>2.0</v>
      </c>
    </row>
    <row r="499">
      <c r="A499" s="252">
        <v>46149.0</v>
      </c>
      <c r="B499" s="104" t="s">
        <v>3093</v>
      </c>
      <c r="C499" s="268" t="s">
        <v>9</v>
      </c>
      <c r="D499" s="268" t="s">
        <v>53</v>
      </c>
      <c r="E499" s="104">
        <v>89.91</v>
      </c>
      <c r="F499" s="104">
        <v>2.0</v>
      </c>
    </row>
    <row r="500">
      <c r="A500" s="252">
        <v>46149.0</v>
      </c>
      <c r="B500" s="104" t="s">
        <v>3094</v>
      </c>
      <c r="C500" s="268" t="s">
        <v>9</v>
      </c>
      <c r="D500" s="268" t="s">
        <v>53</v>
      </c>
      <c r="E500" s="104">
        <v>89.91</v>
      </c>
      <c r="F500" s="107"/>
    </row>
    <row r="501">
      <c r="A501" s="252">
        <v>46149.0</v>
      </c>
      <c r="B501" s="104" t="s">
        <v>3095</v>
      </c>
      <c r="C501" s="268" t="s">
        <v>9</v>
      </c>
      <c r="D501" s="268" t="s">
        <v>53</v>
      </c>
      <c r="E501" s="104">
        <v>84.91</v>
      </c>
      <c r="F501" s="107"/>
    </row>
    <row r="502">
      <c r="A502" s="252">
        <v>46149.0</v>
      </c>
      <c r="B502" s="104" t="s">
        <v>3096</v>
      </c>
      <c r="C502" s="268" t="s">
        <v>9</v>
      </c>
      <c r="D502" s="268" t="s">
        <v>53</v>
      </c>
      <c r="E502" s="104">
        <v>199.91</v>
      </c>
      <c r="F502" s="107"/>
    </row>
    <row r="503">
      <c r="A503" s="252">
        <v>46149.0</v>
      </c>
      <c r="B503" s="104" t="s">
        <v>3098</v>
      </c>
      <c r="C503" s="268" t="s">
        <v>9</v>
      </c>
      <c r="D503" s="268" t="s">
        <v>53</v>
      </c>
      <c r="E503" s="104">
        <v>20.91</v>
      </c>
      <c r="F503" s="107"/>
    </row>
    <row r="504">
      <c r="A504" s="252">
        <v>46149.0</v>
      </c>
      <c r="B504" s="104" t="s">
        <v>1288</v>
      </c>
      <c r="C504" s="268" t="s">
        <v>9</v>
      </c>
      <c r="D504" s="268" t="s">
        <v>53</v>
      </c>
      <c r="E504" s="104">
        <v>20.91</v>
      </c>
      <c r="F504" s="104">
        <v>2.0</v>
      </c>
    </row>
    <row r="505">
      <c r="A505" s="252">
        <v>46149.0</v>
      </c>
      <c r="B505" s="104" t="s">
        <v>3099</v>
      </c>
      <c r="C505" s="268" t="s">
        <v>9</v>
      </c>
      <c r="D505" s="268" t="s">
        <v>53</v>
      </c>
      <c r="E505" s="104">
        <v>20.91</v>
      </c>
      <c r="F505" s="107"/>
    </row>
    <row r="506">
      <c r="A506" s="252">
        <v>46149.0</v>
      </c>
      <c r="B506" s="104" t="s">
        <v>3100</v>
      </c>
      <c r="C506" s="268" t="s">
        <v>9</v>
      </c>
      <c r="D506" s="268" t="s">
        <v>53</v>
      </c>
      <c r="E506" s="104">
        <v>20.91</v>
      </c>
      <c r="F506" s="107"/>
    </row>
    <row r="507">
      <c r="A507" s="252">
        <v>46149.0</v>
      </c>
      <c r="B507" s="104" t="s">
        <v>3101</v>
      </c>
      <c r="C507" s="268" t="s">
        <v>9</v>
      </c>
      <c r="D507" s="268" t="s">
        <v>53</v>
      </c>
      <c r="E507" s="104">
        <v>54.91</v>
      </c>
      <c r="F507" s="107"/>
    </row>
    <row r="508">
      <c r="A508" s="252">
        <v>46149.0</v>
      </c>
      <c r="B508" s="104" t="s">
        <v>3102</v>
      </c>
      <c r="C508" s="268" t="s">
        <v>9</v>
      </c>
      <c r="D508" s="268" t="s">
        <v>53</v>
      </c>
      <c r="E508" s="104">
        <v>24.91</v>
      </c>
      <c r="F508" s="104">
        <v>3.0</v>
      </c>
    </row>
    <row r="509">
      <c r="A509" s="252">
        <v>46149.0</v>
      </c>
      <c r="B509" s="104" t="s">
        <v>3103</v>
      </c>
      <c r="C509" s="268" t="s">
        <v>9</v>
      </c>
      <c r="D509" s="268" t="s">
        <v>53</v>
      </c>
      <c r="E509" s="104">
        <v>79.91</v>
      </c>
      <c r="F509" s="107"/>
    </row>
    <row r="510">
      <c r="A510" s="252">
        <v>46149.0</v>
      </c>
      <c r="B510" s="104" t="s">
        <v>3104</v>
      </c>
      <c r="C510" s="268" t="s">
        <v>9</v>
      </c>
      <c r="D510" s="268" t="s">
        <v>53</v>
      </c>
      <c r="E510" s="104">
        <v>44.91</v>
      </c>
      <c r="F510" s="107"/>
    </row>
    <row r="511">
      <c r="A511" s="252">
        <v>46149.0</v>
      </c>
      <c r="B511" s="104" t="s">
        <v>3105</v>
      </c>
      <c r="C511" s="268" t="s">
        <v>9</v>
      </c>
      <c r="D511" s="268" t="s">
        <v>53</v>
      </c>
      <c r="E511" s="104">
        <v>44.91</v>
      </c>
      <c r="F511" s="107"/>
    </row>
    <row r="512">
      <c r="A512" s="252">
        <v>46149.0</v>
      </c>
      <c r="B512" s="104" t="s">
        <v>3106</v>
      </c>
      <c r="C512" s="268" t="s">
        <v>9</v>
      </c>
      <c r="D512" s="268" t="s">
        <v>53</v>
      </c>
      <c r="E512" s="104">
        <v>20.91</v>
      </c>
      <c r="F512" s="104">
        <v>2.0</v>
      </c>
    </row>
    <row r="513">
      <c r="A513" s="252">
        <v>46149.0</v>
      </c>
      <c r="B513" s="104" t="s">
        <v>3107</v>
      </c>
      <c r="C513" s="268" t="s">
        <v>9</v>
      </c>
      <c r="D513" s="268" t="s">
        <v>53</v>
      </c>
      <c r="E513" s="104">
        <v>54.91</v>
      </c>
      <c r="F513" s="104">
        <v>4.0</v>
      </c>
    </row>
    <row r="514">
      <c r="A514" s="102"/>
      <c r="B514" s="102"/>
      <c r="C514" s="102"/>
      <c r="D514" s="102"/>
      <c r="E514" s="102"/>
      <c r="F514" s="102"/>
    </row>
    <row r="515">
      <c r="A515" s="252">
        <v>46150.0</v>
      </c>
      <c r="B515" s="104" t="s">
        <v>3108</v>
      </c>
      <c r="C515" s="268" t="s">
        <v>9</v>
      </c>
      <c r="D515" s="268" t="s">
        <v>53</v>
      </c>
      <c r="E515" s="104">
        <v>20.91</v>
      </c>
      <c r="F515" s="107"/>
    </row>
    <row r="516">
      <c r="A516" s="252">
        <v>46150.0</v>
      </c>
      <c r="B516" s="104" t="s">
        <v>467</v>
      </c>
      <c r="C516" s="268" t="s">
        <v>9</v>
      </c>
      <c r="D516" s="268" t="s">
        <v>53</v>
      </c>
      <c r="E516" s="104">
        <v>24.91</v>
      </c>
      <c r="F516" s="104">
        <v>4.0</v>
      </c>
    </row>
    <row r="517">
      <c r="A517" s="252">
        <v>46150.0</v>
      </c>
      <c r="B517" s="104" t="s">
        <v>3109</v>
      </c>
      <c r="C517" s="268" t="s">
        <v>9</v>
      </c>
      <c r="D517" s="268" t="s">
        <v>53</v>
      </c>
      <c r="E517" s="104">
        <v>32.91</v>
      </c>
      <c r="F517" s="104">
        <v>10.0</v>
      </c>
    </row>
    <row r="518">
      <c r="A518" s="252">
        <v>46150.0</v>
      </c>
      <c r="B518" s="104" t="s">
        <v>3110</v>
      </c>
      <c r="C518" s="268" t="s">
        <v>9</v>
      </c>
      <c r="D518" s="268" t="s">
        <v>53</v>
      </c>
      <c r="E518" s="104">
        <v>54.91</v>
      </c>
      <c r="F518" s="107"/>
    </row>
    <row r="519">
      <c r="A519" s="252">
        <v>46150.0</v>
      </c>
      <c r="B519" s="104" t="s">
        <v>3111</v>
      </c>
      <c r="C519" s="268" t="s">
        <v>9</v>
      </c>
      <c r="D519" s="268" t="s">
        <v>53</v>
      </c>
      <c r="E519" s="104">
        <v>24.91</v>
      </c>
      <c r="F519" s="107"/>
    </row>
    <row r="520">
      <c r="A520" s="252">
        <v>46150.0</v>
      </c>
      <c r="B520" s="104" t="s">
        <v>3112</v>
      </c>
      <c r="C520" s="268" t="s">
        <v>9</v>
      </c>
      <c r="D520" s="268" t="s">
        <v>53</v>
      </c>
      <c r="E520" s="104">
        <v>20.91</v>
      </c>
      <c r="F520" s="104">
        <v>2.0</v>
      </c>
    </row>
    <row r="521">
      <c r="A521" s="252">
        <v>46150.0</v>
      </c>
      <c r="B521" s="104" t="s">
        <v>3113</v>
      </c>
      <c r="C521" s="268" t="s">
        <v>9</v>
      </c>
      <c r="D521" s="268" t="s">
        <v>53</v>
      </c>
      <c r="E521" s="104">
        <v>20.91</v>
      </c>
      <c r="F521" s="107"/>
    </row>
    <row r="522">
      <c r="A522" s="252">
        <v>46150.0</v>
      </c>
      <c r="B522" s="108" t="s">
        <v>1932</v>
      </c>
      <c r="C522" s="268" t="s">
        <v>9</v>
      </c>
      <c r="D522" s="268" t="s">
        <v>53</v>
      </c>
      <c r="E522" s="104">
        <v>20.91</v>
      </c>
      <c r="F522" s="107"/>
    </row>
    <row r="523">
      <c r="A523" s="252">
        <v>46150.0</v>
      </c>
      <c r="B523" s="108" t="s">
        <v>3114</v>
      </c>
      <c r="C523" s="268" t="s">
        <v>9</v>
      </c>
      <c r="D523" s="268" t="s">
        <v>53</v>
      </c>
      <c r="E523" s="104">
        <v>24.91</v>
      </c>
      <c r="F523" s="107"/>
    </row>
    <row r="524">
      <c r="A524" s="252"/>
      <c r="B524" s="108"/>
      <c r="C524" s="268"/>
      <c r="D524" s="268"/>
      <c r="E524" s="104"/>
      <c r="F524" s="104"/>
    </row>
    <row r="525">
      <c r="A525" s="252">
        <v>46150.0</v>
      </c>
      <c r="B525" s="108" t="s">
        <v>3115</v>
      </c>
      <c r="C525" s="268" t="s">
        <v>9</v>
      </c>
      <c r="D525" s="268" t="s">
        <v>53</v>
      </c>
      <c r="E525" s="104">
        <v>129.91</v>
      </c>
      <c r="F525" s="107"/>
    </row>
    <row r="526">
      <c r="A526" s="252">
        <v>46150.0</v>
      </c>
      <c r="B526" s="108" t="s">
        <v>3116</v>
      </c>
      <c r="C526" s="268" t="s">
        <v>9</v>
      </c>
      <c r="D526" s="268" t="s">
        <v>53</v>
      </c>
      <c r="E526" s="104">
        <v>34.91</v>
      </c>
      <c r="F526" s="107"/>
    </row>
    <row r="527">
      <c r="A527" s="252">
        <v>46150.0</v>
      </c>
      <c r="B527" s="108" t="s">
        <v>3117</v>
      </c>
      <c r="C527" s="268" t="s">
        <v>9</v>
      </c>
      <c r="D527" s="268" t="s">
        <v>53</v>
      </c>
      <c r="E527" s="104">
        <v>24.91</v>
      </c>
      <c r="F527" s="107"/>
    </row>
    <row r="528">
      <c r="A528" s="252">
        <v>46150.0</v>
      </c>
      <c r="B528" s="108" t="s">
        <v>3118</v>
      </c>
      <c r="C528" s="268" t="s">
        <v>9</v>
      </c>
      <c r="D528" s="268" t="s">
        <v>53</v>
      </c>
      <c r="E528" s="104">
        <v>24.91</v>
      </c>
      <c r="F528" s="107"/>
    </row>
    <row r="529">
      <c r="A529" s="252">
        <v>46150.0</v>
      </c>
      <c r="B529" s="108" t="s">
        <v>3119</v>
      </c>
      <c r="C529" s="268" t="s">
        <v>9</v>
      </c>
      <c r="D529" s="268" t="s">
        <v>53</v>
      </c>
      <c r="E529" s="104">
        <v>149.91</v>
      </c>
      <c r="F529" s="107"/>
    </row>
    <row r="530">
      <c r="A530" s="252">
        <v>46150.0</v>
      </c>
      <c r="B530" s="108" t="s">
        <v>3120</v>
      </c>
      <c r="C530" s="268" t="s">
        <v>9</v>
      </c>
      <c r="D530" s="268" t="s">
        <v>53</v>
      </c>
      <c r="E530" s="104">
        <v>54.91</v>
      </c>
      <c r="F530" s="104">
        <v>3.0</v>
      </c>
    </row>
    <row r="531">
      <c r="A531" s="252">
        <v>46150.0</v>
      </c>
      <c r="B531" s="108" t="s">
        <v>3121</v>
      </c>
      <c r="C531" s="268" t="s">
        <v>9</v>
      </c>
      <c r="D531" s="268" t="s">
        <v>53</v>
      </c>
      <c r="E531" s="104">
        <v>69.91</v>
      </c>
      <c r="F531" s="107"/>
    </row>
    <row r="532">
      <c r="A532" s="252">
        <v>46150.0</v>
      </c>
      <c r="B532" s="108">
        <v>2.42044505E8</v>
      </c>
      <c r="C532" s="268" t="s">
        <v>9</v>
      </c>
      <c r="D532" s="268" t="s">
        <v>53</v>
      </c>
      <c r="E532" s="104">
        <v>34.91</v>
      </c>
      <c r="F532" s="107"/>
    </row>
    <row r="533">
      <c r="A533" s="252">
        <v>46150.0</v>
      </c>
      <c r="B533" s="108">
        <v>5.304523047E9</v>
      </c>
      <c r="C533" s="268" t="s">
        <v>9</v>
      </c>
      <c r="D533" s="268" t="s">
        <v>53</v>
      </c>
      <c r="E533" s="104">
        <v>49.91</v>
      </c>
      <c r="F533" s="107"/>
    </row>
    <row r="534">
      <c r="A534" s="252">
        <v>46150.0</v>
      </c>
      <c r="B534" s="108">
        <v>5.30452913E9</v>
      </c>
      <c r="C534" s="268" t="s">
        <v>9</v>
      </c>
      <c r="D534" s="268" t="s">
        <v>53</v>
      </c>
      <c r="E534" s="104">
        <v>99.91</v>
      </c>
      <c r="F534" s="107"/>
    </row>
    <row r="535">
      <c r="A535" s="252">
        <v>46150.0</v>
      </c>
      <c r="B535" s="108">
        <v>5.304529655E9</v>
      </c>
      <c r="C535" s="268" t="s">
        <v>9</v>
      </c>
      <c r="D535" s="268" t="s">
        <v>53</v>
      </c>
      <c r="E535" s="104">
        <v>39.91</v>
      </c>
      <c r="F535" s="107"/>
    </row>
    <row r="536">
      <c r="A536" s="252">
        <v>46150.0</v>
      </c>
      <c r="B536" s="108">
        <v>5.304529782E9</v>
      </c>
      <c r="C536" s="268" t="s">
        <v>9</v>
      </c>
      <c r="D536" s="268" t="s">
        <v>53</v>
      </c>
      <c r="E536" s="104">
        <v>64.91</v>
      </c>
      <c r="F536" s="107"/>
    </row>
    <row r="537">
      <c r="A537" s="252">
        <v>46150.0</v>
      </c>
      <c r="B537" s="108" t="s">
        <v>1771</v>
      </c>
      <c r="C537" s="268" t="s">
        <v>9</v>
      </c>
      <c r="D537" s="268" t="s">
        <v>53</v>
      </c>
      <c r="E537" s="104">
        <v>169.91</v>
      </c>
      <c r="F537" s="107"/>
    </row>
    <row r="538">
      <c r="A538" s="252">
        <v>46150.0</v>
      </c>
      <c r="B538" s="108" t="s">
        <v>3122</v>
      </c>
      <c r="C538" s="268" t="s">
        <v>9</v>
      </c>
      <c r="D538" s="268" t="s">
        <v>53</v>
      </c>
      <c r="E538" s="104">
        <v>49.91</v>
      </c>
      <c r="F538" s="107"/>
    </row>
    <row r="539">
      <c r="A539" s="304">
        <v>46150.0</v>
      </c>
      <c r="B539" s="112" t="s">
        <v>3123</v>
      </c>
      <c r="C539" s="295" t="s">
        <v>9</v>
      </c>
      <c r="D539" s="295" t="s">
        <v>53</v>
      </c>
      <c r="E539" s="114">
        <v>99.91</v>
      </c>
      <c r="F539" s="114" t="s">
        <v>2984</v>
      </c>
    </row>
    <row r="540">
      <c r="A540" s="252"/>
      <c r="B540" s="108"/>
      <c r="C540" s="268"/>
      <c r="D540" s="268"/>
      <c r="E540" s="104"/>
      <c r="F540" s="104"/>
    </row>
    <row r="541">
      <c r="A541" s="252"/>
      <c r="B541" s="108"/>
      <c r="C541" s="268"/>
      <c r="D541" s="268"/>
      <c r="E541" s="104"/>
      <c r="F541" s="107"/>
    </row>
    <row r="542">
      <c r="A542" s="252">
        <v>46150.0</v>
      </c>
      <c r="B542" s="108">
        <v>8.09144702E8</v>
      </c>
      <c r="C542" s="268" t="s">
        <v>9</v>
      </c>
      <c r="D542" s="268" t="s">
        <v>53</v>
      </c>
      <c r="E542" s="104">
        <v>119.91</v>
      </c>
      <c r="F542" s="107"/>
    </row>
    <row r="543">
      <c r="A543" s="252">
        <v>46150.0</v>
      </c>
      <c r="B543" s="108">
        <v>5.304526015E9</v>
      </c>
      <c r="C543" s="268" t="s">
        <v>9</v>
      </c>
      <c r="D543" s="268" t="s">
        <v>53</v>
      </c>
      <c r="E543" s="104">
        <v>44.91</v>
      </c>
      <c r="F543" s="107"/>
    </row>
    <row r="544">
      <c r="A544" s="252">
        <v>46150.0</v>
      </c>
      <c r="B544" s="108">
        <v>5.304524756E9</v>
      </c>
      <c r="C544" s="268" t="s">
        <v>9</v>
      </c>
      <c r="D544" s="268" t="s">
        <v>53</v>
      </c>
      <c r="E544" s="104">
        <v>59.91</v>
      </c>
      <c r="F544" s="107"/>
    </row>
    <row r="545">
      <c r="A545" s="263"/>
      <c r="B545" s="263"/>
      <c r="C545" s="102"/>
      <c r="D545" s="102"/>
      <c r="E545" s="102"/>
      <c r="F545" s="306"/>
      <c r="G545" s="307"/>
    </row>
    <row r="546">
      <c r="A546" s="252">
        <v>46154.0</v>
      </c>
      <c r="B546" s="108">
        <v>5.304505059E9</v>
      </c>
      <c r="C546" s="268" t="s">
        <v>9</v>
      </c>
      <c r="D546" s="268" t="s">
        <v>53</v>
      </c>
      <c r="E546" s="104">
        <v>179.91</v>
      </c>
      <c r="F546" s="107"/>
    </row>
    <row r="547">
      <c r="A547" s="252">
        <v>46154.0</v>
      </c>
      <c r="B547" s="108">
        <v>5.304522584E9</v>
      </c>
      <c r="C547" s="268" t="s">
        <v>9</v>
      </c>
      <c r="D547" s="268" t="s">
        <v>53</v>
      </c>
      <c r="E547" s="104">
        <v>239.91</v>
      </c>
      <c r="F547" s="107"/>
    </row>
    <row r="548">
      <c r="A548" s="252">
        <v>46154.0</v>
      </c>
      <c r="B548" s="108" t="s">
        <v>3125</v>
      </c>
      <c r="C548" s="268" t="s">
        <v>9</v>
      </c>
      <c r="D548" s="268" t="s">
        <v>53</v>
      </c>
      <c r="E548" s="104">
        <v>189.91</v>
      </c>
      <c r="F548" s="107"/>
    </row>
    <row r="549">
      <c r="A549" s="252">
        <v>46154.0</v>
      </c>
      <c r="B549" s="108" t="s">
        <v>3126</v>
      </c>
      <c r="C549" s="268" t="s">
        <v>9</v>
      </c>
      <c r="D549" s="268" t="s">
        <v>53</v>
      </c>
      <c r="E549" s="104">
        <v>99.91</v>
      </c>
      <c r="F549" s="107"/>
    </row>
    <row r="550">
      <c r="A550" s="252">
        <v>46154.0</v>
      </c>
      <c r="B550" s="108" t="s">
        <v>3127</v>
      </c>
      <c r="C550" s="268" t="s">
        <v>9</v>
      </c>
      <c r="D550" s="268" t="s">
        <v>53</v>
      </c>
      <c r="E550" s="104">
        <v>339.91</v>
      </c>
      <c r="F550" s="107"/>
    </row>
    <row r="551">
      <c r="A551" s="252">
        <v>46154.0</v>
      </c>
      <c r="B551" s="108" t="s">
        <v>3128</v>
      </c>
      <c r="C551" s="268" t="s">
        <v>9</v>
      </c>
      <c r="D551" s="268" t="s">
        <v>53</v>
      </c>
      <c r="E551" s="104">
        <v>49.91</v>
      </c>
      <c r="F551" s="107"/>
    </row>
    <row r="552">
      <c r="A552" s="252">
        <v>46154.0</v>
      </c>
      <c r="B552" s="104" t="s">
        <v>3129</v>
      </c>
      <c r="C552" s="268" t="s">
        <v>9</v>
      </c>
      <c r="D552" s="268" t="s">
        <v>53</v>
      </c>
      <c r="E552" s="104">
        <v>49.91</v>
      </c>
      <c r="F552" s="107"/>
    </row>
    <row r="553">
      <c r="A553" s="252">
        <v>46154.0</v>
      </c>
      <c r="B553" s="104" t="s">
        <v>602</v>
      </c>
      <c r="C553" s="268" t="s">
        <v>9</v>
      </c>
      <c r="D553" s="268" t="s">
        <v>53</v>
      </c>
      <c r="E553" s="104">
        <v>54.91</v>
      </c>
      <c r="F553" s="107"/>
    </row>
    <row r="554">
      <c r="A554" s="252">
        <v>46154.0</v>
      </c>
      <c r="B554" s="104" t="s">
        <v>3130</v>
      </c>
      <c r="C554" s="268" t="s">
        <v>9</v>
      </c>
      <c r="D554" s="268" t="s">
        <v>53</v>
      </c>
      <c r="E554" s="104">
        <v>199.91</v>
      </c>
      <c r="F554" s="107"/>
    </row>
    <row r="555">
      <c r="A555" s="252">
        <v>46154.0</v>
      </c>
      <c r="B555" s="104" t="s">
        <v>3131</v>
      </c>
      <c r="C555" s="268" t="s">
        <v>9</v>
      </c>
      <c r="D555" s="268" t="s">
        <v>53</v>
      </c>
      <c r="E555" s="104">
        <v>269.91</v>
      </c>
      <c r="F555" s="107"/>
    </row>
    <row r="556">
      <c r="A556" s="252">
        <v>46154.0</v>
      </c>
      <c r="B556" s="104" t="s">
        <v>3132</v>
      </c>
      <c r="C556" s="268" t="s">
        <v>9</v>
      </c>
      <c r="D556" s="268" t="s">
        <v>53</v>
      </c>
      <c r="E556" s="104">
        <v>119.91</v>
      </c>
      <c r="F556" s="107"/>
    </row>
    <row r="557">
      <c r="A557" s="252">
        <v>46154.0</v>
      </c>
      <c r="B557" s="104" t="s">
        <v>3133</v>
      </c>
      <c r="C557" s="268" t="s">
        <v>9</v>
      </c>
      <c r="D557" s="268" t="s">
        <v>53</v>
      </c>
      <c r="E557" s="104">
        <v>69.91</v>
      </c>
      <c r="F557" s="104">
        <v>2.0</v>
      </c>
    </row>
    <row r="558">
      <c r="A558" s="252">
        <v>46154.0</v>
      </c>
      <c r="B558" s="104" t="s">
        <v>3134</v>
      </c>
      <c r="C558" s="268" t="s">
        <v>9</v>
      </c>
      <c r="D558" s="268" t="s">
        <v>53</v>
      </c>
      <c r="E558" s="104">
        <v>74.91</v>
      </c>
      <c r="F558" s="107"/>
    </row>
    <row r="559">
      <c r="A559" s="252">
        <v>46154.0</v>
      </c>
      <c r="B559" s="104" t="s">
        <v>259</v>
      </c>
      <c r="C559" s="268" t="s">
        <v>9</v>
      </c>
      <c r="D559" s="268" t="s">
        <v>53</v>
      </c>
      <c r="E559" s="104">
        <v>20.91</v>
      </c>
      <c r="F559" s="107"/>
    </row>
    <row r="560">
      <c r="A560" s="252">
        <v>46154.0</v>
      </c>
      <c r="B560" s="104" t="s">
        <v>628</v>
      </c>
      <c r="C560" s="268" t="s">
        <v>9</v>
      </c>
      <c r="D560" s="268" t="s">
        <v>53</v>
      </c>
      <c r="E560" s="104">
        <v>20.91</v>
      </c>
      <c r="F560" s="107"/>
    </row>
    <row r="561">
      <c r="A561" s="252">
        <v>46154.0</v>
      </c>
      <c r="B561" s="104" t="s">
        <v>210</v>
      </c>
      <c r="C561" s="268" t="s">
        <v>9</v>
      </c>
      <c r="D561" s="268" t="s">
        <v>53</v>
      </c>
      <c r="E561" s="104">
        <v>24.91</v>
      </c>
      <c r="F561" s="107"/>
    </row>
    <row r="562">
      <c r="A562" s="252">
        <v>46154.0</v>
      </c>
      <c r="B562" s="104" t="s">
        <v>3135</v>
      </c>
      <c r="C562" s="268" t="s">
        <v>9</v>
      </c>
      <c r="D562" s="268" t="s">
        <v>53</v>
      </c>
      <c r="E562" s="104">
        <v>74.91</v>
      </c>
      <c r="F562" s="107"/>
    </row>
    <row r="563">
      <c r="A563" s="252">
        <v>46154.0</v>
      </c>
      <c r="B563" s="104" t="s">
        <v>694</v>
      </c>
      <c r="C563" s="268" t="s">
        <v>9</v>
      </c>
      <c r="D563" s="268" t="s">
        <v>53</v>
      </c>
      <c r="E563" s="104">
        <v>24.91</v>
      </c>
      <c r="F563" s="107"/>
    </row>
    <row r="564">
      <c r="A564" s="252">
        <v>46154.0</v>
      </c>
      <c r="B564" s="104" t="s">
        <v>913</v>
      </c>
      <c r="C564" s="268" t="s">
        <v>9</v>
      </c>
      <c r="D564" s="268" t="s">
        <v>53</v>
      </c>
      <c r="E564" s="104">
        <v>69.91</v>
      </c>
      <c r="F564" s="107"/>
    </row>
    <row r="565">
      <c r="A565" s="252">
        <v>46154.0</v>
      </c>
      <c r="B565" s="104" t="s">
        <v>3136</v>
      </c>
      <c r="C565" s="268" t="s">
        <v>9</v>
      </c>
      <c r="D565" s="268" t="s">
        <v>53</v>
      </c>
      <c r="E565" s="104">
        <v>99.91</v>
      </c>
      <c r="F565" s="107"/>
    </row>
    <row r="566">
      <c r="A566" s="252">
        <v>46154.0</v>
      </c>
      <c r="B566" s="104" t="s">
        <v>3137</v>
      </c>
      <c r="C566" s="268" t="s">
        <v>9</v>
      </c>
      <c r="D566" s="268" t="s">
        <v>53</v>
      </c>
      <c r="E566" s="104">
        <v>29.91</v>
      </c>
      <c r="F566" s="107"/>
    </row>
    <row r="567">
      <c r="A567" s="252">
        <v>46154.0</v>
      </c>
      <c r="B567" s="104" t="s">
        <v>2383</v>
      </c>
      <c r="C567" s="268" t="s">
        <v>9</v>
      </c>
      <c r="D567" s="268" t="s">
        <v>53</v>
      </c>
      <c r="E567" s="104">
        <v>29.91</v>
      </c>
      <c r="F567" s="107"/>
    </row>
    <row r="568">
      <c r="A568" s="252">
        <v>46154.0</v>
      </c>
      <c r="B568" s="104" t="s">
        <v>3139</v>
      </c>
      <c r="C568" s="268" t="s">
        <v>9</v>
      </c>
      <c r="D568" s="268" t="s">
        <v>53</v>
      </c>
      <c r="E568" s="104">
        <v>59.91</v>
      </c>
      <c r="F568" s="107"/>
    </row>
    <row r="569">
      <c r="A569" s="252">
        <v>46154.0</v>
      </c>
      <c r="B569" s="104" t="s">
        <v>3140</v>
      </c>
      <c r="C569" s="268" t="s">
        <v>9</v>
      </c>
      <c r="D569" s="268" t="s">
        <v>53</v>
      </c>
      <c r="E569" s="104">
        <v>29.91</v>
      </c>
      <c r="F569" s="107"/>
    </row>
    <row r="570">
      <c r="A570" s="252">
        <v>46154.0</v>
      </c>
      <c r="B570" s="104" t="s">
        <v>3141</v>
      </c>
      <c r="C570" s="268" t="s">
        <v>9</v>
      </c>
      <c r="D570" s="268" t="s">
        <v>53</v>
      </c>
      <c r="E570" s="104">
        <v>129.91</v>
      </c>
      <c r="F570" s="107"/>
    </row>
    <row r="571">
      <c r="A571" s="252">
        <v>46154.0</v>
      </c>
      <c r="B571" s="104" t="s">
        <v>3142</v>
      </c>
      <c r="C571" s="268" t="s">
        <v>9</v>
      </c>
      <c r="D571" s="268" t="s">
        <v>53</v>
      </c>
      <c r="E571" s="104">
        <v>59.91</v>
      </c>
      <c r="F571" s="107"/>
    </row>
    <row r="572">
      <c r="A572" s="252">
        <v>46154.0</v>
      </c>
      <c r="B572" s="104" t="s">
        <v>3143</v>
      </c>
      <c r="C572" s="268" t="s">
        <v>9</v>
      </c>
      <c r="D572" s="268" t="s">
        <v>53</v>
      </c>
      <c r="E572" s="104">
        <v>49.91</v>
      </c>
      <c r="F572" s="107"/>
    </row>
    <row r="573">
      <c r="A573" s="252">
        <v>46154.0</v>
      </c>
      <c r="B573" s="104" t="s">
        <v>566</v>
      </c>
      <c r="C573" s="268" t="s">
        <v>9</v>
      </c>
      <c r="D573" s="268" t="s">
        <v>53</v>
      </c>
      <c r="E573" s="104">
        <v>20.91</v>
      </c>
      <c r="F573" s="107"/>
    </row>
    <row r="574">
      <c r="A574" s="252">
        <v>46154.0</v>
      </c>
      <c r="B574" s="104" t="s">
        <v>1240</v>
      </c>
      <c r="C574" s="268" t="s">
        <v>9</v>
      </c>
      <c r="D574" s="268" t="s">
        <v>53</v>
      </c>
      <c r="E574" s="104">
        <v>20.91</v>
      </c>
      <c r="F574" s="107"/>
    </row>
    <row r="575">
      <c r="A575" s="252">
        <v>46154.0</v>
      </c>
      <c r="B575" s="104" t="s">
        <v>3144</v>
      </c>
      <c r="C575" s="268" t="s">
        <v>9</v>
      </c>
      <c r="D575" s="268" t="s">
        <v>53</v>
      </c>
      <c r="E575" s="104">
        <v>20.91</v>
      </c>
      <c r="F575" s="107"/>
    </row>
    <row r="576">
      <c r="A576" s="252">
        <v>46154.0</v>
      </c>
      <c r="B576" s="104" t="s">
        <v>582</v>
      </c>
      <c r="C576" s="268" t="s">
        <v>9</v>
      </c>
      <c r="D576" s="268" t="s">
        <v>53</v>
      </c>
      <c r="E576" s="104">
        <v>20.91</v>
      </c>
      <c r="F576" s="107"/>
    </row>
    <row r="577">
      <c r="A577" s="252">
        <v>46154.0</v>
      </c>
      <c r="B577" s="104" t="s">
        <v>3145</v>
      </c>
      <c r="C577" s="268" t="s">
        <v>9</v>
      </c>
      <c r="D577" s="268" t="s">
        <v>53</v>
      </c>
      <c r="E577" s="104">
        <v>24.91</v>
      </c>
      <c r="F577" s="107"/>
    </row>
    <row r="578">
      <c r="A578" s="252">
        <v>46154.0</v>
      </c>
      <c r="B578" s="104" t="s">
        <v>3146</v>
      </c>
      <c r="C578" s="268" t="s">
        <v>9</v>
      </c>
      <c r="D578" s="268" t="s">
        <v>53</v>
      </c>
      <c r="E578" s="104">
        <v>20.91</v>
      </c>
      <c r="F578" s="107"/>
    </row>
    <row r="579">
      <c r="A579" s="252">
        <v>46154.0</v>
      </c>
      <c r="B579" s="104" t="s">
        <v>3147</v>
      </c>
      <c r="C579" s="268" t="s">
        <v>9</v>
      </c>
      <c r="D579" s="268" t="s">
        <v>53</v>
      </c>
      <c r="E579" s="298" t="s">
        <v>3148</v>
      </c>
      <c r="F579" s="107"/>
    </row>
    <row r="580">
      <c r="A580" s="252">
        <v>46154.0</v>
      </c>
      <c r="B580" s="104" t="s">
        <v>3149</v>
      </c>
      <c r="C580" s="268" t="s">
        <v>9</v>
      </c>
      <c r="D580" s="268" t="s">
        <v>53</v>
      </c>
      <c r="E580" s="104">
        <v>20.91</v>
      </c>
      <c r="F580" s="107"/>
    </row>
    <row r="581">
      <c r="A581" s="252">
        <v>46154.0</v>
      </c>
      <c r="B581" s="104" t="s">
        <v>3150</v>
      </c>
      <c r="C581" s="268" t="s">
        <v>9</v>
      </c>
      <c r="D581" s="268" t="s">
        <v>53</v>
      </c>
      <c r="E581" s="104">
        <v>20.91</v>
      </c>
      <c r="F581" s="107"/>
    </row>
    <row r="582">
      <c r="A582" s="252">
        <v>46154.0</v>
      </c>
      <c r="B582" s="104" t="s">
        <v>3151</v>
      </c>
      <c r="C582" s="268" t="s">
        <v>9</v>
      </c>
      <c r="D582" s="268" t="s">
        <v>53</v>
      </c>
      <c r="E582" s="104">
        <v>44.91</v>
      </c>
      <c r="F582" s="107"/>
    </row>
    <row r="583">
      <c r="A583" s="252">
        <v>46154.0</v>
      </c>
      <c r="B583" s="104" t="s">
        <v>304</v>
      </c>
      <c r="C583" s="268" t="s">
        <v>9</v>
      </c>
      <c r="D583" s="268" t="s">
        <v>53</v>
      </c>
      <c r="E583" s="104">
        <v>20.91</v>
      </c>
      <c r="F583" s="107"/>
    </row>
    <row r="584">
      <c r="A584" s="252">
        <v>46154.0</v>
      </c>
      <c r="B584" s="104" t="s">
        <v>1395</v>
      </c>
      <c r="C584" s="268" t="s">
        <v>9</v>
      </c>
      <c r="D584" s="268" t="s">
        <v>53</v>
      </c>
      <c r="E584" s="104">
        <v>44.91</v>
      </c>
      <c r="F584" s="107"/>
    </row>
    <row r="585">
      <c r="A585" s="252">
        <v>46154.0</v>
      </c>
      <c r="B585" s="104" t="s">
        <v>665</v>
      </c>
      <c r="C585" s="268" t="s">
        <v>9</v>
      </c>
      <c r="D585" s="268" t="s">
        <v>53</v>
      </c>
      <c r="E585" s="104">
        <v>99.91</v>
      </c>
      <c r="F585" s="107"/>
    </row>
    <row r="586">
      <c r="A586" s="263"/>
      <c r="B586" s="263"/>
      <c r="C586" s="102"/>
      <c r="D586" s="102"/>
      <c r="E586" s="102"/>
      <c r="F586" s="306"/>
    </row>
    <row r="587">
      <c r="A587" s="252">
        <v>46155.0</v>
      </c>
      <c r="B587" s="104" t="s">
        <v>3153</v>
      </c>
      <c r="C587" s="268" t="s">
        <v>9</v>
      </c>
      <c r="D587" s="268" t="s">
        <v>53</v>
      </c>
      <c r="E587" s="104">
        <v>24.91</v>
      </c>
      <c r="F587" s="107"/>
    </row>
    <row r="588">
      <c r="A588" s="252">
        <v>46155.0</v>
      </c>
      <c r="B588" s="104" t="s">
        <v>1586</v>
      </c>
      <c r="C588" s="268" t="s">
        <v>9</v>
      </c>
      <c r="D588" s="268" t="s">
        <v>53</v>
      </c>
      <c r="E588" s="104">
        <v>24.91</v>
      </c>
      <c r="F588" s="104">
        <v>2.0</v>
      </c>
    </row>
    <row r="589">
      <c r="A589" s="252">
        <v>46155.0</v>
      </c>
      <c r="B589" s="104" t="s">
        <v>166</v>
      </c>
      <c r="C589" s="268" t="s">
        <v>9</v>
      </c>
      <c r="D589" s="268" t="s">
        <v>53</v>
      </c>
      <c r="E589" s="104">
        <v>24.91</v>
      </c>
      <c r="F589" s="107"/>
    </row>
    <row r="590">
      <c r="A590" s="252">
        <v>46155.0</v>
      </c>
      <c r="B590" s="104" t="s">
        <v>702</v>
      </c>
      <c r="C590" s="268" t="s">
        <v>9</v>
      </c>
      <c r="D590" s="268" t="s">
        <v>53</v>
      </c>
      <c r="E590" s="104">
        <v>20.91</v>
      </c>
      <c r="F590" s="104">
        <v>2.0</v>
      </c>
    </row>
    <row r="591">
      <c r="A591" s="252">
        <v>46155.0</v>
      </c>
      <c r="B591" s="104" t="s">
        <v>857</v>
      </c>
      <c r="C591" s="268" t="s">
        <v>9</v>
      </c>
      <c r="D591" s="268" t="s">
        <v>53</v>
      </c>
      <c r="E591" s="104">
        <v>29.91</v>
      </c>
      <c r="F591" s="107"/>
    </row>
    <row r="592">
      <c r="A592" s="252">
        <v>46155.0</v>
      </c>
      <c r="B592" s="104" t="s">
        <v>3154</v>
      </c>
      <c r="C592" s="268" t="s">
        <v>9</v>
      </c>
      <c r="D592" s="268" t="s">
        <v>53</v>
      </c>
      <c r="E592" s="104">
        <v>20.91</v>
      </c>
      <c r="F592" s="107"/>
    </row>
    <row r="593">
      <c r="A593" s="252">
        <v>46155.0</v>
      </c>
      <c r="B593" s="104" t="s">
        <v>3155</v>
      </c>
      <c r="C593" s="268" t="s">
        <v>9</v>
      </c>
      <c r="D593" s="268" t="s">
        <v>53</v>
      </c>
      <c r="E593" s="104">
        <v>29.91</v>
      </c>
      <c r="F593" s="107"/>
    </row>
    <row r="594">
      <c r="A594" s="252">
        <v>46155.0</v>
      </c>
      <c r="B594" s="104" t="s">
        <v>2417</v>
      </c>
      <c r="C594" s="268" t="s">
        <v>9</v>
      </c>
      <c r="D594" s="268" t="s">
        <v>53</v>
      </c>
      <c r="E594" s="104">
        <v>39.91</v>
      </c>
      <c r="F594" s="107"/>
    </row>
    <row r="595">
      <c r="A595" s="252">
        <v>46155.0</v>
      </c>
      <c r="B595" s="104" t="s">
        <v>3156</v>
      </c>
      <c r="C595" s="268" t="s">
        <v>9</v>
      </c>
      <c r="D595" s="268" t="s">
        <v>53</v>
      </c>
      <c r="E595" s="104">
        <v>29.91</v>
      </c>
      <c r="F595" s="107"/>
    </row>
    <row r="596">
      <c r="A596" s="252">
        <v>46155.0</v>
      </c>
      <c r="B596" s="104" t="s">
        <v>3157</v>
      </c>
      <c r="C596" s="268" t="s">
        <v>9</v>
      </c>
      <c r="D596" s="268" t="s">
        <v>53</v>
      </c>
      <c r="E596" s="104">
        <v>20.91</v>
      </c>
      <c r="F596" s="107"/>
    </row>
    <row r="597">
      <c r="A597" s="252">
        <v>46155.0</v>
      </c>
      <c r="B597" s="104" t="s">
        <v>165</v>
      </c>
      <c r="C597" s="268" t="s">
        <v>9</v>
      </c>
      <c r="D597" s="268" t="s">
        <v>53</v>
      </c>
      <c r="E597" s="104">
        <v>20.91</v>
      </c>
      <c r="F597" s="104">
        <v>2.0</v>
      </c>
    </row>
    <row r="598">
      <c r="A598" s="252">
        <v>46155.0</v>
      </c>
      <c r="B598" s="104" t="s">
        <v>182</v>
      </c>
      <c r="C598" s="268" t="s">
        <v>9</v>
      </c>
      <c r="D598" s="268" t="s">
        <v>53</v>
      </c>
      <c r="E598" s="104">
        <v>24.91</v>
      </c>
      <c r="F598" s="107"/>
    </row>
    <row r="599">
      <c r="A599" s="252">
        <v>46155.0</v>
      </c>
      <c r="B599" s="104" t="s">
        <v>3158</v>
      </c>
      <c r="C599" s="268" t="s">
        <v>9</v>
      </c>
      <c r="D599" s="268" t="s">
        <v>53</v>
      </c>
      <c r="E599" s="104">
        <v>20.91</v>
      </c>
      <c r="F599" s="107"/>
    </row>
    <row r="600">
      <c r="A600" s="252">
        <v>46155.0</v>
      </c>
      <c r="B600" s="104" t="s">
        <v>137</v>
      </c>
      <c r="C600" s="268" t="s">
        <v>9</v>
      </c>
      <c r="D600" s="268" t="s">
        <v>53</v>
      </c>
      <c r="E600" s="104">
        <v>24.91</v>
      </c>
      <c r="F600" s="107"/>
    </row>
    <row r="601">
      <c r="A601" s="252">
        <v>46155.0</v>
      </c>
      <c r="B601" s="104" t="s">
        <v>158</v>
      </c>
      <c r="C601" s="268" t="s">
        <v>9</v>
      </c>
      <c r="D601" s="268" t="s">
        <v>53</v>
      </c>
      <c r="E601" s="104">
        <v>39.91</v>
      </c>
      <c r="F601" s="107"/>
    </row>
    <row r="602">
      <c r="A602" s="252">
        <v>46155.0</v>
      </c>
      <c r="B602" s="104" t="s">
        <v>3160</v>
      </c>
      <c r="C602" s="268" t="s">
        <v>9</v>
      </c>
      <c r="D602" s="268" t="s">
        <v>53</v>
      </c>
      <c r="E602" s="104">
        <v>39.91</v>
      </c>
      <c r="F602" s="107"/>
    </row>
    <row r="603">
      <c r="A603" s="252">
        <v>46155.0</v>
      </c>
      <c r="B603" s="104" t="s">
        <v>3161</v>
      </c>
      <c r="C603" s="268" t="s">
        <v>9</v>
      </c>
      <c r="D603" s="268" t="s">
        <v>53</v>
      </c>
      <c r="E603" s="104">
        <v>34.91</v>
      </c>
      <c r="F603" s="107"/>
    </row>
    <row r="604">
      <c r="A604" s="252">
        <v>46155.0</v>
      </c>
      <c r="B604" s="104" t="s">
        <v>3162</v>
      </c>
      <c r="C604" s="268" t="s">
        <v>9</v>
      </c>
      <c r="D604" s="268" t="s">
        <v>53</v>
      </c>
      <c r="E604" s="104">
        <v>29.91</v>
      </c>
      <c r="F604" s="107"/>
    </row>
    <row r="605">
      <c r="A605" s="252">
        <v>46155.0</v>
      </c>
      <c r="B605" s="104" t="s">
        <v>1245</v>
      </c>
      <c r="C605" s="268" t="s">
        <v>9</v>
      </c>
      <c r="D605" s="268" t="s">
        <v>53</v>
      </c>
      <c r="E605" s="104">
        <v>24.91</v>
      </c>
      <c r="F605" s="107"/>
    </row>
    <row r="606">
      <c r="A606" s="252">
        <v>46155.0</v>
      </c>
      <c r="B606" s="104" t="s">
        <v>3163</v>
      </c>
      <c r="C606" s="268" t="s">
        <v>9</v>
      </c>
      <c r="D606" s="268" t="s">
        <v>53</v>
      </c>
      <c r="E606" s="104">
        <v>99.91</v>
      </c>
      <c r="F606" s="107"/>
    </row>
    <row r="607">
      <c r="A607" s="252">
        <v>46155.0</v>
      </c>
      <c r="B607" s="104" t="s">
        <v>2063</v>
      </c>
      <c r="C607" s="268" t="s">
        <v>9</v>
      </c>
      <c r="D607" s="268" t="s">
        <v>53</v>
      </c>
      <c r="E607" s="104">
        <v>29.91</v>
      </c>
      <c r="F607" s="107"/>
    </row>
    <row r="608">
      <c r="A608" s="252">
        <v>46155.0</v>
      </c>
      <c r="B608" s="104" t="s">
        <v>3164</v>
      </c>
      <c r="C608" s="268" t="s">
        <v>9</v>
      </c>
      <c r="D608" s="268" t="s">
        <v>53</v>
      </c>
      <c r="E608" s="104">
        <v>29.91</v>
      </c>
      <c r="F608" s="107"/>
    </row>
    <row r="609">
      <c r="A609" s="252">
        <v>46155.0</v>
      </c>
      <c r="B609" s="110" t="s">
        <v>3165</v>
      </c>
      <c r="C609" s="268" t="s">
        <v>9</v>
      </c>
      <c r="D609" s="268" t="s">
        <v>53</v>
      </c>
      <c r="E609" s="104">
        <v>129.91</v>
      </c>
      <c r="F609" s="107"/>
    </row>
    <row r="610">
      <c r="A610" s="252">
        <v>46155.0</v>
      </c>
      <c r="B610" s="110">
        <v>5.304531112E9</v>
      </c>
      <c r="C610" s="268" t="s">
        <v>9</v>
      </c>
      <c r="D610" s="268" t="s">
        <v>53</v>
      </c>
      <c r="E610" s="104">
        <v>64.91</v>
      </c>
      <c r="F610" s="107"/>
    </row>
    <row r="611">
      <c r="A611" s="252">
        <v>46155.0</v>
      </c>
      <c r="B611" s="110" t="s">
        <v>3166</v>
      </c>
      <c r="C611" s="268" t="s">
        <v>9</v>
      </c>
      <c r="D611" s="268" t="s">
        <v>53</v>
      </c>
      <c r="E611" s="104">
        <v>29.91</v>
      </c>
      <c r="F611" s="107"/>
    </row>
    <row r="612">
      <c r="A612" s="252">
        <v>46155.0</v>
      </c>
      <c r="B612" s="110" t="s">
        <v>3167</v>
      </c>
      <c r="C612" s="268" t="s">
        <v>9</v>
      </c>
      <c r="D612" s="268" t="s">
        <v>53</v>
      </c>
      <c r="E612" s="104">
        <v>139.91</v>
      </c>
      <c r="F612" s="107"/>
    </row>
    <row r="613">
      <c r="A613" s="252">
        <v>46155.0</v>
      </c>
      <c r="B613" s="110" t="s">
        <v>1034</v>
      </c>
      <c r="C613" s="268" t="s">
        <v>9</v>
      </c>
      <c r="D613" s="268" t="s">
        <v>53</v>
      </c>
      <c r="E613" s="104">
        <v>24.91</v>
      </c>
      <c r="F613" s="107"/>
    </row>
    <row r="614">
      <c r="A614" s="252">
        <v>46155.0</v>
      </c>
      <c r="B614" s="110" t="s">
        <v>3168</v>
      </c>
      <c r="C614" s="268" t="s">
        <v>9</v>
      </c>
      <c r="D614" s="268" t="s">
        <v>53</v>
      </c>
      <c r="E614" s="104">
        <v>99.91</v>
      </c>
      <c r="F614" s="107"/>
    </row>
    <row r="615">
      <c r="A615" s="252">
        <v>46155.0</v>
      </c>
      <c r="B615" s="110" t="s">
        <v>3169</v>
      </c>
      <c r="C615" s="268" t="s">
        <v>9</v>
      </c>
      <c r="D615" s="268" t="s">
        <v>53</v>
      </c>
      <c r="E615" s="104">
        <v>359.91</v>
      </c>
      <c r="F615" s="107"/>
    </row>
    <row r="616">
      <c r="A616" s="252">
        <v>46155.0</v>
      </c>
      <c r="B616" s="110">
        <v>8.07117001E8</v>
      </c>
      <c r="C616" s="268" t="s">
        <v>9</v>
      </c>
      <c r="D616" s="268" t="s">
        <v>53</v>
      </c>
      <c r="E616" s="104">
        <v>20.91</v>
      </c>
      <c r="F616" s="107"/>
    </row>
    <row r="617">
      <c r="A617" s="263"/>
      <c r="B617" s="263"/>
      <c r="C617" s="102"/>
      <c r="D617" s="102"/>
      <c r="E617" s="102"/>
      <c r="F617" s="102"/>
    </row>
    <row r="618">
      <c r="A618" s="252">
        <v>46156.0</v>
      </c>
      <c r="B618" s="108">
        <v>1.347193E8</v>
      </c>
      <c r="C618" s="268" t="s">
        <v>9</v>
      </c>
      <c r="D618" s="268" t="s">
        <v>53</v>
      </c>
      <c r="E618" s="104">
        <v>20.91</v>
      </c>
      <c r="F618" s="107"/>
    </row>
    <row r="619">
      <c r="A619" s="252">
        <v>46156.0</v>
      </c>
      <c r="B619" s="108">
        <v>1.2971100018352E13</v>
      </c>
      <c r="C619" s="268" t="s">
        <v>9</v>
      </c>
      <c r="D619" s="268" t="s">
        <v>53</v>
      </c>
      <c r="E619" s="104">
        <v>49.91</v>
      </c>
      <c r="F619" s="107"/>
    </row>
    <row r="620">
      <c r="A620" s="252">
        <v>46156.0</v>
      </c>
      <c r="B620" s="108" t="s">
        <v>3171</v>
      </c>
      <c r="C620" s="268" t="s">
        <v>9</v>
      </c>
      <c r="D620" s="268" t="s">
        <v>53</v>
      </c>
      <c r="E620" s="104">
        <v>20.91</v>
      </c>
      <c r="F620" s="107"/>
    </row>
    <row r="621">
      <c r="A621" s="252">
        <v>46156.0</v>
      </c>
      <c r="B621" s="108">
        <v>5.304536547E9</v>
      </c>
      <c r="C621" s="268" t="s">
        <v>9</v>
      </c>
      <c r="D621" s="268" t="s">
        <v>53</v>
      </c>
      <c r="E621" s="104">
        <v>64.91</v>
      </c>
      <c r="F621" s="107"/>
    </row>
    <row r="622">
      <c r="A622" s="252">
        <v>46156.0</v>
      </c>
      <c r="B622" s="108" t="s">
        <v>3172</v>
      </c>
      <c r="C622" s="268" t="s">
        <v>9</v>
      </c>
      <c r="D622" s="268" t="s">
        <v>53</v>
      </c>
      <c r="E622" s="104">
        <v>20.91</v>
      </c>
      <c r="F622" s="107"/>
    </row>
    <row r="623">
      <c r="A623" s="252">
        <v>46156.0</v>
      </c>
      <c r="B623" s="108">
        <v>8.07047901E8</v>
      </c>
      <c r="C623" s="268" t="s">
        <v>9</v>
      </c>
      <c r="D623" s="268" t="s">
        <v>53</v>
      </c>
      <c r="E623" s="104">
        <v>20.91</v>
      </c>
      <c r="F623" s="107"/>
    </row>
    <row r="624">
      <c r="A624" s="252">
        <v>46156.0</v>
      </c>
      <c r="B624" s="108" t="s">
        <v>3173</v>
      </c>
      <c r="C624" s="268" t="s">
        <v>9</v>
      </c>
      <c r="D624" s="268" t="s">
        <v>53</v>
      </c>
      <c r="E624" s="104">
        <v>34.91</v>
      </c>
      <c r="F624" s="107"/>
    </row>
    <row r="625">
      <c r="A625" s="252">
        <v>46156.0</v>
      </c>
      <c r="B625" s="108" t="s">
        <v>3174</v>
      </c>
      <c r="C625" s="268" t="s">
        <v>9</v>
      </c>
      <c r="D625" s="268" t="s">
        <v>53</v>
      </c>
      <c r="E625" s="104">
        <v>79.91</v>
      </c>
      <c r="F625" s="104">
        <v>2.0</v>
      </c>
    </row>
    <row r="626">
      <c r="A626" s="252">
        <v>46156.0</v>
      </c>
      <c r="B626" s="108" t="s">
        <v>3175</v>
      </c>
      <c r="C626" s="268" t="s">
        <v>9</v>
      </c>
      <c r="D626" s="268" t="s">
        <v>53</v>
      </c>
      <c r="E626" s="104">
        <v>69.91</v>
      </c>
      <c r="F626" s="107"/>
    </row>
    <row r="627">
      <c r="A627" s="252">
        <v>46156.0</v>
      </c>
      <c r="B627" s="108" t="s">
        <v>3176</v>
      </c>
      <c r="C627" s="268" t="s">
        <v>9</v>
      </c>
      <c r="D627" s="268" t="s">
        <v>53</v>
      </c>
      <c r="E627" s="104">
        <v>24.91</v>
      </c>
      <c r="F627" s="104">
        <v>4.0</v>
      </c>
    </row>
    <row r="628">
      <c r="A628" s="252">
        <v>46156.0</v>
      </c>
      <c r="B628" s="108" t="s">
        <v>3177</v>
      </c>
      <c r="C628" s="268" t="s">
        <v>9</v>
      </c>
      <c r="D628" s="268" t="s">
        <v>53</v>
      </c>
      <c r="E628" s="104">
        <v>20.91</v>
      </c>
      <c r="F628" s="107"/>
    </row>
    <row r="629">
      <c r="A629" s="252">
        <v>46156.0</v>
      </c>
      <c r="B629" s="108">
        <v>2.18976438E8</v>
      </c>
      <c r="C629" s="268" t="s">
        <v>9</v>
      </c>
      <c r="D629" s="268" t="s">
        <v>53</v>
      </c>
      <c r="E629" s="104">
        <v>20.91</v>
      </c>
      <c r="F629" s="104">
        <v>3.0</v>
      </c>
    </row>
    <row r="630">
      <c r="A630" s="252">
        <v>46156.0</v>
      </c>
      <c r="B630" s="108">
        <v>2.18976439E8</v>
      </c>
      <c r="C630" s="268" t="s">
        <v>9</v>
      </c>
      <c r="D630" s="268" t="s">
        <v>53</v>
      </c>
      <c r="E630" s="104">
        <v>20.91</v>
      </c>
      <c r="F630" s="104">
        <v>5.0</v>
      </c>
    </row>
    <row r="631">
      <c r="A631" s="252">
        <v>46156.0</v>
      </c>
      <c r="B631" s="108">
        <v>2.18976441E8</v>
      </c>
      <c r="C631" s="268" t="s">
        <v>9</v>
      </c>
      <c r="D631" s="268" t="s">
        <v>53</v>
      </c>
      <c r="E631" s="104">
        <v>20.91</v>
      </c>
      <c r="F631" s="107"/>
    </row>
    <row r="632">
      <c r="A632" s="252">
        <v>46156.0</v>
      </c>
      <c r="B632" s="108">
        <v>2.18976447E8</v>
      </c>
      <c r="C632" s="268" t="s">
        <v>9</v>
      </c>
      <c r="D632" s="268" t="s">
        <v>53</v>
      </c>
      <c r="E632" s="104">
        <v>20.91</v>
      </c>
      <c r="F632" s="104">
        <v>3.0</v>
      </c>
    </row>
    <row r="633">
      <c r="A633" s="252">
        <v>46156.0</v>
      </c>
      <c r="B633" s="108">
        <v>2.41830904E8</v>
      </c>
      <c r="C633" s="268" t="s">
        <v>9</v>
      </c>
      <c r="D633" s="268" t="s">
        <v>53</v>
      </c>
      <c r="E633" s="104">
        <v>20.91</v>
      </c>
      <c r="F633" s="107"/>
    </row>
    <row r="634">
      <c r="A634" s="252">
        <v>46156.0</v>
      </c>
      <c r="B634" s="108">
        <v>2.41830905E8</v>
      </c>
      <c r="C634" s="268" t="s">
        <v>9</v>
      </c>
      <c r="D634" s="268" t="s">
        <v>53</v>
      </c>
      <c r="E634" s="104">
        <v>20.91</v>
      </c>
      <c r="F634" s="104">
        <v>2.0</v>
      </c>
    </row>
    <row r="635">
      <c r="A635" s="252">
        <v>46156.0</v>
      </c>
      <c r="B635" s="108">
        <v>2.41850624E8</v>
      </c>
      <c r="C635" s="268" t="s">
        <v>9</v>
      </c>
      <c r="D635" s="268" t="s">
        <v>53</v>
      </c>
      <c r="E635" s="104">
        <v>20.91</v>
      </c>
      <c r="F635" s="107"/>
    </row>
    <row r="636">
      <c r="A636" s="252">
        <v>46156.0</v>
      </c>
      <c r="B636" s="108">
        <v>2.42220119E8</v>
      </c>
      <c r="C636" s="268" t="s">
        <v>9</v>
      </c>
      <c r="D636" s="268" t="s">
        <v>53</v>
      </c>
      <c r="E636" s="104">
        <v>20.91</v>
      </c>
      <c r="F636" s="104">
        <v>3.0</v>
      </c>
    </row>
    <row r="637">
      <c r="A637" s="252">
        <v>46156.0</v>
      </c>
      <c r="B637" s="108">
        <v>2.42220126E8</v>
      </c>
      <c r="C637" s="268" t="s">
        <v>9</v>
      </c>
      <c r="D637" s="268" t="s">
        <v>53</v>
      </c>
      <c r="E637" s="104">
        <v>24.91</v>
      </c>
      <c r="F637" s="107"/>
    </row>
    <row r="638">
      <c r="A638" s="252">
        <v>46156.0</v>
      </c>
      <c r="B638" s="108">
        <v>2.42220127E8</v>
      </c>
      <c r="C638" s="268" t="s">
        <v>9</v>
      </c>
      <c r="D638" s="268" t="s">
        <v>53</v>
      </c>
      <c r="E638" s="104">
        <v>20.91</v>
      </c>
      <c r="F638" s="107"/>
    </row>
    <row r="639">
      <c r="A639" s="252">
        <v>46156.0</v>
      </c>
      <c r="B639" s="108">
        <v>2.42220128E8</v>
      </c>
      <c r="C639" s="268" t="s">
        <v>9</v>
      </c>
      <c r="D639" s="268" t="s">
        <v>53</v>
      </c>
      <c r="E639" s="104">
        <v>20.91</v>
      </c>
      <c r="F639" s="104">
        <v>2.0</v>
      </c>
    </row>
    <row r="640">
      <c r="A640" s="252">
        <v>46156.0</v>
      </c>
      <c r="B640" s="108">
        <v>2.42220131E8</v>
      </c>
      <c r="C640" s="268" t="s">
        <v>9</v>
      </c>
      <c r="D640" s="268" t="s">
        <v>53</v>
      </c>
      <c r="E640" s="104">
        <v>20.91</v>
      </c>
      <c r="F640" s="107"/>
    </row>
    <row r="641">
      <c r="A641" s="252">
        <v>46156.0</v>
      </c>
      <c r="B641" s="108">
        <v>2.42220132E8</v>
      </c>
      <c r="C641" s="268" t="s">
        <v>9</v>
      </c>
      <c r="D641" s="268" t="s">
        <v>53</v>
      </c>
      <c r="E641" s="104">
        <v>20.91</v>
      </c>
      <c r="F641" s="104">
        <v>2.0</v>
      </c>
    </row>
    <row r="642">
      <c r="A642" s="252">
        <v>46156.0</v>
      </c>
      <c r="B642" s="108">
        <v>2.42220134E8</v>
      </c>
      <c r="C642" s="268" t="s">
        <v>9</v>
      </c>
      <c r="D642" s="268" t="s">
        <v>53</v>
      </c>
      <c r="E642" s="104">
        <v>24.91</v>
      </c>
      <c r="F642" s="107"/>
    </row>
    <row r="643">
      <c r="A643" s="252">
        <v>46156.0</v>
      </c>
      <c r="B643" s="108">
        <v>2.42220143E8</v>
      </c>
      <c r="C643" s="268" t="s">
        <v>9</v>
      </c>
      <c r="D643" s="268" t="s">
        <v>53</v>
      </c>
      <c r="E643" s="104">
        <v>20.91</v>
      </c>
      <c r="F643" s="107"/>
    </row>
    <row r="644">
      <c r="A644" s="252">
        <v>46156.0</v>
      </c>
      <c r="B644" s="108">
        <v>5.30452882E9</v>
      </c>
      <c r="C644" s="268" t="s">
        <v>9</v>
      </c>
      <c r="D644" s="268" t="s">
        <v>53</v>
      </c>
      <c r="E644" s="104">
        <v>24.91</v>
      </c>
      <c r="F644" s="104">
        <v>2.0</v>
      </c>
    </row>
    <row r="645">
      <c r="A645" s="252">
        <v>46156.0</v>
      </c>
      <c r="B645" s="108">
        <v>5.304529157E9</v>
      </c>
      <c r="C645" s="268" t="s">
        <v>9</v>
      </c>
      <c r="D645" s="268" t="s">
        <v>53</v>
      </c>
      <c r="E645" s="104">
        <v>64.91</v>
      </c>
      <c r="F645" s="107"/>
    </row>
    <row r="646">
      <c r="A646" s="304">
        <v>46156.0</v>
      </c>
      <c r="B646" s="112">
        <v>8.07032601E8</v>
      </c>
      <c r="C646" s="295" t="s">
        <v>9</v>
      </c>
      <c r="D646" s="295" t="s">
        <v>53</v>
      </c>
      <c r="E646" s="114">
        <v>24.91</v>
      </c>
      <c r="F646" s="308"/>
    </row>
    <row r="647">
      <c r="A647" s="252">
        <v>46156.0</v>
      </c>
      <c r="B647" s="108">
        <v>2.42220208E8</v>
      </c>
      <c r="C647" s="268" t="s">
        <v>9</v>
      </c>
      <c r="D647" s="268" t="s">
        <v>53</v>
      </c>
      <c r="E647" s="104">
        <v>24.91</v>
      </c>
      <c r="F647" s="107"/>
    </row>
    <row r="648">
      <c r="A648" s="263"/>
      <c r="B648" s="263"/>
      <c r="C648" s="102"/>
      <c r="D648" s="102"/>
      <c r="E648" s="102"/>
      <c r="F648" s="102"/>
    </row>
    <row r="649">
      <c r="A649" s="252">
        <v>46160.0</v>
      </c>
      <c r="B649" s="108" t="s">
        <v>3179</v>
      </c>
      <c r="C649" s="268" t="s">
        <v>9</v>
      </c>
      <c r="D649" s="268" t="s">
        <v>53</v>
      </c>
      <c r="E649" s="104">
        <v>64.91</v>
      </c>
      <c r="F649" s="104">
        <v>2.0</v>
      </c>
    </row>
    <row r="650">
      <c r="A650" s="252">
        <v>46160.0</v>
      </c>
      <c r="B650" s="108">
        <v>1.40010667149E11</v>
      </c>
      <c r="C650" s="268" t="s">
        <v>9</v>
      </c>
      <c r="D650" s="268" t="s">
        <v>53</v>
      </c>
      <c r="E650" s="104">
        <v>24.91</v>
      </c>
      <c r="F650" s="107"/>
    </row>
    <row r="651">
      <c r="A651" s="252">
        <v>46160.0</v>
      </c>
      <c r="B651" s="108" t="s">
        <v>3180</v>
      </c>
      <c r="C651" s="268" t="s">
        <v>9</v>
      </c>
      <c r="D651" s="268" t="s">
        <v>53</v>
      </c>
      <c r="E651" s="104">
        <v>38.91</v>
      </c>
      <c r="F651" s="107"/>
    </row>
    <row r="652">
      <c r="A652" s="252">
        <v>46160.0</v>
      </c>
      <c r="B652" s="108" t="s">
        <v>3182</v>
      </c>
      <c r="C652" s="268" t="s">
        <v>9</v>
      </c>
      <c r="D652" s="268" t="s">
        <v>53</v>
      </c>
      <c r="E652" s="104">
        <v>29.91</v>
      </c>
      <c r="F652" s="107"/>
    </row>
    <row r="653">
      <c r="A653" s="252">
        <v>46160.0</v>
      </c>
      <c r="B653" s="108" t="s">
        <v>3183</v>
      </c>
      <c r="C653" s="268" t="s">
        <v>9</v>
      </c>
      <c r="D653" s="268" t="s">
        <v>53</v>
      </c>
      <c r="E653" s="104">
        <v>49.91</v>
      </c>
      <c r="F653" s="107"/>
    </row>
    <row r="654">
      <c r="A654" s="252">
        <v>46160.0</v>
      </c>
      <c r="B654" s="110" t="s">
        <v>3184</v>
      </c>
      <c r="C654" s="268" t="s">
        <v>9</v>
      </c>
      <c r="D654" s="268" t="s">
        <v>53</v>
      </c>
      <c r="E654" s="104">
        <v>84.91</v>
      </c>
      <c r="F654" s="107"/>
    </row>
    <row r="655">
      <c r="A655" s="252">
        <v>46160.0</v>
      </c>
      <c r="B655" s="108">
        <v>1.54246801E8</v>
      </c>
      <c r="C655" s="268" t="s">
        <v>9</v>
      </c>
      <c r="D655" s="268" t="s">
        <v>53</v>
      </c>
      <c r="E655" s="104">
        <v>20.91</v>
      </c>
      <c r="F655" s="107"/>
    </row>
    <row r="656">
      <c r="A656" s="252">
        <v>46160.0</v>
      </c>
      <c r="B656" s="108">
        <v>1.54380601E8</v>
      </c>
      <c r="C656" s="268" t="s">
        <v>9</v>
      </c>
      <c r="D656" s="268" t="s">
        <v>53</v>
      </c>
      <c r="E656" s="104">
        <v>34.91</v>
      </c>
      <c r="F656" s="107"/>
    </row>
    <row r="657">
      <c r="A657" s="252">
        <v>46160.0</v>
      </c>
      <c r="B657" s="108">
        <v>1.7471100004751E13</v>
      </c>
      <c r="C657" s="268" t="s">
        <v>9</v>
      </c>
      <c r="D657" s="268" t="s">
        <v>53</v>
      </c>
      <c r="E657" s="104">
        <v>29.91</v>
      </c>
      <c r="F657" s="107"/>
    </row>
    <row r="658">
      <c r="A658" s="252">
        <v>46160.0</v>
      </c>
      <c r="B658" s="108">
        <v>3.1649E8</v>
      </c>
      <c r="C658" s="268" t="s">
        <v>9</v>
      </c>
      <c r="D658" s="268" t="s">
        <v>53</v>
      </c>
      <c r="E658" s="104">
        <v>20.91</v>
      </c>
      <c r="F658" s="107"/>
    </row>
    <row r="659">
      <c r="A659" s="252">
        <v>46160.0</v>
      </c>
      <c r="B659" s="108">
        <v>5.304506478E9</v>
      </c>
      <c r="C659" s="268" t="s">
        <v>9</v>
      </c>
      <c r="D659" s="268" t="s">
        <v>53</v>
      </c>
      <c r="E659" s="104">
        <v>20.91</v>
      </c>
      <c r="F659" s="107"/>
    </row>
    <row r="660">
      <c r="A660" s="252">
        <v>46160.0</v>
      </c>
      <c r="B660" s="108">
        <v>5.30452233E9</v>
      </c>
      <c r="C660" s="268" t="s">
        <v>9</v>
      </c>
      <c r="D660" s="268" t="s">
        <v>53</v>
      </c>
      <c r="E660" s="104">
        <v>20.91</v>
      </c>
      <c r="F660" s="104">
        <v>4.0</v>
      </c>
    </row>
    <row r="661">
      <c r="A661" s="252">
        <v>46160.0</v>
      </c>
      <c r="B661" s="108">
        <v>5.304522966E9</v>
      </c>
      <c r="C661" s="268" t="s">
        <v>9</v>
      </c>
      <c r="D661" s="268" t="s">
        <v>53</v>
      </c>
      <c r="E661" s="104">
        <v>24.91</v>
      </c>
      <c r="F661" s="104">
        <v>2.0</v>
      </c>
    </row>
    <row r="662">
      <c r="A662" s="252">
        <v>46160.0</v>
      </c>
      <c r="B662" s="108">
        <v>5.304525161E9</v>
      </c>
      <c r="C662" s="268" t="s">
        <v>9</v>
      </c>
      <c r="D662" s="268" t="s">
        <v>53</v>
      </c>
      <c r="E662" s="104">
        <v>24.91</v>
      </c>
      <c r="F662" s="107"/>
    </row>
    <row r="663">
      <c r="A663" s="252">
        <v>46160.0</v>
      </c>
      <c r="B663" s="108">
        <v>5.304530389E9</v>
      </c>
      <c r="C663" s="268" t="s">
        <v>9</v>
      </c>
      <c r="D663" s="268" t="s">
        <v>53</v>
      </c>
      <c r="E663" s="104">
        <v>49.91</v>
      </c>
      <c r="F663" s="107"/>
    </row>
    <row r="664">
      <c r="A664" s="263"/>
      <c r="B664" s="263"/>
      <c r="C664" s="102"/>
      <c r="D664" s="102"/>
      <c r="E664" s="102"/>
      <c r="F664" s="102"/>
    </row>
    <row r="665">
      <c r="A665" s="252">
        <v>46161.0</v>
      </c>
      <c r="B665" s="108" t="s">
        <v>801</v>
      </c>
      <c r="C665" s="268" t="s">
        <v>9</v>
      </c>
      <c r="D665" s="268" t="s">
        <v>53</v>
      </c>
      <c r="E665" s="104">
        <v>20.91</v>
      </c>
      <c r="F665" s="107"/>
    </row>
    <row r="666">
      <c r="A666" s="252">
        <v>46161.0</v>
      </c>
      <c r="B666" s="108">
        <v>5.30452778E9</v>
      </c>
      <c r="C666" s="268" t="s">
        <v>9</v>
      </c>
      <c r="D666" s="268" t="s">
        <v>53</v>
      </c>
      <c r="E666" s="104">
        <v>39.91</v>
      </c>
      <c r="F666" s="107"/>
    </row>
    <row r="667">
      <c r="A667" s="252">
        <v>46161.0</v>
      </c>
      <c r="B667" s="108">
        <v>5.304529602E9</v>
      </c>
      <c r="C667" s="268" t="s">
        <v>9</v>
      </c>
      <c r="D667" s="268" t="s">
        <v>53</v>
      </c>
      <c r="E667" s="104">
        <v>29.91</v>
      </c>
      <c r="F667" s="104">
        <v>2.0</v>
      </c>
    </row>
    <row r="668">
      <c r="A668" s="252">
        <v>46161.0</v>
      </c>
      <c r="B668" s="108">
        <v>8.08136601E8</v>
      </c>
      <c r="C668" s="268" t="s">
        <v>9</v>
      </c>
      <c r="D668" s="268" t="s">
        <v>53</v>
      </c>
      <c r="E668" s="104">
        <v>20.91</v>
      </c>
      <c r="F668" s="107"/>
    </row>
    <row r="669">
      <c r="A669" s="252">
        <v>46161.0</v>
      </c>
      <c r="B669" s="108" t="s">
        <v>2429</v>
      </c>
      <c r="C669" s="268" t="s">
        <v>9</v>
      </c>
      <c r="D669" s="268" t="s">
        <v>53</v>
      </c>
      <c r="E669" s="104">
        <v>20.91</v>
      </c>
      <c r="F669" s="104">
        <v>2.0</v>
      </c>
    </row>
    <row r="670">
      <c r="A670" s="252">
        <v>46161.0</v>
      </c>
      <c r="B670" s="108">
        <v>5.304524866E9</v>
      </c>
      <c r="C670" s="268" t="s">
        <v>9</v>
      </c>
      <c r="D670" s="268" t="s">
        <v>53</v>
      </c>
      <c r="E670" s="104">
        <v>54.91</v>
      </c>
      <c r="F670" s="104">
        <v>2.0</v>
      </c>
    </row>
    <row r="671">
      <c r="A671" s="252">
        <v>46161.0</v>
      </c>
      <c r="B671" s="108">
        <v>5.3041425E8</v>
      </c>
      <c r="C671" s="268" t="s">
        <v>9</v>
      </c>
      <c r="D671" s="268" t="s">
        <v>53</v>
      </c>
      <c r="E671" s="104">
        <v>199.91</v>
      </c>
      <c r="F671" s="107"/>
    </row>
    <row r="672">
      <c r="A672" s="252">
        <v>46161.0</v>
      </c>
      <c r="B672" s="108">
        <v>5.304513609E9</v>
      </c>
      <c r="C672" s="268" t="s">
        <v>9</v>
      </c>
      <c r="D672" s="268" t="s">
        <v>53</v>
      </c>
      <c r="E672" s="104">
        <v>20.91</v>
      </c>
      <c r="F672" s="107"/>
    </row>
    <row r="673">
      <c r="A673" s="252">
        <v>46161.0</v>
      </c>
      <c r="B673" s="108" t="s">
        <v>3187</v>
      </c>
      <c r="C673" s="268" t="s">
        <v>9</v>
      </c>
      <c r="D673" s="268" t="s">
        <v>53</v>
      </c>
      <c r="E673" s="104">
        <v>94.91</v>
      </c>
      <c r="F673" s="107"/>
    </row>
    <row r="674">
      <c r="A674" s="252">
        <v>46161.0</v>
      </c>
      <c r="B674" s="108" t="s">
        <v>3188</v>
      </c>
      <c r="C674" s="268" t="s">
        <v>9</v>
      </c>
      <c r="D674" s="268" t="s">
        <v>53</v>
      </c>
      <c r="E674" s="104">
        <v>89.91</v>
      </c>
      <c r="F674" s="107"/>
    </row>
    <row r="675">
      <c r="A675" s="252">
        <v>46161.0</v>
      </c>
      <c r="B675" s="108">
        <v>5.304533653E9</v>
      </c>
      <c r="C675" s="268" t="s">
        <v>9</v>
      </c>
      <c r="D675" s="268" t="s">
        <v>53</v>
      </c>
      <c r="E675" s="104">
        <v>44.91</v>
      </c>
      <c r="F675" s="107"/>
    </row>
    <row r="676">
      <c r="A676" s="252">
        <v>46161.0</v>
      </c>
      <c r="B676" s="108" t="s">
        <v>3189</v>
      </c>
      <c r="C676" s="268" t="s">
        <v>9</v>
      </c>
      <c r="D676" s="268" t="s">
        <v>53</v>
      </c>
      <c r="E676" s="104">
        <v>34.91</v>
      </c>
      <c r="F676" s="107"/>
    </row>
    <row r="677">
      <c r="A677" s="252">
        <v>46161.0</v>
      </c>
      <c r="B677" s="108">
        <v>5.304525979E9</v>
      </c>
      <c r="C677" s="268" t="s">
        <v>9</v>
      </c>
      <c r="D677" s="268" t="s">
        <v>53</v>
      </c>
      <c r="E677" s="104">
        <v>59.91</v>
      </c>
      <c r="F677" s="107"/>
    </row>
    <row r="678">
      <c r="A678" s="252">
        <v>46161.0</v>
      </c>
      <c r="B678" s="108">
        <v>2.41675601E8</v>
      </c>
      <c r="C678" s="268" t="s">
        <v>9</v>
      </c>
      <c r="D678" s="268" t="s">
        <v>53</v>
      </c>
      <c r="E678" s="104">
        <v>20.91</v>
      </c>
      <c r="F678" s="107"/>
    </row>
    <row r="679">
      <c r="A679" s="252">
        <v>46161.0</v>
      </c>
      <c r="B679" s="108">
        <v>5.304524656E9</v>
      </c>
      <c r="C679" s="268" t="s">
        <v>9</v>
      </c>
      <c r="D679" s="268" t="s">
        <v>53</v>
      </c>
      <c r="E679" s="104">
        <v>20.91</v>
      </c>
      <c r="F679" s="107"/>
    </row>
    <row r="680">
      <c r="A680" s="252">
        <v>46161.0</v>
      </c>
      <c r="B680" s="108">
        <v>5.30452991E9</v>
      </c>
      <c r="C680" s="268" t="s">
        <v>9</v>
      </c>
      <c r="D680" s="268" t="s">
        <v>53</v>
      </c>
      <c r="E680" s="104">
        <v>34.91</v>
      </c>
      <c r="F680" s="107"/>
    </row>
    <row r="681">
      <c r="A681" s="252">
        <v>46161.0</v>
      </c>
      <c r="B681" s="108">
        <v>5.304534813E9</v>
      </c>
      <c r="C681" s="268" t="s">
        <v>9</v>
      </c>
      <c r="D681" s="268" t="s">
        <v>53</v>
      </c>
      <c r="E681" s="104">
        <v>34.91</v>
      </c>
      <c r="F681" s="107"/>
    </row>
    <row r="682">
      <c r="A682" s="252">
        <v>46161.0</v>
      </c>
      <c r="B682" s="108">
        <v>2.41734903E8</v>
      </c>
      <c r="C682" s="268" t="s">
        <v>9</v>
      </c>
      <c r="D682" s="268" t="s">
        <v>53</v>
      </c>
      <c r="E682" s="104">
        <v>20.91</v>
      </c>
      <c r="F682" s="107"/>
    </row>
    <row r="683">
      <c r="A683" s="252">
        <v>46161.0</v>
      </c>
      <c r="B683" s="108">
        <v>5.30450407E9</v>
      </c>
      <c r="C683" s="268" t="s">
        <v>9</v>
      </c>
      <c r="D683" s="268" t="s">
        <v>53</v>
      </c>
      <c r="E683" s="104">
        <v>159.91</v>
      </c>
      <c r="F683" s="107"/>
    </row>
    <row r="684">
      <c r="A684" s="252">
        <v>46161.0</v>
      </c>
      <c r="B684" s="108">
        <v>5.304526011E9</v>
      </c>
      <c r="C684" s="268" t="s">
        <v>9</v>
      </c>
      <c r="D684" s="268" t="s">
        <v>53</v>
      </c>
      <c r="E684" s="104">
        <v>89.91</v>
      </c>
      <c r="F684" s="107"/>
    </row>
    <row r="685">
      <c r="A685" s="263"/>
      <c r="B685" s="263"/>
      <c r="C685" s="102"/>
      <c r="D685" s="102"/>
      <c r="E685" s="102"/>
      <c r="F685" s="102"/>
    </row>
    <row r="686">
      <c r="A686" s="252">
        <v>46163.0</v>
      </c>
      <c r="B686" s="108">
        <v>1.2138000071498E13</v>
      </c>
      <c r="C686" s="268" t="s">
        <v>9</v>
      </c>
      <c r="D686" s="268" t="s">
        <v>53</v>
      </c>
      <c r="E686" s="104">
        <v>24.91</v>
      </c>
      <c r="F686" s="107"/>
    </row>
    <row r="687">
      <c r="A687" s="252">
        <v>46163.0</v>
      </c>
      <c r="B687" s="108">
        <v>5.304526014E9</v>
      </c>
      <c r="C687" s="268" t="s">
        <v>9</v>
      </c>
      <c r="D687" s="268" t="s">
        <v>53</v>
      </c>
      <c r="E687" s="104">
        <v>44.91</v>
      </c>
      <c r="F687" s="107"/>
    </row>
    <row r="688">
      <c r="A688" s="252">
        <v>46163.0</v>
      </c>
      <c r="B688" s="108">
        <v>5.304535688E9</v>
      </c>
      <c r="C688" s="268" t="s">
        <v>9</v>
      </c>
      <c r="D688" s="268" t="s">
        <v>53</v>
      </c>
      <c r="E688" s="104">
        <v>59.91</v>
      </c>
      <c r="F688" s="107"/>
    </row>
    <row r="689">
      <c r="A689" s="252">
        <v>46163.0</v>
      </c>
      <c r="B689" s="108">
        <v>3.16530001E8</v>
      </c>
      <c r="C689" s="268" t="s">
        <v>9</v>
      </c>
      <c r="D689" s="268" t="s">
        <v>53</v>
      </c>
      <c r="E689" s="104">
        <v>49.91</v>
      </c>
      <c r="F689" s="107"/>
    </row>
    <row r="690">
      <c r="A690" s="252">
        <v>46163.0</v>
      </c>
      <c r="B690" s="108">
        <v>5.304533418E9</v>
      </c>
      <c r="C690" s="268" t="s">
        <v>9</v>
      </c>
      <c r="D690" s="268" t="s">
        <v>53</v>
      </c>
      <c r="E690" s="104">
        <v>20.91</v>
      </c>
      <c r="F690" s="107"/>
    </row>
    <row r="691">
      <c r="A691" s="252">
        <v>46163.0</v>
      </c>
      <c r="B691" s="108">
        <v>1.1751878E8</v>
      </c>
      <c r="C691" s="268" t="s">
        <v>9</v>
      </c>
      <c r="D691" s="268" t="s">
        <v>53</v>
      </c>
      <c r="E691" s="104">
        <v>54.91</v>
      </c>
      <c r="F691" s="107"/>
    </row>
    <row r="692">
      <c r="A692" s="252">
        <v>46163.0</v>
      </c>
      <c r="B692" s="108">
        <v>5.30453345E9</v>
      </c>
      <c r="C692" s="268" t="s">
        <v>9</v>
      </c>
      <c r="D692" s="268" t="s">
        <v>53</v>
      </c>
      <c r="E692" s="104">
        <v>69.91</v>
      </c>
      <c r="F692" s="107"/>
    </row>
    <row r="693">
      <c r="A693" s="252">
        <v>46163.0</v>
      </c>
      <c r="B693" s="108">
        <v>5.304529906E9</v>
      </c>
      <c r="C693" s="268" t="s">
        <v>9</v>
      </c>
      <c r="D693" s="268" t="s">
        <v>53</v>
      </c>
      <c r="E693" s="104">
        <v>99.91</v>
      </c>
      <c r="F693" s="107"/>
    </row>
    <row r="694">
      <c r="A694" s="252">
        <v>46163.0</v>
      </c>
      <c r="B694" s="108" t="s">
        <v>3191</v>
      </c>
      <c r="C694" s="268" t="s">
        <v>9</v>
      </c>
      <c r="D694" s="268" t="s">
        <v>53</v>
      </c>
      <c r="E694" s="104">
        <v>74.91</v>
      </c>
      <c r="F694" s="107"/>
    </row>
    <row r="695">
      <c r="A695" s="252">
        <v>46163.0</v>
      </c>
      <c r="B695" s="108" t="s">
        <v>3192</v>
      </c>
      <c r="C695" s="268" t="s">
        <v>9</v>
      </c>
      <c r="D695" s="268" t="s">
        <v>53</v>
      </c>
      <c r="E695" s="104">
        <v>59.91</v>
      </c>
      <c r="F695" s="107"/>
    </row>
    <row r="696">
      <c r="A696" s="252">
        <v>46163.0</v>
      </c>
      <c r="B696" s="108" t="s">
        <v>2678</v>
      </c>
      <c r="C696" s="268" t="s">
        <v>9</v>
      </c>
      <c r="D696" s="268" t="s">
        <v>53</v>
      </c>
      <c r="E696" s="104">
        <v>20.91</v>
      </c>
      <c r="F696" s="107"/>
    </row>
    <row r="697">
      <c r="A697" s="304">
        <v>46163.0</v>
      </c>
      <c r="B697" s="112" t="s">
        <v>3193</v>
      </c>
      <c r="C697" s="295" t="s">
        <v>9</v>
      </c>
      <c r="D697" s="295" t="s">
        <v>53</v>
      </c>
      <c r="E697" s="114">
        <v>20.91</v>
      </c>
      <c r="F697" s="308"/>
    </row>
    <row r="698">
      <c r="A698" s="252">
        <v>46163.0</v>
      </c>
      <c r="B698" s="108" t="s">
        <v>3194</v>
      </c>
      <c r="C698" s="268" t="s">
        <v>9</v>
      </c>
      <c r="D698" s="268" t="s">
        <v>53</v>
      </c>
      <c r="E698" s="104">
        <v>20.91</v>
      </c>
      <c r="F698" s="107"/>
    </row>
    <row r="699">
      <c r="A699" s="252">
        <v>46163.0</v>
      </c>
      <c r="B699" s="108" t="s">
        <v>3195</v>
      </c>
      <c r="C699" s="268" t="s">
        <v>9</v>
      </c>
      <c r="D699" s="268" t="s">
        <v>53</v>
      </c>
      <c r="E699" s="104">
        <v>179.91</v>
      </c>
      <c r="F699" s="107"/>
    </row>
    <row r="700">
      <c r="A700" s="252">
        <v>46163.0</v>
      </c>
      <c r="B700" s="108" t="s">
        <v>475</v>
      </c>
      <c r="C700" s="268" t="s">
        <v>9</v>
      </c>
      <c r="D700" s="268" t="s">
        <v>53</v>
      </c>
      <c r="E700" s="104">
        <v>20.91</v>
      </c>
      <c r="F700" s="107"/>
    </row>
    <row r="701">
      <c r="A701" s="252">
        <v>46163.0</v>
      </c>
      <c r="B701" s="108" t="s">
        <v>3197</v>
      </c>
      <c r="C701" s="268" t="s">
        <v>9</v>
      </c>
      <c r="D701" s="268" t="s">
        <v>53</v>
      </c>
      <c r="E701" s="104">
        <v>34.91</v>
      </c>
      <c r="F701" s="107"/>
    </row>
    <row r="702">
      <c r="A702" s="252">
        <v>46163.0</v>
      </c>
      <c r="B702" s="108" t="s">
        <v>1464</v>
      </c>
      <c r="C702" s="268" t="s">
        <v>9</v>
      </c>
      <c r="D702" s="268" t="s">
        <v>53</v>
      </c>
      <c r="E702" s="104">
        <v>24.91</v>
      </c>
      <c r="F702" s="107"/>
    </row>
    <row r="703">
      <c r="A703" s="252">
        <v>46163.0</v>
      </c>
      <c r="B703" s="108" t="s">
        <v>1304</v>
      </c>
      <c r="C703" s="268" t="s">
        <v>9</v>
      </c>
      <c r="D703" s="268" t="s">
        <v>53</v>
      </c>
      <c r="E703" s="104">
        <v>20.91</v>
      </c>
      <c r="F703" s="107"/>
    </row>
    <row r="704">
      <c r="A704" s="252">
        <v>46163.0</v>
      </c>
      <c r="B704" s="110" t="s">
        <v>3198</v>
      </c>
      <c r="C704" s="268" t="s">
        <v>9</v>
      </c>
      <c r="D704" s="268" t="s">
        <v>53</v>
      </c>
      <c r="E704" s="104">
        <v>49.91</v>
      </c>
      <c r="F704" s="107"/>
    </row>
    <row r="705">
      <c r="A705" s="252">
        <v>46163.0</v>
      </c>
      <c r="B705" s="108" t="s">
        <v>3199</v>
      </c>
      <c r="C705" s="268" t="s">
        <v>9</v>
      </c>
      <c r="D705" s="268" t="s">
        <v>53</v>
      </c>
      <c r="E705" s="104">
        <v>99.91</v>
      </c>
      <c r="F705" s="107"/>
    </row>
    <row r="706">
      <c r="A706" s="252">
        <v>46163.0</v>
      </c>
      <c r="B706" s="108" t="s">
        <v>3200</v>
      </c>
      <c r="C706" s="268" t="s">
        <v>9</v>
      </c>
      <c r="D706" s="268" t="s">
        <v>53</v>
      </c>
      <c r="E706" s="104">
        <v>59.91</v>
      </c>
      <c r="F706" s="107"/>
    </row>
    <row r="707">
      <c r="A707" s="263"/>
      <c r="B707" s="263"/>
      <c r="C707" s="102"/>
      <c r="D707" s="102"/>
      <c r="E707" s="102"/>
      <c r="F707" s="102"/>
    </row>
    <row r="708">
      <c r="A708" s="252">
        <v>46164.0</v>
      </c>
      <c r="B708" s="108" t="s">
        <v>280</v>
      </c>
      <c r="C708" s="268" t="s">
        <v>9</v>
      </c>
      <c r="D708" s="268" t="s">
        <v>53</v>
      </c>
      <c r="E708" s="104">
        <v>24.91</v>
      </c>
      <c r="F708" s="107"/>
    </row>
    <row r="709">
      <c r="A709" s="252">
        <v>46164.0</v>
      </c>
      <c r="B709" s="108" t="s">
        <v>3202</v>
      </c>
      <c r="C709" s="268" t="s">
        <v>9</v>
      </c>
      <c r="D709" s="268" t="s">
        <v>53</v>
      </c>
      <c r="E709" s="104">
        <v>20.91</v>
      </c>
      <c r="F709" s="104">
        <v>3.0</v>
      </c>
    </row>
    <row r="710">
      <c r="A710" s="252">
        <v>46164.0</v>
      </c>
      <c r="B710" s="108" t="s">
        <v>176</v>
      </c>
      <c r="C710" s="268" t="s">
        <v>9</v>
      </c>
      <c r="D710" s="268" t="s">
        <v>53</v>
      </c>
      <c r="E710" s="104">
        <v>20.91</v>
      </c>
      <c r="F710" s="107"/>
    </row>
    <row r="711">
      <c r="A711" s="252">
        <v>46164.0</v>
      </c>
      <c r="B711" s="108" t="s">
        <v>3203</v>
      </c>
      <c r="C711" s="268" t="s">
        <v>9</v>
      </c>
      <c r="D711" s="268" t="s">
        <v>53</v>
      </c>
      <c r="E711" s="104">
        <v>39.91</v>
      </c>
      <c r="F711" s="107"/>
    </row>
    <row r="712">
      <c r="A712" s="252">
        <v>46164.0</v>
      </c>
      <c r="B712" s="108" t="s">
        <v>3204</v>
      </c>
      <c r="C712" s="268" t="s">
        <v>9</v>
      </c>
      <c r="D712" s="268" t="s">
        <v>53</v>
      </c>
      <c r="E712" s="104">
        <v>24.91</v>
      </c>
      <c r="F712" s="107"/>
    </row>
    <row r="713">
      <c r="A713" s="252">
        <v>46164.0</v>
      </c>
      <c r="B713" s="108" t="s">
        <v>3205</v>
      </c>
      <c r="C713" s="268" t="s">
        <v>9</v>
      </c>
      <c r="D713" s="268" t="s">
        <v>53</v>
      </c>
      <c r="E713" s="104">
        <v>20.91</v>
      </c>
      <c r="F713" s="107"/>
    </row>
    <row r="714">
      <c r="A714" s="252">
        <v>46164.0</v>
      </c>
      <c r="B714" s="108" t="s">
        <v>2451</v>
      </c>
      <c r="C714" s="268" t="s">
        <v>9</v>
      </c>
      <c r="D714" s="268" t="s">
        <v>53</v>
      </c>
      <c r="E714" s="104">
        <v>20.91</v>
      </c>
      <c r="F714" s="107"/>
    </row>
    <row r="715">
      <c r="A715" s="252">
        <v>46164.0</v>
      </c>
      <c r="B715" s="108" t="s">
        <v>3206</v>
      </c>
      <c r="C715" s="268" t="s">
        <v>9</v>
      </c>
      <c r="D715" s="268" t="s">
        <v>53</v>
      </c>
      <c r="E715" s="104">
        <v>29.91</v>
      </c>
      <c r="F715" s="107"/>
    </row>
    <row r="716">
      <c r="A716" s="263"/>
      <c r="B716" s="263"/>
      <c r="C716" s="102"/>
      <c r="D716" s="102"/>
      <c r="E716" s="102"/>
      <c r="F716" s="102"/>
    </row>
    <row r="717">
      <c r="A717" s="252">
        <v>46168.0</v>
      </c>
      <c r="B717" s="108" t="s">
        <v>912</v>
      </c>
      <c r="C717" s="268" t="s">
        <v>9</v>
      </c>
      <c r="D717" s="268" t="s">
        <v>53</v>
      </c>
      <c r="E717" s="104">
        <v>24.91</v>
      </c>
      <c r="F717" s="107"/>
    </row>
    <row r="718">
      <c r="A718" s="252">
        <v>46168.0</v>
      </c>
      <c r="B718" s="108" t="s">
        <v>3207</v>
      </c>
      <c r="C718" s="268" t="s">
        <v>9</v>
      </c>
      <c r="D718" s="268" t="s">
        <v>53</v>
      </c>
      <c r="E718" s="104">
        <v>24.91</v>
      </c>
      <c r="F718" s="107"/>
    </row>
    <row r="719">
      <c r="A719" s="252">
        <v>46168.0</v>
      </c>
      <c r="B719" s="309" t="s">
        <v>3208</v>
      </c>
      <c r="C719" s="310" t="s">
        <v>9</v>
      </c>
      <c r="D719" s="310" t="s">
        <v>53</v>
      </c>
      <c r="E719" s="311">
        <v>20.91</v>
      </c>
      <c r="F719" s="312"/>
    </row>
    <row r="720">
      <c r="A720" s="263"/>
      <c r="B720" s="263"/>
      <c r="C720" s="102"/>
      <c r="D720" s="102"/>
      <c r="E720" s="102"/>
      <c r="F720" s="102"/>
    </row>
    <row r="721">
      <c r="A721" s="252">
        <v>46169.0</v>
      </c>
      <c r="B721" s="108">
        <v>5.304534552E9</v>
      </c>
      <c r="C721" s="310" t="s">
        <v>9</v>
      </c>
      <c r="D721" s="310" t="s">
        <v>53</v>
      </c>
      <c r="E721" s="104">
        <v>89.91</v>
      </c>
      <c r="F721" s="107"/>
    </row>
    <row r="722">
      <c r="A722" s="252">
        <v>46169.0</v>
      </c>
      <c r="B722" s="108">
        <v>5.304534597E9</v>
      </c>
      <c r="C722" s="310" t="s">
        <v>9</v>
      </c>
      <c r="D722" s="310" t="s">
        <v>53</v>
      </c>
      <c r="E722" s="104">
        <v>29.91</v>
      </c>
      <c r="F722" s="107"/>
    </row>
    <row r="723">
      <c r="A723" s="252">
        <v>46169.0</v>
      </c>
      <c r="B723" s="108" t="s">
        <v>3209</v>
      </c>
      <c r="C723" s="310" t="s">
        <v>9</v>
      </c>
      <c r="D723" s="310" t="s">
        <v>53</v>
      </c>
      <c r="E723" s="104">
        <v>24.91</v>
      </c>
      <c r="F723" s="107"/>
    </row>
    <row r="724">
      <c r="A724" s="252">
        <v>46169.0</v>
      </c>
      <c r="B724" s="108" t="s">
        <v>3210</v>
      </c>
      <c r="C724" s="310" t="s">
        <v>9</v>
      </c>
      <c r="D724" s="310" t="s">
        <v>53</v>
      </c>
      <c r="E724" s="104">
        <v>20.91</v>
      </c>
      <c r="F724" s="107"/>
    </row>
    <row r="725">
      <c r="A725" s="263"/>
      <c r="B725" s="263"/>
      <c r="C725" s="102"/>
      <c r="D725" s="102"/>
      <c r="E725" s="102"/>
      <c r="F725" s="102"/>
    </row>
    <row r="726">
      <c r="A726" s="252">
        <v>46170.0</v>
      </c>
      <c r="B726" s="108" t="s">
        <v>3211</v>
      </c>
      <c r="C726" s="310" t="s">
        <v>9</v>
      </c>
      <c r="D726" s="310" t="s">
        <v>53</v>
      </c>
      <c r="E726" s="104">
        <v>189.91</v>
      </c>
      <c r="F726" s="107"/>
    </row>
    <row r="727">
      <c r="A727" s="252">
        <v>46170.0</v>
      </c>
      <c r="B727" s="108" t="s">
        <v>567</v>
      </c>
      <c r="C727" s="310" t="s">
        <v>9</v>
      </c>
      <c r="D727" s="310" t="s">
        <v>53</v>
      </c>
      <c r="E727" s="104">
        <v>49.91</v>
      </c>
      <c r="F727" s="107"/>
    </row>
    <row r="728">
      <c r="A728" s="252">
        <v>46170.0</v>
      </c>
      <c r="B728" s="108" t="s">
        <v>3212</v>
      </c>
      <c r="C728" s="310" t="s">
        <v>9</v>
      </c>
      <c r="D728" s="310" t="s">
        <v>53</v>
      </c>
      <c r="E728" s="104">
        <v>39.91</v>
      </c>
      <c r="F728" s="107"/>
    </row>
    <row r="729">
      <c r="A729" s="263"/>
      <c r="B729" s="263"/>
      <c r="C729" s="102"/>
      <c r="D729" s="102"/>
      <c r="E729" s="102"/>
      <c r="F729" s="102"/>
    </row>
    <row r="730">
      <c r="A730" s="252">
        <v>46175.0</v>
      </c>
      <c r="B730" s="108" t="s">
        <v>492</v>
      </c>
      <c r="C730" s="310" t="s">
        <v>9</v>
      </c>
      <c r="D730" s="310" t="s">
        <v>53</v>
      </c>
      <c r="E730" s="104">
        <v>29.91</v>
      </c>
      <c r="F730" s="107"/>
    </row>
    <row r="731">
      <c r="A731" s="252">
        <v>46175.0</v>
      </c>
      <c r="B731" s="108" t="s">
        <v>3213</v>
      </c>
      <c r="C731" s="310" t="s">
        <v>9</v>
      </c>
      <c r="D731" s="310" t="s">
        <v>53</v>
      </c>
      <c r="E731" s="104">
        <v>24.91</v>
      </c>
      <c r="F731" s="107"/>
    </row>
    <row r="732">
      <c r="A732" s="263"/>
      <c r="B732" s="263"/>
      <c r="C732" s="102"/>
      <c r="D732" s="102"/>
      <c r="E732" s="102"/>
      <c r="F732" s="102"/>
    </row>
    <row r="733">
      <c r="A733" s="129"/>
      <c r="B733" s="129"/>
      <c r="C733" s="129"/>
      <c r="D733" s="129"/>
    </row>
    <row r="734">
      <c r="A734" s="129"/>
      <c r="B734" s="129"/>
      <c r="C734" s="129"/>
      <c r="D734" s="129"/>
    </row>
    <row r="735">
      <c r="A735" s="129"/>
      <c r="B735" s="129"/>
      <c r="C735" s="129"/>
      <c r="D735" s="129"/>
    </row>
    <row r="736">
      <c r="A736" s="129"/>
      <c r="B736" s="129"/>
      <c r="C736" s="129"/>
      <c r="D736" s="129"/>
    </row>
    <row r="737">
      <c r="A737" s="129"/>
      <c r="B737" s="129"/>
      <c r="C737" s="129"/>
      <c r="D737" s="129"/>
    </row>
    <row r="738">
      <c r="A738" s="129"/>
      <c r="B738" s="129"/>
      <c r="C738" s="129"/>
      <c r="D738" s="129"/>
    </row>
    <row r="739">
      <c r="A739" s="129"/>
      <c r="B739" s="129"/>
      <c r="C739" s="129"/>
      <c r="D739" s="129"/>
    </row>
    <row r="740">
      <c r="A740" s="129"/>
      <c r="B740" s="129"/>
      <c r="C740" s="129"/>
      <c r="D740" s="129"/>
    </row>
    <row r="741">
      <c r="A741" s="129"/>
      <c r="B741" s="129"/>
      <c r="C741" s="129"/>
      <c r="D741" s="129"/>
    </row>
    <row r="742">
      <c r="A742" s="129"/>
      <c r="B742" s="129"/>
      <c r="C742" s="129"/>
      <c r="D742" s="129"/>
    </row>
    <row r="743">
      <c r="A743" s="129"/>
      <c r="B743" s="129"/>
      <c r="C743" s="129"/>
      <c r="D743" s="129"/>
    </row>
    <row r="744">
      <c r="A744" s="129"/>
      <c r="B744" s="129"/>
      <c r="C744" s="129"/>
      <c r="D744" s="129"/>
    </row>
    <row r="745">
      <c r="A745" s="129"/>
      <c r="B745" s="129"/>
      <c r="C745" s="129"/>
      <c r="D745" s="129"/>
    </row>
    <row r="746">
      <c r="A746" s="129"/>
      <c r="B746" s="129"/>
      <c r="C746" s="129"/>
      <c r="D746" s="129"/>
    </row>
    <row r="747">
      <c r="A747" s="129"/>
      <c r="B747" s="129"/>
      <c r="C747" s="129"/>
      <c r="D747" s="129"/>
    </row>
    <row r="748">
      <c r="A748" s="129"/>
      <c r="B748" s="129"/>
      <c r="C748" s="129"/>
      <c r="D748" s="129"/>
    </row>
    <row r="749">
      <c r="A749" s="129"/>
      <c r="B749" s="129"/>
      <c r="C749" s="129"/>
      <c r="D749" s="129"/>
    </row>
    <row r="750">
      <c r="A750" s="129"/>
      <c r="B750" s="129"/>
      <c r="C750" s="129"/>
      <c r="D750" s="129"/>
    </row>
    <row r="751">
      <c r="A751" s="129"/>
      <c r="B751" s="129"/>
      <c r="C751" s="129"/>
      <c r="D751" s="129"/>
    </row>
    <row r="752">
      <c r="A752" s="129"/>
      <c r="B752" s="129"/>
      <c r="C752" s="129"/>
      <c r="D752" s="129"/>
    </row>
    <row r="753">
      <c r="A753" s="129"/>
      <c r="B753" s="129"/>
      <c r="C753" s="129"/>
      <c r="D753" s="129"/>
    </row>
    <row r="754">
      <c r="A754" s="129"/>
      <c r="B754" s="129"/>
      <c r="C754" s="129"/>
      <c r="D754" s="129"/>
    </row>
    <row r="755">
      <c r="A755" s="129"/>
      <c r="B755" s="129"/>
      <c r="C755" s="129"/>
      <c r="D755" s="129"/>
    </row>
    <row r="756">
      <c r="A756" s="129"/>
      <c r="B756" s="129"/>
      <c r="C756" s="129"/>
      <c r="D756" s="129"/>
    </row>
    <row r="757">
      <c r="A757" s="129"/>
      <c r="B757" s="129"/>
      <c r="C757" s="129"/>
      <c r="D757" s="129"/>
    </row>
    <row r="758">
      <c r="A758" s="129"/>
      <c r="B758" s="129"/>
      <c r="C758" s="129"/>
      <c r="D758" s="129"/>
    </row>
    <row r="759">
      <c r="A759" s="129"/>
      <c r="B759" s="129"/>
      <c r="C759" s="129"/>
      <c r="D759" s="129"/>
    </row>
    <row r="760">
      <c r="A760" s="129"/>
      <c r="B760" s="129"/>
      <c r="C760" s="129"/>
      <c r="D760" s="129"/>
    </row>
    <row r="761">
      <c r="A761" s="129"/>
      <c r="B761" s="129"/>
      <c r="C761" s="129"/>
      <c r="D761" s="129"/>
    </row>
    <row r="762">
      <c r="A762" s="129"/>
      <c r="B762" s="129"/>
      <c r="C762" s="129"/>
      <c r="D762" s="129"/>
    </row>
    <row r="763">
      <c r="A763" s="129"/>
      <c r="B763" s="129"/>
      <c r="C763" s="129"/>
      <c r="D763" s="129"/>
    </row>
    <row r="764">
      <c r="A764" s="129"/>
      <c r="B764" s="129"/>
      <c r="C764" s="129"/>
      <c r="D764" s="129"/>
    </row>
    <row r="765">
      <c r="A765" s="129"/>
      <c r="B765" s="129"/>
      <c r="C765" s="129"/>
      <c r="D765" s="129"/>
    </row>
    <row r="766">
      <c r="A766" s="129"/>
      <c r="B766" s="129"/>
      <c r="C766" s="129"/>
      <c r="D766" s="129"/>
    </row>
    <row r="767">
      <c r="A767" s="129"/>
      <c r="B767" s="129"/>
      <c r="C767" s="129"/>
      <c r="D767" s="129"/>
    </row>
    <row r="768">
      <c r="A768" s="129"/>
      <c r="B768" s="129"/>
      <c r="C768" s="129"/>
      <c r="D768" s="129"/>
    </row>
    <row r="769">
      <c r="A769" s="129"/>
      <c r="B769" s="129"/>
      <c r="C769" s="129"/>
      <c r="D769" s="129"/>
    </row>
    <row r="770">
      <c r="A770" s="129"/>
      <c r="B770" s="129"/>
      <c r="C770" s="129"/>
      <c r="D770" s="129"/>
    </row>
    <row r="771">
      <c r="A771" s="129"/>
      <c r="B771" s="129"/>
      <c r="C771" s="129"/>
      <c r="D771" s="129"/>
    </row>
    <row r="772">
      <c r="A772" s="129"/>
      <c r="B772" s="129"/>
      <c r="C772" s="129"/>
      <c r="D772" s="129"/>
    </row>
    <row r="773">
      <c r="A773" s="129"/>
      <c r="B773" s="129"/>
      <c r="C773" s="129"/>
      <c r="D773" s="129"/>
    </row>
    <row r="774">
      <c r="A774" s="129"/>
      <c r="B774" s="129"/>
      <c r="C774" s="129"/>
      <c r="D774" s="129"/>
    </row>
    <row r="775">
      <c r="A775" s="129"/>
      <c r="B775" s="129"/>
      <c r="C775" s="129"/>
      <c r="D775" s="129"/>
    </row>
    <row r="776">
      <c r="A776" s="129"/>
      <c r="B776" s="129"/>
      <c r="C776" s="129"/>
      <c r="D776" s="129"/>
    </row>
    <row r="777">
      <c r="A777" s="129"/>
      <c r="B777" s="129"/>
      <c r="C777" s="129"/>
      <c r="D777" s="129"/>
    </row>
    <row r="778">
      <c r="A778" s="129"/>
      <c r="B778" s="129"/>
      <c r="C778" s="129"/>
      <c r="D778" s="129"/>
    </row>
    <row r="779">
      <c r="A779" s="129"/>
      <c r="B779" s="129"/>
      <c r="C779" s="129"/>
      <c r="D779" s="129"/>
    </row>
    <row r="780">
      <c r="A780" s="129"/>
      <c r="B780" s="129"/>
      <c r="C780" s="129"/>
      <c r="D780" s="129"/>
    </row>
    <row r="781">
      <c r="A781" s="129"/>
      <c r="B781" s="129"/>
      <c r="C781" s="129"/>
      <c r="D781" s="129"/>
    </row>
    <row r="782">
      <c r="A782" s="129"/>
      <c r="B782" s="129"/>
      <c r="C782" s="129"/>
      <c r="D782" s="129"/>
    </row>
    <row r="783">
      <c r="A783" s="129"/>
      <c r="B783" s="129"/>
      <c r="C783" s="129"/>
      <c r="D783" s="129"/>
    </row>
    <row r="784">
      <c r="A784" s="129"/>
      <c r="B784" s="129"/>
      <c r="C784" s="129"/>
      <c r="D784" s="129"/>
    </row>
    <row r="785">
      <c r="A785" s="129"/>
      <c r="B785" s="129"/>
      <c r="C785" s="129"/>
      <c r="D785" s="129"/>
    </row>
    <row r="786">
      <c r="A786" s="129"/>
      <c r="B786" s="129"/>
      <c r="C786" s="129"/>
      <c r="D786" s="129"/>
    </row>
    <row r="787">
      <c r="A787" s="129"/>
      <c r="B787" s="129"/>
      <c r="C787" s="129"/>
      <c r="D787" s="129"/>
    </row>
    <row r="788">
      <c r="A788" s="129"/>
      <c r="B788" s="129"/>
      <c r="C788" s="129"/>
      <c r="D788" s="129"/>
    </row>
    <row r="789">
      <c r="A789" s="129"/>
      <c r="B789" s="129"/>
      <c r="C789" s="129"/>
      <c r="D789" s="129"/>
    </row>
    <row r="790">
      <c r="A790" s="129"/>
      <c r="B790" s="129"/>
      <c r="C790" s="129"/>
      <c r="D790" s="129"/>
    </row>
    <row r="791">
      <c r="A791" s="129"/>
      <c r="B791" s="129"/>
      <c r="C791" s="129"/>
      <c r="D791" s="129"/>
    </row>
    <row r="792">
      <c r="A792" s="129"/>
      <c r="B792" s="129"/>
      <c r="C792" s="129"/>
      <c r="D792" s="129"/>
    </row>
    <row r="793">
      <c r="A793" s="129"/>
      <c r="B793" s="129"/>
      <c r="C793" s="129"/>
      <c r="D793" s="129"/>
    </row>
    <row r="794">
      <c r="A794" s="129"/>
      <c r="B794" s="129"/>
      <c r="C794" s="129"/>
      <c r="D794" s="129"/>
    </row>
    <row r="795">
      <c r="A795" s="129"/>
      <c r="B795" s="129"/>
      <c r="C795" s="129"/>
      <c r="D795" s="129"/>
    </row>
    <row r="796">
      <c r="A796" s="129"/>
      <c r="B796" s="129"/>
      <c r="C796" s="129"/>
      <c r="D796" s="129"/>
    </row>
    <row r="797">
      <c r="A797" s="129"/>
      <c r="B797" s="129"/>
      <c r="C797" s="129"/>
      <c r="D797" s="129"/>
    </row>
  </sheetData>
  <dataValidations>
    <dataValidation type="list" allowBlank="1" showErrorMessage="1" sqref="C2:C10 C12:C23 C25:C44 C46:C59 C61:C81 C83:C103 C105:C107 C109:C122 C124:C133 C135:C145 C147:C149 C151:C172 C174:C200 C202:C221 C223:C242 C244:C273 C275:C286 C288:C307 C309:C319 C321:C361 C363:C397 C399:C428 C430:C469 C471:C513 C515:C544 C546:C585 C587:C616 C618:C647 C649:C663 C665:C684 C686:C706 C708:C715 C717:C719 C721:C724 C726:C728 C730:C731">
      <formula1>"Ebay (warehouse_101),Ebay (tekp07)"</formula1>
    </dataValidation>
    <dataValidation type="list" allowBlank="1" showErrorMessage="1" sqref="D2:D10 D12:D23 D25:D44 D46:D59 D61:D81 D83:D103 D105:D107 D109:D122 D124:D133 D135:D145 D147:D149 D151:D172 D174:D200 D202:D221 D223:D242 D244:D273 D275:D286 D288:D307 D309:D319 D321:D361 D363:D397 D399:D428 D430:D469 D471:D513 D515:D544 D546:D585 D587:D616 D618:D647 D649:D663 D665:D684 D686:D706 D708:D715 D717:D719 D721:D724 D726:D728 D730:D731">
      <formula1>"MEMPHIS,NASHVILLE,CHATTANOOGA,TALLAHASSEE,ATLANTA,KNOXVILLE"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 t="s">
        <v>2</v>
      </c>
      <c r="D1" s="3" t="s">
        <v>3</v>
      </c>
      <c r="E1" s="250" t="s">
        <v>4</v>
      </c>
      <c r="F1" s="3" t="s">
        <v>5</v>
      </c>
    </row>
    <row r="2">
      <c r="A2" s="70">
        <v>46125.0</v>
      </c>
      <c r="B2" s="29" t="s">
        <v>2188</v>
      </c>
      <c r="C2" s="29" t="s">
        <v>2189</v>
      </c>
      <c r="D2" s="29" t="s">
        <v>2190</v>
      </c>
      <c r="E2" s="251" t="s">
        <v>2192</v>
      </c>
      <c r="F2" s="29">
        <v>3.0</v>
      </c>
    </row>
    <row r="3">
      <c r="A3" s="70">
        <v>46125.0</v>
      </c>
      <c r="B3" s="29" t="s">
        <v>2193</v>
      </c>
      <c r="C3" s="29" t="s">
        <v>2189</v>
      </c>
      <c r="D3" s="29" t="s">
        <v>2190</v>
      </c>
      <c r="E3" s="251" t="s">
        <v>2194</v>
      </c>
    </row>
    <row r="4">
      <c r="A4" s="70">
        <v>46125.0</v>
      </c>
      <c r="B4" s="29" t="s">
        <v>2195</v>
      </c>
      <c r="C4" s="29" t="s">
        <v>2189</v>
      </c>
      <c r="D4" s="29" t="s">
        <v>2190</v>
      </c>
      <c r="E4" s="251" t="s">
        <v>2196</v>
      </c>
    </row>
    <row r="5">
      <c r="A5" s="70">
        <v>46125.0</v>
      </c>
      <c r="B5" s="29" t="s">
        <v>977</v>
      </c>
      <c r="C5" s="29" t="s">
        <v>2189</v>
      </c>
      <c r="D5" s="29" t="s">
        <v>2190</v>
      </c>
      <c r="E5" s="251" t="s">
        <v>2197</v>
      </c>
    </row>
    <row r="6">
      <c r="A6" s="70">
        <v>46125.0</v>
      </c>
      <c r="B6" s="13" t="s">
        <v>2198</v>
      </c>
      <c r="C6" s="29" t="s">
        <v>2189</v>
      </c>
      <c r="D6" s="29" t="s">
        <v>2190</v>
      </c>
      <c r="E6" s="251" t="s">
        <v>2199</v>
      </c>
      <c r="F6" s="29">
        <v>2.0</v>
      </c>
    </row>
    <row r="7">
      <c r="A7" s="98"/>
      <c r="B7" s="23"/>
      <c r="C7" s="23"/>
      <c r="D7" s="23"/>
      <c r="E7" s="253"/>
      <c r="F7" s="23"/>
    </row>
    <row r="8">
      <c r="A8" s="70">
        <v>46126.0</v>
      </c>
      <c r="B8" s="29" t="s">
        <v>1739</v>
      </c>
      <c r="C8" s="29" t="s">
        <v>2189</v>
      </c>
      <c r="D8" s="29" t="s">
        <v>2190</v>
      </c>
      <c r="E8" s="251" t="s">
        <v>2194</v>
      </c>
    </row>
    <row r="9">
      <c r="A9" s="70">
        <v>46126.0</v>
      </c>
      <c r="B9" s="29" t="s">
        <v>893</v>
      </c>
      <c r="C9" s="29" t="s">
        <v>2189</v>
      </c>
      <c r="D9" s="29" t="s">
        <v>2190</v>
      </c>
      <c r="E9" s="251" t="s">
        <v>2201</v>
      </c>
    </row>
    <row r="10">
      <c r="A10" s="70">
        <v>46126.0</v>
      </c>
      <c r="B10" s="29" t="s">
        <v>2202</v>
      </c>
      <c r="C10" s="29" t="s">
        <v>2189</v>
      </c>
      <c r="D10" s="29" t="s">
        <v>2190</v>
      </c>
      <c r="E10" s="251" t="s">
        <v>2203</v>
      </c>
    </row>
    <row r="11">
      <c r="A11" s="70">
        <v>46126.0</v>
      </c>
      <c r="B11" s="29" t="s">
        <v>2204</v>
      </c>
      <c r="C11" s="29" t="s">
        <v>2189</v>
      </c>
      <c r="D11" s="29" t="s">
        <v>2190</v>
      </c>
      <c r="E11" s="251" t="s">
        <v>2205</v>
      </c>
    </row>
    <row r="12">
      <c r="A12" s="70">
        <v>46126.0</v>
      </c>
      <c r="B12" s="29" t="s">
        <v>2206</v>
      </c>
      <c r="C12" s="29" t="s">
        <v>2189</v>
      </c>
      <c r="D12" s="29" t="s">
        <v>2190</v>
      </c>
      <c r="E12" s="251" t="s">
        <v>2207</v>
      </c>
    </row>
    <row r="13">
      <c r="A13" s="70">
        <v>46126.0</v>
      </c>
      <c r="B13" s="29" t="s">
        <v>2208</v>
      </c>
      <c r="C13" s="29" t="s">
        <v>2189</v>
      </c>
      <c r="D13" s="29" t="s">
        <v>2190</v>
      </c>
      <c r="E13" s="251" t="s">
        <v>2201</v>
      </c>
    </row>
    <row r="14">
      <c r="A14" s="70">
        <v>46126.0</v>
      </c>
      <c r="B14" s="29">
        <v>1.7438100000435E13</v>
      </c>
      <c r="C14" s="29" t="s">
        <v>2189</v>
      </c>
      <c r="D14" s="29" t="s">
        <v>2190</v>
      </c>
      <c r="E14" s="251" t="s">
        <v>2209</v>
      </c>
    </row>
    <row r="15">
      <c r="A15" s="70">
        <v>46126.0</v>
      </c>
      <c r="B15" s="29" t="s">
        <v>2210</v>
      </c>
      <c r="C15" s="29" t="s">
        <v>2189</v>
      </c>
      <c r="D15" s="29" t="s">
        <v>2190</v>
      </c>
      <c r="E15" s="251" t="s">
        <v>2201</v>
      </c>
    </row>
    <row r="16">
      <c r="A16" s="70">
        <v>46126.0</v>
      </c>
      <c r="B16" s="29">
        <v>5.304507499E9</v>
      </c>
      <c r="C16" s="29" t="s">
        <v>2189</v>
      </c>
      <c r="D16" s="29" t="s">
        <v>2190</v>
      </c>
      <c r="E16" s="251" t="s">
        <v>2211</v>
      </c>
    </row>
    <row r="17">
      <c r="A17" s="70">
        <v>46126.0</v>
      </c>
      <c r="B17" s="29" t="s">
        <v>2212</v>
      </c>
      <c r="C17" s="29" t="s">
        <v>2189</v>
      </c>
      <c r="D17" s="29" t="s">
        <v>2190</v>
      </c>
      <c r="E17" s="251" t="s">
        <v>2201</v>
      </c>
    </row>
    <row r="18">
      <c r="A18" s="70">
        <v>46126.0</v>
      </c>
      <c r="B18" s="29" t="s">
        <v>1982</v>
      </c>
      <c r="C18" s="29" t="s">
        <v>2189</v>
      </c>
      <c r="D18" s="29" t="s">
        <v>2190</v>
      </c>
      <c r="E18" s="251" t="s">
        <v>2213</v>
      </c>
    </row>
    <row r="19">
      <c r="A19" s="70">
        <v>46126.0</v>
      </c>
      <c r="B19" s="29" t="s">
        <v>200</v>
      </c>
      <c r="C19" s="29" t="s">
        <v>2189</v>
      </c>
      <c r="D19" s="29" t="s">
        <v>2190</v>
      </c>
      <c r="E19" s="251" t="s">
        <v>2214</v>
      </c>
    </row>
    <row r="20">
      <c r="A20" s="70">
        <v>46126.0</v>
      </c>
      <c r="B20" s="29" t="s">
        <v>2215</v>
      </c>
      <c r="C20" s="29" t="s">
        <v>2189</v>
      </c>
      <c r="D20" s="29" t="s">
        <v>2190</v>
      </c>
      <c r="E20" s="251" t="s">
        <v>2216</v>
      </c>
    </row>
    <row r="21">
      <c r="A21" s="70">
        <v>46126.0</v>
      </c>
      <c r="B21" s="29" t="s">
        <v>2217</v>
      </c>
      <c r="C21" s="29" t="s">
        <v>2189</v>
      </c>
      <c r="D21" s="29" t="s">
        <v>2190</v>
      </c>
      <c r="E21" s="251" t="s">
        <v>2218</v>
      </c>
    </row>
    <row r="22">
      <c r="A22" s="70">
        <v>46126.0</v>
      </c>
      <c r="B22" s="29" t="s">
        <v>556</v>
      </c>
      <c r="C22" s="29" t="s">
        <v>2189</v>
      </c>
      <c r="D22" s="29" t="s">
        <v>2190</v>
      </c>
      <c r="E22" s="251" t="s">
        <v>2219</v>
      </c>
    </row>
    <row r="23">
      <c r="A23" s="70">
        <v>46126.0</v>
      </c>
      <c r="B23" s="29">
        <v>5.304535682E9</v>
      </c>
      <c r="C23" s="29" t="s">
        <v>2189</v>
      </c>
      <c r="D23" s="29" t="s">
        <v>2190</v>
      </c>
      <c r="E23" s="251" t="s">
        <v>2220</v>
      </c>
    </row>
    <row r="24">
      <c r="A24" s="70">
        <v>46126.0</v>
      </c>
      <c r="B24" s="29" t="s">
        <v>2221</v>
      </c>
      <c r="C24" s="29" t="s">
        <v>2189</v>
      </c>
      <c r="D24" s="29" t="s">
        <v>2190</v>
      </c>
      <c r="E24" s="251" t="s">
        <v>2222</v>
      </c>
    </row>
    <row r="25">
      <c r="A25" s="70">
        <v>46126.0</v>
      </c>
      <c r="B25" s="29" t="s">
        <v>49</v>
      </c>
      <c r="C25" s="29" t="s">
        <v>2189</v>
      </c>
      <c r="D25" s="29" t="s">
        <v>2190</v>
      </c>
      <c r="E25" s="251" t="s">
        <v>2223</v>
      </c>
    </row>
    <row r="26">
      <c r="A26" s="70">
        <v>46126.0</v>
      </c>
      <c r="B26" s="29" t="s">
        <v>2224</v>
      </c>
      <c r="C26" s="29" t="s">
        <v>2189</v>
      </c>
      <c r="D26" s="29" t="s">
        <v>2190</v>
      </c>
      <c r="E26" s="251" t="s">
        <v>2225</v>
      </c>
    </row>
    <row r="27">
      <c r="A27" s="23"/>
      <c r="B27" s="23"/>
      <c r="C27" s="23"/>
      <c r="D27" s="23"/>
      <c r="E27" s="253"/>
      <c r="F27" s="23"/>
    </row>
    <row r="28">
      <c r="A28" s="70">
        <v>46127.0</v>
      </c>
      <c r="B28" s="29" t="s">
        <v>2226</v>
      </c>
      <c r="C28" s="29" t="s">
        <v>2189</v>
      </c>
      <c r="D28" s="29" t="s">
        <v>2190</v>
      </c>
      <c r="E28" s="251" t="s">
        <v>2227</v>
      </c>
    </row>
    <row r="29">
      <c r="A29" s="70">
        <v>46127.0</v>
      </c>
      <c r="B29" s="29" t="s">
        <v>2228</v>
      </c>
      <c r="C29" s="29" t="s">
        <v>2189</v>
      </c>
      <c r="D29" s="29" t="s">
        <v>2190</v>
      </c>
      <c r="E29" s="251" t="s">
        <v>2229</v>
      </c>
    </row>
    <row r="30">
      <c r="A30" s="70">
        <v>46127.0</v>
      </c>
      <c r="B30" s="29" t="s">
        <v>1284</v>
      </c>
      <c r="C30" s="29" t="s">
        <v>2189</v>
      </c>
      <c r="D30" s="29" t="s">
        <v>2190</v>
      </c>
      <c r="E30" s="251" t="s">
        <v>2230</v>
      </c>
    </row>
    <row r="31">
      <c r="A31" s="70">
        <v>46127.0</v>
      </c>
      <c r="B31" s="29">
        <v>5.304538611E9</v>
      </c>
      <c r="C31" s="29" t="s">
        <v>2189</v>
      </c>
      <c r="D31" s="29" t="s">
        <v>2190</v>
      </c>
      <c r="E31" s="251" t="s">
        <v>2232</v>
      </c>
    </row>
    <row r="32">
      <c r="A32" s="70">
        <v>46127.0</v>
      </c>
      <c r="B32" s="29" t="s">
        <v>2233</v>
      </c>
      <c r="C32" s="29" t="s">
        <v>2189</v>
      </c>
      <c r="D32" s="29" t="s">
        <v>2190</v>
      </c>
      <c r="E32" s="251" t="s">
        <v>2234</v>
      </c>
    </row>
    <row r="33">
      <c r="A33" s="70">
        <v>46127.0</v>
      </c>
      <c r="B33" s="29" t="s">
        <v>2236</v>
      </c>
      <c r="C33" s="29" t="s">
        <v>2189</v>
      </c>
      <c r="D33" s="29" t="s">
        <v>2190</v>
      </c>
      <c r="E33" s="251" t="s">
        <v>2227</v>
      </c>
    </row>
    <row r="34">
      <c r="A34" s="70">
        <v>46127.0</v>
      </c>
      <c r="B34" s="29" t="s">
        <v>2237</v>
      </c>
      <c r="C34" s="29" t="s">
        <v>2189</v>
      </c>
      <c r="D34" s="29" t="s">
        <v>2190</v>
      </c>
      <c r="E34" s="251" t="s">
        <v>2238</v>
      </c>
    </row>
    <row r="35">
      <c r="A35" s="70">
        <v>46127.0</v>
      </c>
      <c r="B35" s="29" t="s">
        <v>2115</v>
      </c>
      <c r="C35" s="29" t="s">
        <v>2189</v>
      </c>
      <c r="D35" s="29" t="s">
        <v>2190</v>
      </c>
      <c r="E35" s="251" t="s">
        <v>2242</v>
      </c>
    </row>
    <row r="36">
      <c r="A36" s="70">
        <v>46127.0</v>
      </c>
      <c r="B36" s="29" t="s">
        <v>1391</v>
      </c>
      <c r="C36" s="29" t="s">
        <v>2189</v>
      </c>
      <c r="D36" s="29" t="s">
        <v>2190</v>
      </c>
      <c r="E36" s="251" t="s">
        <v>2245</v>
      </c>
    </row>
    <row r="37">
      <c r="A37" s="70">
        <v>46127.0</v>
      </c>
      <c r="B37" s="29" t="s">
        <v>2247</v>
      </c>
      <c r="C37" s="29" t="s">
        <v>2189</v>
      </c>
      <c r="D37" s="29" t="s">
        <v>2190</v>
      </c>
      <c r="E37" s="251" t="s">
        <v>2249</v>
      </c>
    </row>
    <row r="38">
      <c r="A38" s="70">
        <v>46127.0</v>
      </c>
      <c r="B38" s="29" t="s">
        <v>823</v>
      </c>
      <c r="C38" s="29" t="s">
        <v>2189</v>
      </c>
      <c r="D38" s="29" t="s">
        <v>2190</v>
      </c>
      <c r="E38" s="251" t="s">
        <v>2250</v>
      </c>
    </row>
    <row r="39">
      <c r="A39" s="70">
        <v>46127.0</v>
      </c>
      <c r="B39" s="29">
        <v>5.304523182E9</v>
      </c>
      <c r="C39" s="29" t="s">
        <v>2189</v>
      </c>
      <c r="D39" s="29" t="s">
        <v>2190</v>
      </c>
      <c r="E39" s="251" t="s">
        <v>2252</v>
      </c>
    </row>
    <row r="40">
      <c r="A40" s="70">
        <v>46127.0</v>
      </c>
      <c r="B40" s="29" t="s">
        <v>2253</v>
      </c>
      <c r="C40" s="29" t="s">
        <v>2189</v>
      </c>
      <c r="D40" s="29" t="s">
        <v>2190</v>
      </c>
      <c r="E40" s="251" t="s">
        <v>2254</v>
      </c>
    </row>
    <row r="41">
      <c r="A41" s="70">
        <v>46127.0</v>
      </c>
      <c r="B41" s="29" t="s">
        <v>2255</v>
      </c>
      <c r="C41" s="29" t="s">
        <v>2189</v>
      </c>
      <c r="D41" s="29" t="s">
        <v>2190</v>
      </c>
      <c r="E41" s="251" t="s">
        <v>2227</v>
      </c>
    </row>
    <row r="42">
      <c r="A42" s="70">
        <v>46127.0</v>
      </c>
      <c r="B42" s="29" t="s">
        <v>2256</v>
      </c>
      <c r="C42" s="29" t="s">
        <v>2189</v>
      </c>
      <c r="D42" s="29" t="s">
        <v>2190</v>
      </c>
      <c r="E42" s="251" t="s">
        <v>2194</v>
      </c>
    </row>
    <row r="43">
      <c r="A43" s="70">
        <v>46127.0</v>
      </c>
      <c r="B43" s="29" t="s">
        <v>1839</v>
      </c>
      <c r="C43" s="29" t="s">
        <v>2189</v>
      </c>
      <c r="D43" s="29" t="s">
        <v>2190</v>
      </c>
      <c r="E43" s="251" t="s">
        <v>2258</v>
      </c>
    </row>
    <row r="44">
      <c r="A44" s="70">
        <v>46127.0</v>
      </c>
      <c r="B44" s="29" t="s">
        <v>2259</v>
      </c>
      <c r="C44" s="29" t="s">
        <v>2189</v>
      </c>
      <c r="D44" s="29" t="s">
        <v>2190</v>
      </c>
      <c r="E44" s="251" t="s">
        <v>2260</v>
      </c>
    </row>
    <row r="45">
      <c r="A45" s="70">
        <v>46127.0</v>
      </c>
      <c r="B45" s="29" t="s">
        <v>2261</v>
      </c>
      <c r="C45" s="29" t="s">
        <v>2189</v>
      </c>
      <c r="D45" s="29" t="s">
        <v>2190</v>
      </c>
      <c r="E45" s="251" t="s">
        <v>2262</v>
      </c>
    </row>
    <row r="46">
      <c r="A46" s="70">
        <v>46127.0</v>
      </c>
      <c r="B46" s="29" t="s">
        <v>478</v>
      </c>
      <c r="C46" s="29" t="s">
        <v>2189</v>
      </c>
      <c r="D46" s="29" t="s">
        <v>2190</v>
      </c>
      <c r="E46" s="251" t="s">
        <v>2263</v>
      </c>
    </row>
    <row r="47">
      <c r="A47" s="70">
        <v>46127.0</v>
      </c>
      <c r="B47" s="29">
        <v>5.30452928E9</v>
      </c>
      <c r="C47" s="29" t="s">
        <v>2189</v>
      </c>
      <c r="D47" s="29" t="s">
        <v>2190</v>
      </c>
      <c r="E47" s="251" t="s">
        <v>2232</v>
      </c>
    </row>
    <row r="48">
      <c r="A48" s="70">
        <v>46127.0</v>
      </c>
      <c r="B48" s="29">
        <v>5.304536038E9</v>
      </c>
      <c r="C48" s="29" t="s">
        <v>2189</v>
      </c>
      <c r="D48" s="29" t="s">
        <v>2190</v>
      </c>
      <c r="E48" s="251" t="s">
        <v>2265</v>
      </c>
    </row>
    <row r="49">
      <c r="A49" s="23"/>
      <c r="B49" s="23"/>
      <c r="C49" s="23"/>
      <c r="D49" s="23"/>
      <c r="E49" s="253"/>
      <c r="F49" s="23"/>
    </row>
    <row r="50">
      <c r="A50" s="70">
        <v>46128.0</v>
      </c>
      <c r="B50" s="29">
        <v>2.42219206E8</v>
      </c>
      <c r="C50" s="29" t="s">
        <v>2189</v>
      </c>
      <c r="D50" s="29" t="s">
        <v>2190</v>
      </c>
      <c r="E50" s="251" t="s">
        <v>2196</v>
      </c>
    </row>
    <row r="51">
      <c r="A51" s="70">
        <v>46128.0</v>
      </c>
      <c r="B51" s="29">
        <v>5.304534719E9</v>
      </c>
      <c r="C51" s="29" t="s">
        <v>2189</v>
      </c>
      <c r="D51" s="29" t="s">
        <v>2190</v>
      </c>
      <c r="E51" s="251" t="s">
        <v>2234</v>
      </c>
    </row>
    <row r="52">
      <c r="A52" s="70">
        <v>46128.0</v>
      </c>
      <c r="B52" s="29" t="s">
        <v>921</v>
      </c>
      <c r="C52" s="29" t="s">
        <v>2189</v>
      </c>
      <c r="D52" s="29" t="s">
        <v>2190</v>
      </c>
      <c r="E52" s="251" t="s">
        <v>2267</v>
      </c>
    </row>
    <row r="53">
      <c r="A53" s="70">
        <v>46128.0</v>
      </c>
      <c r="B53" s="29" t="s">
        <v>2268</v>
      </c>
      <c r="C53" s="29" t="s">
        <v>2189</v>
      </c>
      <c r="D53" s="29" t="s">
        <v>2190</v>
      </c>
      <c r="E53" s="251" t="s">
        <v>2269</v>
      </c>
    </row>
    <row r="54">
      <c r="A54" s="70">
        <v>46128.0</v>
      </c>
      <c r="B54" s="29" t="s">
        <v>1848</v>
      </c>
      <c r="C54" s="29" t="s">
        <v>2189</v>
      </c>
      <c r="D54" s="29" t="s">
        <v>2190</v>
      </c>
      <c r="E54" s="251" t="s">
        <v>2270</v>
      </c>
    </row>
    <row r="55">
      <c r="A55" s="70">
        <v>46128.0</v>
      </c>
      <c r="B55" s="29" t="s">
        <v>2099</v>
      </c>
      <c r="C55" s="29" t="s">
        <v>2189</v>
      </c>
      <c r="D55" s="29" t="s">
        <v>2190</v>
      </c>
      <c r="E55" s="251" t="s">
        <v>2271</v>
      </c>
    </row>
    <row r="56">
      <c r="A56" s="70">
        <v>46128.0</v>
      </c>
      <c r="B56" s="29" t="s">
        <v>362</v>
      </c>
      <c r="C56" s="29" t="s">
        <v>2189</v>
      </c>
      <c r="D56" s="29" t="s">
        <v>2190</v>
      </c>
      <c r="E56" s="251" t="s">
        <v>2270</v>
      </c>
    </row>
    <row r="57">
      <c r="A57" s="70">
        <v>46128.0</v>
      </c>
      <c r="B57" s="29" t="s">
        <v>2273</v>
      </c>
      <c r="C57" s="29" t="s">
        <v>2189</v>
      </c>
      <c r="D57" s="29" t="s">
        <v>2190</v>
      </c>
      <c r="E57" s="251" t="s">
        <v>2270</v>
      </c>
    </row>
    <row r="58">
      <c r="A58" s="70">
        <v>46128.0</v>
      </c>
      <c r="B58" s="29">
        <v>5.30453473E9</v>
      </c>
      <c r="C58" s="29" t="s">
        <v>2189</v>
      </c>
      <c r="D58" s="29" t="s">
        <v>2190</v>
      </c>
      <c r="E58" s="251" t="s">
        <v>2196</v>
      </c>
    </row>
    <row r="59">
      <c r="A59" s="70">
        <v>46128.0</v>
      </c>
      <c r="B59" s="29" t="s">
        <v>2274</v>
      </c>
      <c r="C59" s="29" t="s">
        <v>2189</v>
      </c>
      <c r="D59" s="29" t="s">
        <v>2190</v>
      </c>
      <c r="E59" s="251" t="s">
        <v>2225</v>
      </c>
    </row>
    <row r="60">
      <c r="A60" s="70">
        <v>46128.0</v>
      </c>
      <c r="B60" s="29">
        <v>5.30453553E9</v>
      </c>
      <c r="C60" s="29" t="s">
        <v>2189</v>
      </c>
      <c r="D60" s="29" t="s">
        <v>2190</v>
      </c>
      <c r="E60" s="251" t="s">
        <v>2238</v>
      </c>
    </row>
    <row r="61">
      <c r="A61" s="70">
        <v>46128.0</v>
      </c>
      <c r="B61" s="29">
        <v>5.304533235E9</v>
      </c>
      <c r="C61" s="29" t="s">
        <v>2189</v>
      </c>
      <c r="D61" s="29" t="s">
        <v>2190</v>
      </c>
      <c r="E61" s="251" t="s">
        <v>2209</v>
      </c>
    </row>
    <row r="62">
      <c r="A62" s="70">
        <v>46128.0</v>
      </c>
      <c r="B62" s="29">
        <v>5.304527038E9</v>
      </c>
      <c r="C62" s="29" t="s">
        <v>2189</v>
      </c>
      <c r="D62" s="29" t="s">
        <v>2190</v>
      </c>
      <c r="E62" s="251" t="s">
        <v>2276</v>
      </c>
    </row>
    <row r="63">
      <c r="A63" s="70">
        <v>46128.0</v>
      </c>
      <c r="B63" s="29" t="s">
        <v>2277</v>
      </c>
      <c r="C63" s="29" t="s">
        <v>2189</v>
      </c>
      <c r="D63" s="29" t="s">
        <v>2190</v>
      </c>
      <c r="E63" s="251" t="s">
        <v>2230</v>
      </c>
    </row>
    <row r="64">
      <c r="A64" s="70">
        <v>46128.0</v>
      </c>
      <c r="B64" s="29" t="s">
        <v>2278</v>
      </c>
      <c r="C64" s="29" t="s">
        <v>2189</v>
      </c>
      <c r="D64" s="29" t="s">
        <v>2190</v>
      </c>
      <c r="E64" s="251" t="s">
        <v>2279</v>
      </c>
    </row>
    <row r="65">
      <c r="A65" s="70">
        <v>46128.0</v>
      </c>
      <c r="B65" s="29">
        <v>5.304536562E9</v>
      </c>
      <c r="C65" s="29" t="s">
        <v>2189</v>
      </c>
      <c r="D65" s="29" t="s">
        <v>2190</v>
      </c>
      <c r="E65" s="251" t="s">
        <v>2280</v>
      </c>
    </row>
    <row r="66">
      <c r="A66" s="70">
        <v>46128.0</v>
      </c>
      <c r="B66" s="29">
        <v>5.304534537E9</v>
      </c>
      <c r="C66" s="29" t="s">
        <v>2189</v>
      </c>
      <c r="D66" s="29" t="s">
        <v>2190</v>
      </c>
      <c r="E66" s="251" t="s">
        <v>2281</v>
      </c>
    </row>
    <row r="67">
      <c r="A67" s="70">
        <v>46128.0</v>
      </c>
      <c r="B67" s="258" t="s">
        <v>2282</v>
      </c>
      <c r="C67" s="29" t="s">
        <v>2189</v>
      </c>
      <c r="D67" s="29" t="s">
        <v>2190</v>
      </c>
      <c r="E67" s="251" t="s">
        <v>2289</v>
      </c>
    </row>
    <row r="68">
      <c r="A68" s="70">
        <v>46128.0</v>
      </c>
      <c r="B68" s="259" t="s">
        <v>2291</v>
      </c>
      <c r="C68" s="29" t="s">
        <v>2189</v>
      </c>
      <c r="D68" s="29" t="s">
        <v>2190</v>
      </c>
      <c r="E68" s="251" t="s">
        <v>2292</v>
      </c>
    </row>
    <row r="69">
      <c r="A69" s="70">
        <v>46128.0</v>
      </c>
      <c r="B69" s="29" t="s">
        <v>109</v>
      </c>
      <c r="C69" s="29" t="s">
        <v>2189</v>
      </c>
      <c r="D69" s="29" t="s">
        <v>2190</v>
      </c>
      <c r="E69" s="251" t="s">
        <v>2293</v>
      </c>
    </row>
    <row r="70">
      <c r="A70" s="70">
        <v>46128.0</v>
      </c>
      <c r="B70" s="29" t="s">
        <v>2294</v>
      </c>
      <c r="C70" s="29" t="s">
        <v>2189</v>
      </c>
      <c r="D70" s="29" t="s">
        <v>2190</v>
      </c>
      <c r="E70" s="251" t="s">
        <v>2220</v>
      </c>
    </row>
    <row r="71">
      <c r="A71" s="23"/>
      <c r="B71" s="23"/>
      <c r="C71" s="23"/>
      <c r="D71" s="23"/>
      <c r="E71" s="253"/>
      <c r="F71" s="23"/>
    </row>
    <row r="72">
      <c r="A72" s="70">
        <v>46129.0</v>
      </c>
      <c r="B72" s="29">
        <v>1.213100004336E13</v>
      </c>
      <c r="C72" s="29" t="s">
        <v>2189</v>
      </c>
      <c r="D72" s="29" t="s">
        <v>2190</v>
      </c>
      <c r="E72" s="251" t="s">
        <v>2207</v>
      </c>
    </row>
    <row r="73">
      <c r="A73" s="70">
        <v>46129.0</v>
      </c>
      <c r="B73" s="29" t="s">
        <v>2296</v>
      </c>
      <c r="C73" s="29" t="s">
        <v>2189</v>
      </c>
      <c r="D73" s="29" t="s">
        <v>2190</v>
      </c>
      <c r="E73" s="251" t="s">
        <v>2297</v>
      </c>
    </row>
    <row r="74">
      <c r="A74" s="70">
        <v>46129.0</v>
      </c>
      <c r="B74" s="29" t="s">
        <v>432</v>
      </c>
      <c r="C74" s="29" t="s">
        <v>2189</v>
      </c>
      <c r="D74" s="29" t="s">
        <v>2190</v>
      </c>
      <c r="E74" s="251" t="s">
        <v>2298</v>
      </c>
    </row>
    <row r="75">
      <c r="A75" s="70">
        <v>46129.0</v>
      </c>
      <c r="B75" s="29">
        <v>5.304527168E9</v>
      </c>
      <c r="C75" s="29" t="s">
        <v>2189</v>
      </c>
      <c r="D75" s="29" t="s">
        <v>2190</v>
      </c>
      <c r="E75" s="251" t="s">
        <v>2249</v>
      </c>
    </row>
    <row r="76">
      <c r="A76" s="70">
        <v>46129.0</v>
      </c>
      <c r="B76" s="29">
        <v>5.304532555E9</v>
      </c>
      <c r="C76" s="29" t="s">
        <v>2189</v>
      </c>
      <c r="D76" s="29" t="s">
        <v>2190</v>
      </c>
      <c r="E76" s="251" t="s">
        <v>2300</v>
      </c>
    </row>
    <row r="77">
      <c r="A77" s="70">
        <v>46129.0</v>
      </c>
      <c r="B77" s="29" t="s">
        <v>2301</v>
      </c>
      <c r="C77" s="29" t="s">
        <v>2189</v>
      </c>
      <c r="D77" s="29" t="s">
        <v>2190</v>
      </c>
      <c r="E77" s="251" t="s">
        <v>2234</v>
      </c>
    </row>
    <row r="78">
      <c r="A78" s="70">
        <v>46129.0</v>
      </c>
      <c r="B78" s="29" t="s">
        <v>2302</v>
      </c>
      <c r="C78" s="29" t="s">
        <v>2189</v>
      </c>
      <c r="D78" s="29" t="s">
        <v>2190</v>
      </c>
      <c r="E78" s="251" t="s">
        <v>2196</v>
      </c>
    </row>
    <row r="79">
      <c r="A79" s="70">
        <v>46129.0</v>
      </c>
      <c r="B79" s="29" t="s">
        <v>983</v>
      </c>
      <c r="C79" s="29" t="s">
        <v>2189</v>
      </c>
      <c r="D79" s="29" t="s">
        <v>2190</v>
      </c>
      <c r="E79" s="251" t="s">
        <v>2222</v>
      </c>
    </row>
    <row r="80">
      <c r="A80" s="70">
        <v>46129.0</v>
      </c>
      <c r="B80" s="29" t="s">
        <v>2303</v>
      </c>
      <c r="C80" s="29" t="s">
        <v>2189</v>
      </c>
      <c r="D80" s="29" t="s">
        <v>2190</v>
      </c>
      <c r="E80" s="251" t="s">
        <v>2304</v>
      </c>
    </row>
    <row r="81">
      <c r="A81" s="70">
        <v>46129.0</v>
      </c>
      <c r="B81" s="29">
        <v>2.43297608E8</v>
      </c>
      <c r="C81" s="29" t="s">
        <v>2189</v>
      </c>
      <c r="D81" s="29" t="s">
        <v>2190</v>
      </c>
      <c r="E81" s="251" t="s">
        <v>2225</v>
      </c>
    </row>
    <row r="82">
      <c r="A82" s="70">
        <v>46129.0</v>
      </c>
      <c r="B82" s="29" t="s">
        <v>403</v>
      </c>
      <c r="C82" s="29" t="s">
        <v>2189</v>
      </c>
      <c r="D82" s="29" t="s">
        <v>2190</v>
      </c>
      <c r="E82" s="251" t="s">
        <v>2260</v>
      </c>
    </row>
    <row r="83">
      <c r="A83" s="70">
        <v>46129.0</v>
      </c>
      <c r="B83" s="29" t="s">
        <v>2306</v>
      </c>
      <c r="C83" s="29" t="s">
        <v>2189</v>
      </c>
      <c r="D83" s="29" t="s">
        <v>2190</v>
      </c>
      <c r="E83" s="251" t="s">
        <v>2307</v>
      </c>
    </row>
    <row r="84">
      <c r="A84" s="70">
        <v>46129.0</v>
      </c>
      <c r="B84" s="29" t="s">
        <v>2308</v>
      </c>
      <c r="C84" s="29" t="s">
        <v>2189</v>
      </c>
      <c r="D84" s="29" t="s">
        <v>2190</v>
      </c>
      <c r="E84" s="251" t="s">
        <v>2309</v>
      </c>
    </row>
    <row r="85">
      <c r="A85" s="70">
        <v>46129.0</v>
      </c>
      <c r="B85" s="29" t="s">
        <v>2310</v>
      </c>
      <c r="C85" s="29" t="s">
        <v>2189</v>
      </c>
      <c r="D85" s="29" t="s">
        <v>2190</v>
      </c>
      <c r="E85" s="251" t="s">
        <v>2249</v>
      </c>
    </row>
    <row r="86">
      <c r="A86" s="70">
        <v>46129.0</v>
      </c>
      <c r="B86" s="29" t="s">
        <v>651</v>
      </c>
      <c r="C86" s="29" t="s">
        <v>2189</v>
      </c>
      <c r="D86" s="29" t="s">
        <v>2190</v>
      </c>
      <c r="E86" s="251" t="s">
        <v>2311</v>
      </c>
    </row>
    <row r="87">
      <c r="A87" s="98"/>
      <c r="B87" s="23"/>
      <c r="C87" s="23"/>
      <c r="D87" s="23"/>
      <c r="E87" s="253"/>
      <c r="F87" s="23"/>
    </row>
    <row r="88">
      <c r="A88" s="70">
        <v>46132.0</v>
      </c>
      <c r="B88" s="29" t="s">
        <v>303</v>
      </c>
      <c r="C88" s="29" t="s">
        <v>2189</v>
      </c>
      <c r="D88" s="29" t="s">
        <v>2190</v>
      </c>
      <c r="E88" s="251" t="s">
        <v>2201</v>
      </c>
    </row>
    <row r="89">
      <c r="A89" s="70">
        <v>46132.0</v>
      </c>
      <c r="B89" s="29" t="s">
        <v>57</v>
      </c>
      <c r="C89" s="29" t="s">
        <v>2189</v>
      </c>
      <c r="D89" s="29" t="s">
        <v>2190</v>
      </c>
      <c r="E89" s="251" t="s">
        <v>2192</v>
      </c>
    </row>
    <row r="90">
      <c r="A90" s="70">
        <v>46132.0</v>
      </c>
      <c r="B90" s="29" t="s">
        <v>2312</v>
      </c>
      <c r="C90" s="29" t="s">
        <v>2189</v>
      </c>
      <c r="D90" s="29" t="s">
        <v>2190</v>
      </c>
      <c r="E90" s="251" t="s">
        <v>2211</v>
      </c>
    </row>
    <row r="91">
      <c r="A91" s="70">
        <v>46132.0</v>
      </c>
      <c r="B91" s="29" t="s">
        <v>2314</v>
      </c>
      <c r="C91" s="29" t="s">
        <v>2189</v>
      </c>
      <c r="D91" s="29" t="s">
        <v>2190</v>
      </c>
      <c r="E91" s="251" t="s">
        <v>2196</v>
      </c>
    </row>
    <row r="92">
      <c r="A92" s="70">
        <v>46132.0</v>
      </c>
      <c r="B92" s="29" t="s">
        <v>421</v>
      </c>
      <c r="C92" s="29" t="s">
        <v>2189</v>
      </c>
      <c r="D92" s="29" t="s">
        <v>2190</v>
      </c>
      <c r="E92" s="251" t="s">
        <v>2315</v>
      </c>
    </row>
    <row r="93">
      <c r="A93" s="70">
        <v>46132.0</v>
      </c>
      <c r="B93" s="29" t="s">
        <v>729</v>
      </c>
      <c r="C93" s="29" t="s">
        <v>2189</v>
      </c>
      <c r="D93" s="29" t="s">
        <v>2190</v>
      </c>
      <c r="E93" s="251" t="s">
        <v>2201</v>
      </c>
    </row>
    <row r="94">
      <c r="A94" s="70">
        <v>46132.0</v>
      </c>
      <c r="B94" s="29" t="s">
        <v>2317</v>
      </c>
      <c r="C94" s="29" t="s">
        <v>2189</v>
      </c>
      <c r="D94" s="29" t="s">
        <v>2190</v>
      </c>
      <c r="E94" s="251" t="s">
        <v>2318</v>
      </c>
    </row>
    <row r="95">
      <c r="A95" s="70">
        <v>46132.0</v>
      </c>
      <c r="B95" s="29" t="s">
        <v>2319</v>
      </c>
      <c r="C95" s="29" t="s">
        <v>2189</v>
      </c>
      <c r="D95" s="29" t="s">
        <v>2190</v>
      </c>
      <c r="E95" s="251" t="s">
        <v>2209</v>
      </c>
    </row>
    <row r="96">
      <c r="A96" s="70">
        <v>46132.0</v>
      </c>
      <c r="B96" s="262" t="s">
        <v>2320</v>
      </c>
      <c r="C96" s="29" t="s">
        <v>2189</v>
      </c>
      <c r="D96" s="29" t="s">
        <v>2190</v>
      </c>
      <c r="E96" s="251" t="s">
        <v>2321</v>
      </c>
    </row>
    <row r="97">
      <c r="A97" s="70">
        <v>46132.0</v>
      </c>
      <c r="B97" s="29">
        <v>1.4011077617E11</v>
      </c>
      <c r="C97" s="29" t="s">
        <v>2189</v>
      </c>
      <c r="D97" s="29" t="s">
        <v>2190</v>
      </c>
      <c r="E97" s="251" t="s">
        <v>2203</v>
      </c>
    </row>
    <row r="98">
      <c r="A98" s="70">
        <v>46132.0</v>
      </c>
      <c r="B98" s="29" t="s">
        <v>135</v>
      </c>
      <c r="C98" s="29" t="s">
        <v>2189</v>
      </c>
      <c r="D98" s="29" t="s">
        <v>2190</v>
      </c>
      <c r="E98" s="251" t="s">
        <v>2321</v>
      </c>
    </row>
    <row r="99">
      <c r="A99" s="70">
        <v>46132.0</v>
      </c>
      <c r="B99" s="29">
        <v>5.304526053E9</v>
      </c>
      <c r="C99" s="29" t="s">
        <v>2189</v>
      </c>
      <c r="D99" s="29" t="s">
        <v>2190</v>
      </c>
      <c r="E99" s="251" t="s">
        <v>2192</v>
      </c>
    </row>
    <row r="100">
      <c r="A100" s="98"/>
      <c r="B100" s="23"/>
      <c r="C100" s="151"/>
      <c r="D100" s="151"/>
      <c r="E100" s="253"/>
      <c r="F100" s="23"/>
    </row>
    <row r="101">
      <c r="A101" s="70">
        <v>46133.0</v>
      </c>
      <c r="B101" s="29">
        <v>5.304525994E9</v>
      </c>
      <c r="C101" s="29" t="s">
        <v>2189</v>
      </c>
      <c r="D101" s="29" t="s">
        <v>2190</v>
      </c>
      <c r="E101" s="251" t="s">
        <v>2324</v>
      </c>
    </row>
    <row r="102">
      <c r="A102" s="70">
        <v>46133.0</v>
      </c>
      <c r="B102" s="29" t="s">
        <v>2325</v>
      </c>
      <c r="C102" s="29" t="s">
        <v>2189</v>
      </c>
      <c r="D102" s="29" t="s">
        <v>2190</v>
      </c>
      <c r="E102" s="251" t="s">
        <v>2219</v>
      </c>
    </row>
    <row r="103">
      <c r="A103" s="70">
        <v>46133.0</v>
      </c>
      <c r="B103" s="29" t="s">
        <v>2326</v>
      </c>
      <c r="C103" s="29" t="s">
        <v>2189</v>
      </c>
      <c r="D103" s="29" t="s">
        <v>2190</v>
      </c>
      <c r="E103" s="251" t="s">
        <v>2242</v>
      </c>
    </row>
    <row r="104">
      <c r="A104" s="70">
        <v>46133.0</v>
      </c>
      <c r="B104" s="29" t="s">
        <v>531</v>
      </c>
      <c r="C104" s="29" t="s">
        <v>2189</v>
      </c>
      <c r="D104" s="29" t="s">
        <v>2190</v>
      </c>
      <c r="E104" s="251" t="s">
        <v>2207</v>
      </c>
    </row>
    <row r="105">
      <c r="A105" s="70">
        <v>46133.0</v>
      </c>
      <c r="B105" s="29" t="s">
        <v>2327</v>
      </c>
      <c r="C105" s="29" t="s">
        <v>2189</v>
      </c>
      <c r="D105" s="29" t="s">
        <v>2190</v>
      </c>
      <c r="E105" s="251" t="s">
        <v>2219</v>
      </c>
    </row>
    <row r="106">
      <c r="A106" s="70">
        <v>46133.0</v>
      </c>
      <c r="B106" s="29" t="s">
        <v>2328</v>
      </c>
      <c r="C106" s="29" t="s">
        <v>2189</v>
      </c>
      <c r="D106" s="29" t="s">
        <v>2190</v>
      </c>
      <c r="E106" s="251" t="s">
        <v>2194</v>
      </c>
    </row>
    <row r="107">
      <c r="A107" s="70">
        <v>46133.0</v>
      </c>
      <c r="B107" s="29" t="s">
        <v>2330</v>
      </c>
      <c r="C107" s="29" t="s">
        <v>2189</v>
      </c>
      <c r="D107" s="29" t="s">
        <v>2190</v>
      </c>
      <c r="E107" s="251" t="s">
        <v>2331</v>
      </c>
    </row>
    <row r="108">
      <c r="A108" s="70">
        <v>46133.0</v>
      </c>
      <c r="B108" s="29">
        <v>5.304538492E9</v>
      </c>
      <c r="C108" s="29" t="s">
        <v>2189</v>
      </c>
      <c r="D108" s="29" t="s">
        <v>2190</v>
      </c>
      <c r="E108" s="251" t="s">
        <v>2219</v>
      </c>
    </row>
    <row r="109">
      <c r="A109" s="70">
        <v>46133.0</v>
      </c>
      <c r="B109" s="13" t="s">
        <v>2332</v>
      </c>
      <c r="C109" s="29" t="s">
        <v>2189</v>
      </c>
      <c r="D109" s="29" t="s">
        <v>2190</v>
      </c>
      <c r="E109" s="251" t="s">
        <v>2234</v>
      </c>
    </row>
    <row r="110">
      <c r="A110" s="70">
        <v>46133.0</v>
      </c>
      <c r="B110" s="29" t="s">
        <v>307</v>
      </c>
      <c r="C110" s="29" t="s">
        <v>2189</v>
      </c>
      <c r="D110" s="29" t="s">
        <v>2190</v>
      </c>
      <c r="E110" s="251" t="s">
        <v>2238</v>
      </c>
    </row>
    <row r="111">
      <c r="A111" s="70">
        <v>46133.0</v>
      </c>
      <c r="B111" s="29" t="s">
        <v>829</v>
      </c>
      <c r="C111" s="29" t="s">
        <v>2189</v>
      </c>
      <c r="D111" s="29" t="s">
        <v>2190</v>
      </c>
      <c r="E111" s="251" t="s">
        <v>2334</v>
      </c>
    </row>
    <row r="112">
      <c r="A112" s="70">
        <v>46133.0</v>
      </c>
      <c r="B112" s="29" t="s">
        <v>813</v>
      </c>
      <c r="C112" s="29" t="s">
        <v>2189</v>
      </c>
      <c r="D112" s="29" t="s">
        <v>2190</v>
      </c>
      <c r="E112" s="251" t="s">
        <v>2336</v>
      </c>
      <c r="F112" s="29">
        <v>3.0</v>
      </c>
    </row>
    <row r="113">
      <c r="A113" s="70">
        <v>46133.0</v>
      </c>
      <c r="B113" s="29">
        <v>1.40156010062E11</v>
      </c>
      <c r="C113" s="29" t="s">
        <v>2189</v>
      </c>
      <c r="D113" s="29" t="s">
        <v>2190</v>
      </c>
      <c r="E113" s="251" t="s">
        <v>2309</v>
      </c>
    </row>
    <row r="114">
      <c r="A114" s="70">
        <v>46133.0</v>
      </c>
      <c r="B114" s="29" t="s">
        <v>2337</v>
      </c>
      <c r="C114" s="29" t="s">
        <v>2189</v>
      </c>
      <c r="D114" s="29" t="s">
        <v>2190</v>
      </c>
      <c r="E114" s="251" t="s">
        <v>2318</v>
      </c>
    </row>
    <row r="115">
      <c r="A115" s="70">
        <v>46133.0</v>
      </c>
      <c r="B115" s="29" t="s">
        <v>2338</v>
      </c>
      <c r="C115" s="29" t="s">
        <v>2189</v>
      </c>
      <c r="D115" s="29" t="s">
        <v>2190</v>
      </c>
      <c r="E115" s="251" t="s">
        <v>2207</v>
      </c>
    </row>
    <row r="116">
      <c r="A116" s="70">
        <v>46133.0</v>
      </c>
      <c r="B116" s="29" t="s">
        <v>2339</v>
      </c>
      <c r="C116" s="29" t="s">
        <v>2189</v>
      </c>
      <c r="D116" s="29" t="s">
        <v>2190</v>
      </c>
      <c r="E116" s="251" t="s">
        <v>2269</v>
      </c>
    </row>
    <row r="117">
      <c r="A117" s="70">
        <v>46133.0</v>
      </c>
      <c r="B117" s="29" t="s">
        <v>1822</v>
      </c>
      <c r="C117" s="29" t="s">
        <v>2189</v>
      </c>
      <c r="D117" s="29" t="s">
        <v>2190</v>
      </c>
      <c r="E117" s="251" t="s">
        <v>2318</v>
      </c>
    </row>
    <row r="118">
      <c r="A118" s="70">
        <v>46133.0</v>
      </c>
      <c r="B118" s="29" t="s">
        <v>428</v>
      </c>
      <c r="C118" s="29" t="s">
        <v>2189</v>
      </c>
      <c r="D118" s="29" t="s">
        <v>2190</v>
      </c>
      <c r="E118" s="251" t="s">
        <v>2342</v>
      </c>
    </row>
    <row r="119">
      <c r="A119" s="70">
        <v>46133.0</v>
      </c>
      <c r="B119" s="29" t="s">
        <v>880</v>
      </c>
      <c r="C119" s="29" t="s">
        <v>2189</v>
      </c>
      <c r="D119" s="29" t="s">
        <v>2190</v>
      </c>
      <c r="E119" s="251" t="s">
        <v>2343</v>
      </c>
    </row>
    <row r="120">
      <c r="A120" s="70">
        <v>46133.0</v>
      </c>
      <c r="B120" s="29">
        <v>5.304536607E9</v>
      </c>
      <c r="C120" s="29" t="s">
        <v>2189</v>
      </c>
      <c r="D120" s="29" t="s">
        <v>2190</v>
      </c>
      <c r="E120" s="251" t="s">
        <v>2345</v>
      </c>
    </row>
    <row r="121">
      <c r="A121" s="23"/>
      <c r="B121" s="23"/>
      <c r="C121" s="23"/>
      <c r="D121" s="23"/>
      <c r="E121" s="253"/>
      <c r="F121" s="23"/>
    </row>
    <row r="122">
      <c r="A122" s="70">
        <v>46134.0</v>
      </c>
      <c r="B122" s="29" t="s">
        <v>2082</v>
      </c>
      <c r="C122" s="29" t="s">
        <v>2189</v>
      </c>
      <c r="D122" s="29" t="s">
        <v>2190</v>
      </c>
      <c r="E122" s="251" t="s">
        <v>2242</v>
      </c>
      <c r="F122" s="29">
        <v>2.0</v>
      </c>
    </row>
    <row r="123">
      <c r="A123" s="70">
        <v>46134.0</v>
      </c>
      <c r="B123" s="29" t="s">
        <v>2346</v>
      </c>
      <c r="C123" s="29" t="s">
        <v>2189</v>
      </c>
      <c r="D123" s="29" t="s">
        <v>2190</v>
      </c>
      <c r="E123" s="251" t="s">
        <v>2242</v>
      </c>
    </row>
    <row r="124">
      <c r="A124" s="70">
        <v>46134.0</v>
      </c>
      <c r="B124" s="29" t="s">
        <v>2347</v>
      </c>
      <c r="C124" s="29" t="s">
        <v>2189</v>
      </c>
      <c r="D124" s="29" t="s">
        <v>2190</v>
      </c>
      <c r="E124" s="251" t="s">
        <v>2348</v>
      </c>
    </row>
    <row r="125">
      <c r="A125" s="70">
        <v>46134.0</v>
      </c>
      <c r="B125" s="29">
        <v>5.304534889E9</v>
      </c>
      <c r="C125" s="29" t="s">
        <v>2189</v>
      </c>
      <c r="D125" s="29" t="s">
        <v>2190</v>
      </c>
      <c r="E125" s="251" t="s">
        <v>2349</v>
      </c>
    </row>
    <row r="126">
      <c r="A126" s="70">
        <v>46134.0</v>
      </c>
      <c r="B126" s="29" t="s">
        <v>2350</v>
      </c>
      <c r="C126" s="29" t="s">
        <v>2189</v>
      </c>
      <c r="D126" s="29" t="s">
        <v>2190</v>
      </c>
      <c r="E126" s="251" t="s">
        <v>2211</v>
      </c>
    </row>
    <row r="127">
      <c r="A127" s="70">
        <v>46134.0</v>
      </c>
      <c r="B127" s="29">
        <v>5.304516131E9</v>
      </c>
      <c r="C127" s="29" t="s">
        <v>2189</v>
      </c>
      <c r="D127" s="29" t="s">
        <v>2190</v>
      </c>
      <c r="E127" s="251" t="s">
        <v>2227</v>
      </c>
    </row>
    <row r="128">
      <c r="A128" s="70">
        <v>46134.0</v>
      </c>
      <c r="B128" s="29" t="s">
        <v>2351</v>
      </c>
      <c r="C128" s="29" t="s">
        <v>2189</v>
      </c>
      <c r="D128" s="29" t="s">
        <v>2190</v>
      </c>
      <c r="E128" s="251" t="s">
        <v>2234</v>
      </c>
    </row>
    <row r="129">
      <c r="A129" s="70">
        <v>46134.0</v>
      </c>
      <c r="B129" s="29" t="s">
        <v>1840</v>
      </c>
      <c r="C129" s="29" t="s">
        <v>2189</v>
      </c>
      <c r="D129" s="29" t="s">
        <v>2190</v>
      </c>
      <c r="E129" s="251" t="s">
        <v>2348</v>
      </c>
    </row>
    <row r="130">
      <c r="A130" s="70">
        <v>46134.0</v>
      </c>
      <c r="B130" s="29" t="s">
        <v>1461</v>
      </c>
      <c r="C130" s="29" t="s">
        <v>2189</v>
      </c>
      <c r="D130" s="29" t="s">
        <v>2190</v>
      </c>
      <c r="E130" s="251" t="s">
        <v>2331</v>
      </c>
    </row>
    <row r="131">
      <c r="A131" s="70">
        <v>46134.0</v>
      </c>
      <c r="B131" s="29" t="s">
        <v>539</v>
      </c>
      <c r="C131" s="29" t="s">
        <v>2189</v>
      </c>
      <c r="D131" s="29" t="s">
        <v>2190</v>
      </c>
      <c r="E131" s="251" t="s">
        <v>2242</v>
      </c>
    </row>
    <row r="132">
      <c r="A132" s="70">
        <v>46134.0</v>
      </c>
      <c r="B132" s="29" t="s">
        <v>2352</v>
      </c>
      <c r="C132" s="29" t="s">
        <v>2189</v>
      </c>
      <c r="D132" s="29" t="s">
        <v>2190</v>
      </c>
      <c r="E132" s="251" t="s">
        <v>2194</v>
      </c>
    </row>
    <row r="133">
      <c r="A133" s="70">
        <v>46134.0</v>
      </c>
      <c r="B133" s="29">
        <v>5.30451427E9</v>
      </c>
      <c r="C133" s="29" t="s">
        <v>2189</v>
      </c>
      <c r="D133" s="29" t="s">
        <v>2190</v>
      </c>
      <c r="E133" s="251" t="s">
        <v>2201</v>
      </c>
    </row>
    <row r="134">
      <c r="A134" s="70">
        <v>46134.0</v>
      </c>
      <c r="B134" s="29">
        <v>5.30452826E9</v>
      </c>
      <c r="C134" s="29" t="s">
        <v>2189</v>
      </c>
      <c r="D134" s="29" t="s">
        <v>2190</v>
      </c>
      <c r="E134" s="251" t="s">
        <v>2331</v>
      </c>
    </row>
    <row r="135">
      <c r="A135" s="70">
        <v>46134.0</v>
      </c>
      <c r="B135" s="29" t="s">
        <v>1922</v>
      </c>
      <c r="C135" s="29" t="s">
        <v>2189</v>
      </c>
      <c r="D135" s="29" t="s">
        <v>2190</v>
      </c>
      <c r="E135" s="251" t="s">
        <v>2234</v>
      </c>
    </row>
    <row r="136">
      <c r="A136" s="70">
        <v>46134.0</v>
      </c>
      <c r="B136" s="29" t="s">
        <v>981</v>
      </c>
      <c r="C136" s="29" t="s">
        <v>2189</v>
      </c>
      <c r="D136" s="29" t="s">
        <v>2190</v>
      </c>
      <c r="E136" s="251" t="s">
        <v>2199</v>
      </c>
    </row>
    <row r="137">
      <c r="A137" s="70">
        <v>46134.0</v>
      </c>
      <c r="B137" s="29" t="s">
        <v>1781</v>
      </c>
      <c r="C137" s="29" t="s">
        <v>2189</v>
      </c>
      <c r="D137" s="29" t="s">
        <v>2190</v>
      </c>
      <c r="E137" s="251" t="s">
        <v>2355</v>
      </c>
    </row>
    <row r="138">
      <c r="A138" s="70">
        <v>46134.0</v>
      </c>
      <c r="B138" s="29">
        <v>5.304506135E9</v>
      </c>
      <c r="C138" s="29" t="s">
        <v>2189</v>
      </c>
      <c r="D138" s="29" t="s">
        <v>2190</v>
      </c>
      <c r="E138" s="251" t="s">
        <v>2356</v>
      </c>
    </row>
    <row r="139">
      <c r="A139" s="70">
        <v>46134.0</v>
      </c>
      <c r="B139" s="29" t="s">
        <v>2358</v>
      </c>
      <c r="C139" s="29" t="s">
        <v>2189</v>
      </c>
      <c r="D139" s="29" t="s">
        <v>2190</v>
      </c>
      <c r="E139" s="251" t="s">
        <v>2219</v>
      </c>
    </row>
    <row r="140">
      <c r="A140" s="70">
        <v>46134.0</v>
      </c>
      <c r="B140" s="29" t="s">
        <v>2359</v>
      </c>
      <c r="C140" s="29" t="s">
        <v>2189</v>
      </c>
      <c r="D140" s="29" t="s">
        <v>2190</v>
      </c>
      <c r="E140" s="251" t="s">
        <v>2225</v>
      </c>
    </row>
    <row r="141">
      <c r="A141" s="70">
        <v>46134.0</v>
      </c>
      <c r="B141" s="29" t="s">
        <v>2360</v>
      </c>
      <c r="C141" s="29" t="s">
        <v>2189</v>
      </c>
      <c r="D141" s="29" t="s">
        <v>2190</v>
      </c>
      <c r="E141" s="251" t="s">
        <v>2242</v>
      </c>
    </row>
    <row r="142">
      <c r="A142" s="70">
        <v>46134.0</v>
      </c>
      <c r="B142" s="29" t="s">
        <v>1137</v>
      </c>
      <c r="C142" s="29" t="s">
        <v>2189</v>
      </c>
      <c r="D142" s="29" t="s">
        <v>2190</v>
      </c>
      <c r="E142" s="251" t="s">
        <v>2205</v>
      </c>
    </row>
    <row r="143">
      <c r="A143" s="70">
        <v>46134.0</v>
      </c>
      <c r="B143" s="29" t="s">
        <v>2362</v>
      </c>
      <c r="C143" s="29" t="s">
        <v>2189</v>
      </c>
      <c r="D143" s="29" t="s">
        <v>2190</v>
      </c>
      <c r="E143" s="251" t="s">
        <v>2225</v>
      </c>
    </row>
    <row r="144">
      <c r="A144" s="23"/>
      <c r="B144" s="23"/>
      <c r="C144" s="23"/>
      <c r="D144" s="23"/>
      <c r="E144" s="253"/>
      <c r="F144" s="23"/>
    </row>
    <row r="145">
      <c r="A145" s="70">
        <v>46135.0</v>
      </c>
      <c r="B145" s="29" t="s">
        <v>2363</v>
      </c>
      <c r="C145" s="29" t="s">
        <v>2189</v>
      </c>
      <c r="D145" s="29" t="s">
        <v>2190</v>
      </c>
      <c r="E145" s="251" t="s">
        <v>2205</v>
      </c>
    </row>
    <row r="146">
      <c r="A146" s="70">
        <v>46135.0</v>
      </c>
      <c r="B146" s="29" t="s">
        <v>969</v>
      </c>
      <c r="C146" s="29" t="s">
        <v>2189</v>
      </c>
      <c r="D146" s="29" t="s">
        <v>2190</v>
      </c>
      <c r="E146" s="251" t="s">
        <v>2249</v>
      </c>
    </row>
    <row r="147">
      <c r="A147" s="70">
        <v>46135.0</v>
      </c>
      <c r="B147" s="29">
        <v>5.304514769E9</v>
      </c>
      <c r="C147" s="29" t="s">
        <v>2189</v>
      </c>
      <c r="D147" s="29" t="s">
        <v>2190</v>
      </c>
      <c r="E147" s="251" t="s">
        <v>2309</v>
      </c>
    </row>
    <row r="148">
      <c r="A148" s="70">
        <v>46135.0</v>
      </c>
      <c r="B148" s="29">
        <v>838142.0</v>
      </c>
      <c r="C148" s="29" t="s">
        <v>2189</v>
      </c>
      <c r="D148" s="29" t="s">
        <v>2190</v>
      </c>
      <c r="E148" s="251" t="s">
        <v>2365</v>
      </c>
    </row>
    <row r="149">
      <c r="A149" s="70">
        <v>46135.0</v>
      </c>
      <c r="B149" s="29" t="s">
        <v>1496</v>
      </c>
      <c r="C149" s="29" t="s">
        <v>2189</v>
      </c>
      <c r="D149" s="29" t="s">
        <v>2190</v>
      </c>
      <c r="E149" s="251" t="s">
        <v>2366</v>
      </c>
    </row>
    <row r="150">
      <c r="A150" s="70">
        <v>46135.0</v>
      </c>
      <c r="B150" s="29" t="s">
        <v>2367</v>
      </c>
      <c r="C150" s="29" t="s">
        <v>2189</v>
      </c>
      <c r="D150" s="29" t="s">
        <v>2190</v>
      </c>
      <c r="E150" s="251" t="s">
        <v>2368</v>
      </c>
    </row>
    <row r="151">
      <c r="A151" s="70">
        <v>46135.0</v>
      </c>
      <c r="B151" s="29" t="s">
        <v>568</v>
      </c>
      <c r="C151" s="29" t="s">
        <v>2189</v>
      </c>
      <c r="D151" s="29" t="s">
        <v>2190</v>
      </c>
      <c r="E151" s="251" t="s">
        <v>2194</v>
      </c>
    </row>
    <row r="152">
      <c r="A152" s="70">
        <v>46135.0</v>
      </c>
      <c r="B152" s="29" t="s">
        <v>2369</v>
      </c>
      <c r="C152" s="29" t="s">
        <v>2189</v>
      </c>
      <c r="D152" s="29" t="s">
        <v>2190</v>
      </c>
      <c r="E152" s="251" t="s">
        <v>2370</v>
      </c>
    </row>
    <row r="153">
      <c r="A153" s="70">
        <v>46135.0</v>
      </c>
      <c r="B153" s="29" t="s">
        <v>2371</v>
      </c>
      <c r="C153" s="29" t="s">
        <v>2189</v>
      </c>
      <c r="D153" s="29" t="s">
        <v>2190</v>
      </c>
      <c r="E153" s="251" t="s">
        <v>2213</v>
      </c>
    </row>
    <row r="154">
      <c r="A154" s="70">
        <v>46135.0</v>
      </c>
      <c r="B154" s="29" t="s">
        <v>92</v>
      </c>
      <c r="C154" s="29" t="s">
        <v>2189</v>
      </c>
      <c r="D154" s="29" t="s">
        <v>2190</v>
      </c>
      <c r="E154" s="251" t="s">
        <v>2373</v>
      </c>
    </row>
    <row r="155">
      <c r="A155" s="70">
        <v>46135.0</v>
      </c>
      <c r="B155" s="29" t="s">
        <v>465</v>
      </c>
      <c r="C155" s="29" t="s">
        <v>2189</v>
      </c>
      <c r="D155" s="29" t="s">
        <v>2190</v>
      </c>
      <c r="E155" s="251" t="s">
        <v>2374</v>
      </c>
    </row>
    <row r="156">
      <c r="A156" s="70">
        <v>46135.0</v>
      </c>
      <c r="B156" s="29" t="s">
        <v>2376</v>
      </c>
      <c r="C156" s="29" t="s">
        <v>2189</v>
      </c>
      <c r="D156" s="29" t="s">
        <v>2190</v>
      </c>
      <c r="E156" s="251" t="s">
        <v>2207</v>
      </c>
    </row>
    <row r="157">
      <c r="A157" s="70">
        <v>46135.0</v>
      </c>
      <c r="B157" s="29" t="s">
        <v>2377</v>
      </c>
      <c r="C157" s="29" t="s">
        <v>2189</v>
      </c>
      <c r="D157" s="29" t="s">
        <v>2190</v>
      </c>
      <c r="E157" s="251" t="s">
        <v>2242</v>
      </c>
    </row>
    <row r="158">
      <c r="A158" s="70">
        <v>46135.0</v>
      </c>
      <c r="B158" s="29" t="s">
        <v>2378</v>
      </c>
      <c r="C158" s="29" t="s">
        <v>2189</v>
      </c>
      <c r="D158" s="29" t="s">
        <v>2190</v>
      </c>
      <c r="E158" s="251" t="s">
        <v>2203</v>
      </c>
    </row>
    <row r="159">
      <c r="A159" s="70">
        <v>46135.0</v>
      </c>
      <c r="B159" s="29" t="s">
        <v>2380</v>
      </c>
      <c r="C159" s="29" t="s">
        <v>2189</v>
      </c>
      <c r="D159" s="29" t="s">
        <v>2190</v>
      </c>
      <c r="E159" s="251" t="s">
        <v>2211</v>
      </c>
    </row>
    <row r="160">
      <c r="A160" s="70">
        <v>46135.0</v>
      </c>
      <c r="B160" s="29" t="s">
        <v>2382</v>
      </c>
      <c r="C160" s="29" t="s">
        <v>2189</v>
      </c>
      <c r="D160" s="29" t="s">
        <v>2190</v>
      </c>
      <c r="E160" s="251" t="s">
        <v>2225</v>
      </c>
    </row>
    <row r="161">
      <c r="A161" s="70">
        <v>46135.0</v>
      </c>
      <c r="B161" s="29" t="s">
        <v>2383</v>
      </c>
      <c r="C161" s="29" t="s">
        <v>2189</v>
      </c>
      <c r="D161" s="29" t="s">
        <v>2190</v>
      </c>
      <c r="E161" s="251" t="s">
        <v>2203</v>
      </c>
    </row>
    <row r="162">
      <c r="A162" s="70">
        <v>46135.0</v>
      </c>
      <c r="B162" s="29" t="s">
        <v>2384</v>
      </c>
      <c r="C162" s="29" t="s">
        <v>2189</v>
      </c>
      <c r="D162" s="29" t="s">
        <v>2190</v>
      </c>
      <c r="E162" s="251" t="s">
        <v>2211</v>
      </c>
    </row>
    <row r="163">
      <c r="A163" s="98"/>
      <c r="B163" s="23"/>
      <c r="C163" s="23"/>
      <c r="D163" s="23"/>
      <c r="E163" s="253"/>
    </row>
    <row r="164">
      <c r="A164" s="70">
        <v>46136.0</v>
      </c>
      <c r="B164" s="29" t="s">
        <v>1900</v>
      </c>
      <c r="C164" s="29" t="s">
        <v>2189</v>
      </c>
      <c r="D164" s="29" t="s">
        <v>2190</v>
      </c>
      <c r="E164" s="251" t="s">
        <v>2211</v>
      </c>
    </row>
    <row r="165">
      <c r="A165" s="70">
        <v>46136.0</v>
      </c>
      <c r="B165" s="29" t="s">
        <v>2386</v>
      </c>
      <c r="C165" s="29" t="s">
        <v>2189</v>
      </c>
      <c r="D165" s="29" t="s">
        <v>2190</v>
      </c>
      <c r="E165" s="251" t="s">
        <v>2387</v>
      </c>
    </row>
    <row r="166">
      <c r="A166" s="70">
        <v>46136.0</v>
      </c>
      <c r="B166" s="29" t="s">
        <v>2388</v>
      </c>
      <c r="C166" s="29" t="s">
        <v>2189</v>
      </c>
      <c r="D166" s="29" t="s">
        <v>2190</v>
      </c>
      <c r="E166" s="251" t="s">
        <v>2203</v>
      </c>
    </row>
    <row r="167">
      <c r="A167" s="70">
        <v>46136.0</v>
      </c>
      <c r="B167" s="29">
        <v>5.304520496E9</v>
      </c>
      <c r="C167" s="29" t="s">
        <v>2189</v>
      </c>
      <c r="D167" s="29" t="s">
        <v>2190</v>
      </c>
      <c r="E167" s="251" t="s">
        <v>2242</v>
      </c>
    </row>
    <row r="168">
      <c r="A168" s="70">
        <v>46136.0</v>
      </c>
      <c r="B168" s="29" t="s">
        <v>2389</v>
      </c>
      <c r="C168" s="29" t="s">
        <v>2189</v>
      </c>
      <c r="D168" s="29" t="s">
        <v>2190</v>
      </c>
      <c r="E168" s="251" t="s">
        <v>2209</v>
      </c>
    </row>
    <row r="169">
      <c r="A169" s="70">
        <v>46136.0</v>
      </c>
      <c r="B169" s="29" t="s">
        <v>1536</v>
      </c>
      <c r="C169" s="29" t="s">
        <v>2189</v>
      </c>
      <c r="D169" s="29" t="s">
        <v>2190</v>
      </c>
      <c r="E169" s="251" t="s">
        <v>2207</v>
      </c>
    </row>
    <row r="170">
      <c r="A170" s="70">
        <v>46136.0</v>
      </c>
      <c r="B170" s="29" t="s">
        <v>2393</v>
      </c>
      <c r="C170" s="29" t="s">
        <v>2189</v>
      </c>
      <c r="D170" s="29" t="s">
        <v>2190</v>
      </c>
      <c r="E170" s="251" t="s">
        <v>2197</v>
      </c>
    </row>
    <row r="171">
      <c r="A171" s="70">
        <v>46136.0</v>
      </c>
      <c r="B171" s="29" t="s">
        <v>1303</v>
      </c>
      <c r="C171" s="29" t="s">
        <v>2189</v>
      </c>
      <c r="D171" s="29" t="s">
        <v>2190</v>
      </c>
      <c r="E171" s="251" t="s">
        <v>2218</v>
      </c>
    </row>
    <row r="172">
      <c r="A172" s="70">
        <v>46136.0</v>
      </c>
      <c r="B172" s="29" t="s">
        <v>2394</v>
      </c>
      <c r="C172" s="29" t="s">
        <v>2189</v>
      </c>
      <c r="D172" s="29" t="s">
        <v>2190</v>
      </c>
      <c r="E172" s="251" t="s">
        <v>2321</v>
      </c>
    </row>
    <row r="173">
      <c r="A173" s="70">
        <v>46136.0</v>
      </c>
      <c r="B173" s="29" t="s">
        <v>210</v>
      </c>
      <c r="C173" s="29" t="s">
        <v>2189</v>
      </c>
      <c r="D173" s="29" t="s">
        <v>2190</v>
      </c>
      <c r="E173" s="251" t="s">
        <v>2348</v>
      </c>
    </row>
    <row r="174">
      <c r="A174" s="70">
        <v>46136.0</v>
      </c>
      <c r="B174" s="29" t="s">
        <v>2395</v>
      </c>
      <c r="C174" s="29" t="s">
        <v>2189</v>
      </c>
      <c r="D174" s="29" t="s">
        <v>2190</v>
      </c>
      <c r="E174" s="251" t="s">
        <v>2229</v>
      </c>
    </row>
    <row r="175">
      <c r="A175" s="70">
        <v>46136.0</v>
      </c>
      <c r="B175" s="29" t="s">
        <v>1778</v>
      </c>
      <c r="C175" s="29" t="s">
        <v>2189</v>
      </c>
      <c r="D175" s="29" t="s">
        <v>2190</v>
      </c>
      <c r="E175" s="251" t="s">
        <v>2365</v>
      </c>
    </row>
    <row r="176">
      <c r="A176" s="70">
        <v>46136.0</v>
      </c>
      <c r="B176" s="29" t="s">
        <v>2398</v>
      </c>
      <c r="C176" s="29" t="s">
        <v>2189</v>
      </c>
      <c r="D176" s="29" t="s">
        <v>2190</v>
      </c>
      <c r="E176" s="251" t="s">
        <v>2311</v>
      </c>
    </row>
    <row r="177">
      <c r="A177" s="70">
        <v>46136.0</v>
      </c>
      <c r="B177" s="29" t="s">
        <v>2399</v>
      </c>
      <c r="C177" s="29" t="s">
        <v>2189</v>
      </c>
      <c r="D177" s="29" t="s">
        <v>2190</v>
      </c>
      <c r="E177" s="251" t="s">
        <v>2342</v>
      </c>
    </row>
    <row r="178">
      <c r="A178" s="70">
        <v>46136.0</v>
      </c>
      <c r="B178" s="29">
        <v>1.7438100000435E13</v>
      </c>
      <c r="C178" s="29" t="s">
        <v>2189</v>
      </c>
      <c r="D178" s="29" t="s">
        <v>2190</v>
      </c>
      <c r="E178" s="251" t="s">
        <v>2315</v>
      </c>
    </row>
    <row r="179">
      <c r="A179" s="70">
        <v>46136.0</v>
      </c>
      <c r="B179" s="29" t="s">
        <v>2400</v>
      </c>
      <c r="C179" s="29" t="s">
        <v>2189</v>
      </c>
      <c r="D179" s="29" t="s">
        <v>2190</v>
      </c>
      <c r="E179" s="251" t="s">
        <v>2192</v>
      </c>
    </row>
    <row r="180">
      <c r="A180" s="70">
        <v>46136.0</v>
      </c>
      <c r="B180" s="29">
        <v>2.42219302E8</v>
      </c>
      <c r="C180" s="29" t="s">
        <v>2189</v>
      </c>
      <c r="D180" s="29" t="s">
        <v>2190</v>
      </c>
      <c r="E180" s="251" t="s">
        <v>2211</v>
      </c>
    </row>
    <row r="181">
      <c r="A181" s="70">
        <v>46136.0</v>
      </c>
      <c r="B181" s="29" t="s">
        <v>241</v>
      </c>
      <c r="C181" s="29" t="s">
        <v>2189</v>
      </c>
      <c r="D181" s="29" t="s">
        <v>2190</v>
      </c>
      <c r="E181" s="251" t="s">
        <v>2211</v>
      </c>
    </row>
    <row r="182">
      <c r="A182" s="70">
        <v>46136.0</v>
      </c>
      <c r="B182" s="29" t="s">
        <v>2402</v>
      </c>
      <c r="C182" s="29" t="s">
        <v>2189</v>
      </c>
      <c r="D182" s="29" t="s">
        <v>2190</v>
      </c>
      <c r="E182" s="251" t="s">
        <v>2348</v>
      </c>
    </row>
    <row r="183">
      <c r="A183" s="70">
        <v>46136.0</v>
      </c>
      <c r="B183" s="29" t="s">
        <v>2403</v>
      </c>
      <c r="C183" s="29" t="s">
        <v>2189</v>
      </c>
      <c r="D183" s="29" t="s">
        <v>2190</v>
      </c>
      <c r="E183" s="251" t="s">
        <v>2211</v>
      </c>
      <c r="F183" s="29">
        <v>2.0</v>
      </c>
    </row>
    <row r="184">
      <c r="A184" s="70">
        <v>46136.0</v>
      </c>
      <c r="B184" s="262">
        <v>5.304523011E9</v>
      </c>
      <c r="C184" s="29" t="s">
        <v>2189</v>
      </c>
      <c r="D184" s="29" t="s">
        <v>2190</v>
      </c>
      <c r="E184" s="251" t="s">
        <v>2213</v>
      </c>
    </row>
    <row r="185">
      <c r="A185" s="70">
        <v>46136.0</v>
      </c>
      <c r="B185" s="29" t="s">
        <v>566</v>
      </c>
      <c r="C185" s="29" t="s">
        <v>2189</v>
      </c>
      <c r="D185" s="29" t="s">
        <v>2190</v>
      </c>
      <c r="E185" s="251" t="s">
        <v>2201</v>
      </c>
    </row>
    <row r="186">
      <c r="A186" s="70">
        <v>46136.0</v>
      </c>
      <c r="B186" s="29" t="s">
        <v>93</v>
      </c>
      <c r="C186" s="29" t="s">
        <v>2189</v>
      </c>
      <c r="D186" s="29" t="s">
        <v>2190</v>
      </c>
      <c r="E186" s="251" t="s">
        <v>2192</v>
      </c>
    </row>
    <row r="187">
      <c r="A187" s="23"/>
      <c r="B187" s="23"/>
      <c r="C187" s="23"/>
      <c r="D187" s="23"/>
      <c r="E187" s="253"/>
      <c r="F187" s="23"/>
    </row>
    <row r="188">
      <c r="A188" s="70">
        <v>46139.0</v>
      </c>
      <c r="B188" s="29" t="s">
        <v>2405</v>
      </c>
      <c r="C188" s="29" t="s">
        <v>2189</v>
      </c>
      <c r="D188" s="29" t="s">
        <v>2190</v>
      </c>
      <c r="E188" s="251" t="s">
        <v>2331</v>
      </c>
    </row>
    <row r="189">
      <c r="A189" s="70">
        <v>46139.0</v>
      </c>
      <c r="B189" s="29" t="s">
        <v>2406</v>
      </c>
      <c r="C189" s="29" t="s">
        <v>2189</v>
      </c>
      <c r="D189" s="29" t="s">
        <v>2190</v>
      </c>
      <c r="E189" s="251" t="s">
        <v>2209</v>
      </c>
    </row>
    <row r="190">
      <c r="A190" s="265">
        <v>46139.0</v>
      </c>
      <c r="B190" s="13" t="s">
        <v>2409</v>
      </c>
      <c r="C190" s="29" t="s">
        <v>2189</v>
      </c>
      <c r="D190" s="29" t="s">
        <v>2190</v>
      </c>
      <c r="E190" s="251" t="s">
        <v>2211</v>
      </c>
    </row>
    <row r="191">
      <c r="A191" s="265">
        <v>46139.0</v>
      </c>
      <c r="B191" s="29" t="s">
        <v>2410</v>
      </c>
      <c r="C191" s="29" t="s">
        <v>2189</v>
      </c>
      <c r="D191" s="29" t="s">
        <v>2190</v>
      </c>
      <c r="E191" s="251" t="s">
        <v>2331</v>
      </c>
    </row>
    <row r="192">
      <c r="A192" s="265">
        <v>46139.0</v>
      </c>
      <c r="B192" s="13" t="s">
        <v>66</v>
      </c>
      <c r="C192" s="29" t="s">
        <v>2189</v>
      </c>
      <c r="D192" s="29" t="s">
        <v>2190</v>
      </c>
      <c r="E192" s="251" t="s">
        <v>2293</v>
      </c>
    </row>
    <row r="193">
      <c r="A193" s="265">
        <v>46139.0</v>
      </c>
      <c r="B193" s="29" t="s">
        <v>1235</v>
      </c>
      <c r="C193" s="29" t="s">
        <v>2189</v>
      </c>
      <c r="D193" s="29" t="s">
        <v>2190</v>
      </c>
      <c r="E193" s="251" t="s">
        <v>2374</v>
      </c>
    </row>
    <row r="194">
      <c r="A194" s="265">
        <v>46139.0</v>
      </c>
      <c r="B194" s="29" t="s">
        <v>854</v>
      </c>
      <c r="C194" s="29" t="s">
        <v>2189</v>
      </c>
      <c r="D194" s="29" t="s">
        <v>2190</v>
      </c>
      <c r="E194" s="251" t="s">
        <v>2331</v>
      </c>
    </row>
    <row r="195">
      <c r="A195" s="265">
        <v>46139.0</v>
      </c>
      <c r="B195" s="29">
        <v>5.304526819E9</v>
      </c>
      <c r="C195" s="29" t="s">
        <v>2189</v>
      </c>
      <c r="D195" s="29" t="s">
        <v>2190</v>
      </c>
      <c r="E195" s="251" t="s">
        <v>2315</v>
      </c>
    </row>
    <row r="196">
      <c r="A196" s="265">
        <v>46139.0</v>
      </c>
      <c r="B196" s="29" t="s">
        <v>662</v>
      </c>
      <c r="C196" s="29" t="s">
        <v>2189</v>
      </c>
      <c r="D196" s="29" t="s">
        <v>2190</v>
      </c>
      <c r="E196" s="251" t="s">
        <v>2374</v>
      </c>
    </row>
    <row r="197">
      <c r="A197" s="265">
        <v>46139.0</v>
      </c>
      <c r="B197" s="29" t="s">
        <v>1238</v>
      </c>
      <c r="C197" s="29" t="s">
        <v>2189</v>
      </c>
      <c r="D197" s="29" t="s">
        <v>2190</v>
      </c>
      <c r="E197" s="251" t="s">
        <v>2374</v>
      </c>
      <c r="F197" s="29">
        <v>4.0</v>
      </c>
    </row>
    <row r="198">
      <c r="A198" s="265">
        <v>46139.0</v>
      </c>
      <c r="B198" s="29" t="s">
        <v>1240</v>
      </c>
      <c r="C198" s="29" t="s">
        <v>2189</v>
      </c>
      <c r="D198" s="29" t="s">
        <v>2190</v>
      </c>
      <c r="E198" s="251" t="s">
        <v>2374</v>
      </c>
      <c r="F198" s="29">
        <v>3.0</v>
      </c>
    </row>
    <row r="199">
      <c r="A199" s="265">
        <v>46139.0</v>
      </c>
      <c r="B199" s="29" t="s">
        <v>744</v>
      </c>
      <c r="C199" s="29" t="s">
        <v>2189</v>
      </c>
      <c r="D199" s="29" t="s">
        <v>2190</v>
      </c>
      <c r="E199" s="251" t="s">
        <v>2374</v>
      </c>
    </row>
    <row r="200">
      <c r="A200" s="265">
        <v>46139.0</v>
      </c>
      <c r="B200" s="258" t="s">
        <v>1511</v>
      </c>
      <c r="C200" s="29" t="s">
        <v>2189</v>
      </c>
      <c r="D200" s="29" t="s">
        <v>2190</v>
      </c>
      <c r="E200" s="251" t="s">
        <v>2211</v>
      </c>
    </row>
    <row r="201">
      <c r="A201" s="265">
        <v>46139.0</v>
      </c>
      <c r="B201" s="29" t="s">
        <v>2414</v>
      </c>
      <c r="C201" s="29" t="s">
        <v>2189</v>
      </c>
      <c r="D201" s="29" t="s">
        <v>2190</v>
      </c>
      <c r="E201" s="251" t="s">
        <v>2415</v>
      </c>
    </row>
    <row r="202">
      <c r="A202" s="265">
        <v>46139.0</v>
      </c>
      <c r="B202" s="29" t="s">
        <v>2416</v>
      </c>
      <c r="C202" s="29" t="s">
        <v>2189</v>
      </c>
      <c r="D202" s="29" t="s">
        <v>2190</v>
      </c>
      <c r="E202" s="251" t="s">
        <v>2218</v>
      </c>
    </row>
    <row r="203">
      <c r="A203" s="265">
        <v>46139.0</v>
      </c>
      <c r="B203" s="29" t="s">
        <v>1306</v>
      </c>
      <c r="C203" s="29" t="s">
        <v>2189</v>
      </c>
      <c r="D203" s="29" t="s">
        <v>2190</v>
      </c>
      <c r="E203" s="251" t="s">
        <v>2207</v>
      </c>
    </row>
    <row r="204">
      <c r="A204" s="265">
        <v>46139.0</v>
      </c>
      <c r="B204" s="29" t="s">
        <v>2417</v>
      </c>
      <c r="C204" s="29" t="s">
        <v>2189</v>
      </c>
      <c r="D204" s="29" t="s">
        <v>2190</v>
      </c>
      <c r="E204" s="251" t="s">
        <v>2211</v>
      </c>
    </row>
    <row r="205">
      <c r="A205" s="265">
        <v>46139.0</v>
      </c>
      <c r="B205" s="29">
        <v>5.30452619E9</v>
      </c>
      <c r="C205" s="29" t="s">
        <v>2189</v>
      </c>
      <c r="D205" s="29" t="s">
        <v>2190</v>
      </c>
      <c r="E205" s="251" t="s">
        <v>2419</v>
      </c>
    </row>
    <row r="206">
      <c r="A206" s="23"/>
      <c r="B206" s="23"/>
      <c r="C206" s="23"/>
      <c r="D206" s="23"/>
      <c r="E206" s="253"/>
      <c r="F206" s="23"/>
    </row>
    <row r="207">
      <c r="A207" s="70">
        <v>46140.0</v>
      </c>
      <c r="B207" s="29" t="s">
        <v>2421</v>
      </c>
      <c r="C207" s="29" t="s">
        <v>2189</v>
      </c>
      <c r="D207" s="29" t="s">
        <v>2190</v>
      </c>
      <c r="E207" s="251" t="s">
        <v>2293</v>
      </c>
    </row>
    <row r="208">
      <c r="A208" s="70">
        <v>46140.0</v>
      </c>
      <c r="B208" s="29" t="s">
        <v>857</v>
      </c>
      <c r="C208" s="29" t="s">
        <v>2189</v>
      </c>
      <c r="D208" s="29" t="s">
        <v>2190</v>
      </c>
      <c r="E208" s="251" t="s">
        <v>2374</v>
      </c>
    </row>
    <row r="209">
      <c r="A209" s="70">
        <v>46140.0</v>
      </c>
      <c r="B209" s="29" t="s">
        <v>2423</v>
      </c>
      <c r="C209" s="29" t="s">
        <v>2189</v>
      </c>
      <c r="D209" s="29" t="s">
        <v>2190</v>
      </c>
      <c r="E209" s="251" t="s">
        <v>2199</v>
      </c>
    </row>
    <row r="210">
      <c r="A210" s="70">
        <v>46140.0</v>
      </c>
      <c r="B210" s="29">
        <v>1.0395851E7</v>
      </c>
      <c r="C210" s="29" t="s">
        <v>2189</v>
      </c>
      <c r="D210" s="29" t="s">
        <v>2190</v>
      </c>
      <c r="E210" s="251" t="s">
        <v>2213</v>
      </c>
    </row>
    <row r="211">
      <c r="A211" s="70">
        <v>46140.0</v>
      </c>
      <c r="B211" s="267" t="s">
        <v>432</v>
      </c>
      <c r="C211" s="29" t="s">
        <v>2189</v>
      </c>
      <c r="D211" s="29" t="s">
        <v>2190</v>
      </c>
      <c r="E211" s="251" t="s">
        <v>2298</v>
      </c>
    </row>
    <row r="212">
      <c r="A212" s="70">
        <v>46140.0</v>
      </c>
      <c r="B212" s="29">
        <v>3.42907301E8</v>
      </c>
      <c r="C212" s="29" t="s">
        <v>2189</v>
      </c>
      <c r="D212" s="29" t="s">
        <v>2190</v>
      </c>
      <c r="E212" s="251" t="s">
        <v>2242</v>
      </c>
    </row>
    <row r="213">
      <c r="A213" s="70">
        <v>46140.0</v>
      </c>
      <c r="B213" s="29" t="s">
        <v>2425</v>
      </c>
      <c r="C213" s="29" t="s">
        <v>2189</v>
      </c>
      <c r="D213" s="29" t="s">
        <v>2190</v>
      </c>
      <c r="E213" s="251" t="s">
        <v>2370</v>
      </c>
    </row>
    <row r="214">
      <c r="A214" s="70">
        <v>46140.0</v>
      </c>
      <c r="B214" s="29" t="s">
        <v>2426</v>
      </c>
      <c r="C214" s="29" t="s">
        <v>2189</v>
      </c>
      <c r="D214" s="29" t="s">
        <v>2190</v>
      </c>
      <c r="E214" s="251" t="s">
        <v>2201</v>
      </c>
    </row>
    <row r="215">
      <c r="A215" s="70">
        <v>46140.0</v>
      </c>
      <c r="B215" s="29" t="s">
        <v>2427</v>
      </c>
      <c r="C215" s="29" t="s">
        <v>2189</v>
      </c>
      <c r="D215" s="29" t="s">
        <v>2190</v>
      </c>
      <c r="E215" s="251" t="s">
        <v>2331</v>
      </c>
    </row>
    <row r="216">
      <c r="A216" s="70">
        <v>46140.0</v>
      </c>
      <c r="B216" s="29">
        <v>5.304525383E9</v>
      </c>
      <c r="C216" s="29" t="s">
        <v>2189</v>
      </c>
      <c r="D216" s="29" t="s">
        <v>2190</v>
      </c>
      <c r="E216" s="251" t="s">
        <v>2318</v>
      </c>
    </row>
    <row r="217">
      <c r="A217" s="70">
        <v>46140.0</v>
      </c>
      <c r="B217" s="29" t="s">
        <v>2428</v>
      </c>
      <c r="C217" s="29" t="s">
        <v>2189</v>
      </c>
      <c r="D217" s="29" t="s">
        <v>2190</v>
      </c>
      <c r="E217" s="251" t="s">
        <v>2331</v>
      </c>
    </row>
    <row r="218">
      <c r="A218" s="70">
        <v>46140.0</v>
      </c>
      <c r="B218" s="29">
        <v>3.1649E8</v>
      </c>
      <c r="C218" s="29" t="s">
        <v>2189</v>
      </c>
      <c r="D218" s="29" t="s">
        <v>2190</v>
      </c>
      <c r="E218" s="251" t="s">
        <v>2331</v>
      </c>
    </row>
    <row r="219">
      <c r="A219" s="70">
        <v>46140.0</v>
      </c>
      <c r="B219" s="29" t="s">
        <v>2429</v>
      </c>
      <c r="C219" s="29" t="s">
        <v>2189</v>
      </c>
      <c r="D219" s="29" t="s">
        <v>2190</v>
      </c>
      <c r="E219" s="251" t="s">
        <v>2194</v>
      </c>
    </row>
    <row r="220">
      <c r="A220" s="70">
        <v>46140.0</v>
      </c>
      <c r="B220" s="29" t="s">
        <v>2431</v>
      </c>
      <c r="C220" s="29" t="s">
        <v>2189</v>
      </c>
      <c r="D220" s="29" t="s">
        <v>2190</v>
      </c>
      <c r="E220" s="251" t="s">
        <v>2211</v>
      </c>
      <c r="F220" s="29">
        <v>3.0</v>
      </c>
    </row>
    <row r="221">
      <c r="A221" s="70">
        <v>46140.0</v>
      </c>
      <c r="B221" s="29">
        <v>280148.0</v>
      </c>
      <c r="C221" s="29" t="s">
        <v>2189</v>
      </c>
      <c r="D221" s="29" t="s">
        <v>2190</v>
      </c>
      <c r="E221" s="251" t="s">
        <v>2201</v>
      </c>
      <c r="F221" s="29">
        <v>2.0</v>
      </c>
    </row>
    <row r="222">
      <c r="A222" s="70">
        <v>46140.0</v>
      </c>
      <c r="B222" s="29" t="s">
        <v>2434</v>
      </c>
      <c r="C222" s="29" t="s">
        <v>2189</v>
      </c>
      <c r="D222" s="29" t="s">
        <v>2190</v>
      </c>
      <c r="E222" s="251" t="s">
        <v>2331</v>
      </c>
    </row>
    <row r="223">
      <c r="A223" s="70">
        <v>46140.0</v>
      </c>
      <c r="B223" s="29" t="s">
        <v>638</v>
      </c>
      <c r="C223" s="29" t="s">
        <v>2189</v>
      </c>
      <c r="D223" s="29" t="s">
        <v>2190</v>
      </c>
      <c r="E223" s="251" t="s">
        <v>2342</v>
      </c>
    </row>
    <row r="224">
      <c r="A224" s="70">
        <v>46140.0</v>
      </c>
      <c r="B224" s="29" t="s">
        <v>2436</v>
      </c>
      <c r="C224" s="29" t="s">
        <v>2189</v>
      </c>
      <c r="D224" s="29" t="s">
        <v>2190</v>
      </c>
      <c r="E224" s="251" t="s">
        <v>2201</v>
      </c>
    </row>
    <row r="225">
      <c r="A225" s="70">
        <v>46140.0</v>
      </c>
      <c r="B225" s="29" t="s">
        <v>2438</v>
      </c>
      <c r="C225" s="29" t="s">
        <v>2189</v>
      </c>
      <c r="D225" s="29" t="s">
        <v>2190</v>
      </c>
      <c r="E225" s="251" t="s">
        <v>2345</v>
      </c>
    </row>
    <row r="226">
      <c r="A226" s="70">
        <v>46140.0</v>
      </c>
      <c r="B226" s="29" t="s">
        <v>717</v>
      </c>
      <c r="C226" s="29" t="s">
        <v>2189</v>
      </c>
      <c r="D226" s="29" t="s">
        <v>2190</v>
      </c>
      <c r="E226" s="251" t="s">
        <v>2196</v>
      </c>
    </row>
    <row r="227">
      <c r="A227" s="23"/>
      <c r="B227" s="23"/>
      <c r="C227" s="23"/>
      <c r="D227" s="23"/>
      <c r="E227" s="253"/>
      <c r="F227" s="23"/>
    </row>
    <row r="228">
      <c r="A228" s="70">
        <v>46141.0</v>
      </c>
      <c r="B228" s="29" t="s">
        <v>2439</v>
      </c>
      <c r="C228" s="29" t="s">
        <v>2189</v>
      </c>
      <c r="D228" s="29" t="s">
        <v>2190</v>
      </c>
      <c r="E228" s="251" t="s">
        <v>2374</v>
      </c>
    </row>
    <row r="229">
      <c r="A229" s="70">
        <v>46141.0</v>
      </c>
      <c r="B229" s="29" t="s">
        <v>2440</v>
      </c>
      <c r="C229" s="29" t="s">
        <v>2189</v>
      </c>
      <c r="D229" s="29" t="s">
        <v>2190</v>
      </c>
      <c r="E229" s="251" t="s">
        <v>2374</v>
      </c>
    </row>
    <row r="230">
      <c r="A230" s="70">
        <v>46141.0</v>
      </c>
      <c r="B230" s="29" t="s">
        <v>2443</v>
      </c>
      <c r="C230" s="29" t="s">
        <v>2189</v>
      </c>
      <c r="D230" s="29" t="s">
        <v>2190</v>
      </c>
      <c r="E230" s="251" t="s">
        <v>2374</v>
      </c>
    </row>
    <row r="231">
      <c r="A231" s="70">
        <v>46141.0</v>
      </c>
      <c r="B231" s="29" t="s">
        <v>2445</v>
      </c>
      <c r="C231" s="29" t="s">
        <v>2189</v>
      </c>
      <c r="D231" s="29" t="s">
        <v>2190</v>
      </c>
      <c r="E231" s="251" t="s">
        <v>2342</v>
      </c>
    </row>
    <row r="232">
      <c r="A232" s="70">
        <v>46141.0</v>
      </c>
      <c r="B232" s="29">
        <v>5.30452233E9</v>
      </c>
      <c r="C232" s="29" t="s">
        <v>2189</v>
      </c>
      <c r="D232" s="29" t="s">
        <v>2190</v>
      </c>
      <c r="E232" s="251" t="s">
        <v>2201</v>
      </c>
    </row>
    <row r="233">
      <c r="A233" s="70">
        <v>46141.0</v>
      </c>
      <c r="B233" s="29" t="s">
        <v>2447</v>
      </c>
      <c r="C233" s="29" t="s">
        <v>2189</v>
      </c>
      <c r="D233" s="29" t="s">
        <v>2190</v>
      </c>
      <c r="E233" s="251" t="s">
        <v>2374</v>
      </c>
    </row>
    <row r="234">
      <c r="A234" s="70">
        <v>46141.0</v>
      </c>
      <c r="B234" s="29" t="s">
        <v>1255</v>
      </c>
      <c r="C234" s="29" t="s">
        <v>2189</v>
      </c>
      <c r="D234" s="29" t="s">
        <v>2190</v>
      </c>
      <c r="E234" s="251" t="s">
        <v>2331</v>
      </c>
      <c r="F234" s="29">
        <v>2.0</v>
      </c>
    </row>
    <row r="235">
      <c r="A235" s="70">
        <v>46141.0</v>
      </c>
      <c r="B235" s="29" t="s">
        <v>111</v>
      </c>
      <c r="C235" s="29" t="s">
        <v>2189</v>
      </c>
      <c r="D235" s="29" t="s">
        <v>2190</v>
      </c>
      <c r="E235" s="251" t="s">
        <v>2192</v>
      </c>
    </row>
    <row r="236">
      <c r="A236" s="70">
        <v>46141.0</v>
      </c>
      <c r="B236" s="29" t="s">
        <v>2450</v>
      </c>
      <c r="C236" s="29" t="s">
        <v>2189</v>
      </c>
      <c r="D236" s="29" t="s">
        <v>2190</v>
      </c>
      <c r="E236" s="251" t="s">
        <v>2219</v>
      </c>
    </row>
    <row r="237">
      <c r="A237" s="70">
        <v>46141.0</v>
      </c>
      <c r="B237" s="29" t="s">
        <v>2451</v>
      </c>
      <c r="C237" s="29" t="s">
        <v>2189</v>
      </c>
      <c r="D237" s="29" t="s">
        <v>2190</v>
      </c>
      <c r="E237" s="251" t="s">
        <v>2205</v>
      </c>
      <c r="F237" s="29">
        <v>2.0</v>
      </c>
    </row>
    <row r="238">
      <c r="A238" s="70">
        <v>46141.0</v>
      </c>
      <c r="B238" s="29" t="s">
        <v>318</v>
      </c>
      <c r="C238" s="29" t="s">
        <v>2189</v>
      </c>
      <c r="D238" s="29" t="s">
        <v>2190</v>
      </c>
      <c r="E238" s="251" t="s">
        <v>2331</v>
      </c>
    </row>
    <row r="239">
      <c r="A239" s="70">
        <v>46141.0</v>
      </c>
      <c r="B239" s="29" t="s">
        <v>2454</v>
      </c>
      <c r="C239" s="29" t="s">
        <v>2189</v>
      </c>
      <c r="D239" s="29" t="s">
        <v>2190</v>
      </c>
      <c r="E239" s="251" t="s">
        <v>2209</v>
      </c>
      <c r="F239" s="29" t="s">
        <v>2456</v>
      </c>
    </row>
    <row r="240">
      <c r="A240" s="70">
        <v>46141.0</v>
      </c>
      <c r="B240" s="29">
        <v>5.303918899E9</v>
      </c>
      <c r="C240" s="29" t="s">
        <v>2189</v>
      </c>
      <c r="D240" s="29" t="s">
        <v>2190</v>
      </c>
      <c r="E240" s="251" t="s">
        <v>2459</v>
      </c>
      <c r="F240" s="29">
        <v>2.0</v>
      </c>
    </row>
    <row r="241">
      <c r="A241" s="70">
        <v>46141.0</v>
      </c>
      <c r="B241" s="29" t="s">
        <v>2461</v>
      </c>
      <c r="C241" s="29" t="s">
        <v>2189</v>
      </c>
      <c r="D241" s="29" t="s">
        <v>2190</v>
      </c>
      <c r="E241" s="251" t="s">
        <v>2201</v>
      </c>
      <c r="F241" s="29">
        <v>8.0</v>
      </c>
    </row>
    <row r="242">
      <c r="A242" s="70">
        <v>46141.0</v>
      </c>
      <c r="B242" s="29" t="s">
        <v>2463</v>
      </c>
      <c r="C242" s="29" t="s">
        <v>2189</v>
      </c>
      <c r="D242" s="29" t="s">
        <v>2190</v>
      </c>
      <c r="E242" s="251" t="s">
        <v>2464</v>
      </c>
    </row>
    <row r="243">
      <c r="A243" s="70">
        <v>46141.0</v>
      </c>
      <c r="B243" s="29" t="s">
        <v>157</v>
      </c>
      <c r="C243" s="29" t="s">
        <v>2189</v>
      </c>
      <c r="D243" s="29" t="s">
        <v>2190</v>
      </c>
      <c r="E243" s="251" t="s">
        <v>2467</v>
      </c>
      <c r="F243" s="29" t="s">
        <v>2456</v>
      </c>
    </row>
    <row r="244">
      <c r="A244" s="70">
        <v>46141.0</v>
      </c>
      <c r="B244" s="29" t="s">
        <v>1296</v>
      </c>
      <c r="C244" s="29" t="s">
        <v>2189</v>
      </c>
      <c r="D244" s="29" t="s">
        <v>2190</v>
      </c>
      <c r="E244" s="251" t="s">
        <v>2459</v>
      </c>
      <c r="F244" s="29">
        <v>2.0</v>
      </c>
    </row>
    <row r="245">
      <c r="A245" s="70">
        <v>46141.0</v>
      </c>
      <c r="B245" s="29" t="s">
        <v>2470</v>
      </c>
      <c r="C245" s="29" t="s">
        <v>2189</v>
      </c>
      <c r="D245" s="29" t="s">
        <v>2190</v>
      </c>
      <c r="E245" s="251" t="s">
        <v>2211</v>
      </c>
    </row>
    <row r="246">
      <c r="A246" s="70">
        <v>46141.0</v>
      </c>
      <c r="B246" s="29" t="s">
        <v>1338</v>
      </c>
      <c r="C246" s="29" t="s">
        <v>2189</v>
      </c>
      <c r="D246" s="29" t="s">
        <v>2190</v>
      </c>
      <c r="E246" s="251" t="s">
        <v>2211</v>
      </c>
    </row>
    <row r="247">
      <c r="A247" s="70">
        <v>46141.0</v>
      </c>
      <c r="B247" s="29">
        <v>5.303918358E9</v>
      </c>
      <c r="C247" s="29" t="s">
        <v>2189</v>
      </c>
      <c r="D247" s="29" t="s">
        <v>2190</v>
      </c>
      <c r="E247" s="251" t="s">
        <v>2211</v>
      </c>
    </row>
    <row r="248">
      <c r="A248" s="98"/>
      <c r="B248" s="23"/>
      <c r="C248" s="23"/>
      <c r="D248" s="23"/>
      <c r="E248" s="253"/>
      <c r="F248" s="23"/>
    </row>
    <row r="249">
      <c r="A249" s="70">
        <v>46142.0</v>
      </c>
      <c r="B249" s="29">
        <v>5.304537689E9</v>
      </c>
      <c r="C249" s="29" t="s">
        <v>2189</v>
      </c>
      <c r="D249" s="29" t="s">
        <v>2190</v>
      </c>
      <c r="E249" s="251" t="s">
        <v>2201</v>
      </c>
    </row>
    <row r="250">
      <c r="A250" s="70">
        <v>46142.0</v>
      </c>
      <c r="B250" s="29" t="s">
        <v>490</v>
      </c>
      <c r="C250" s="29" t="s">
        <v>2189</v>
      </c>
      <c r="D250" s="29" t="s">
        <v>2190</v>
      </c>
      <c r="E250" s="251" t="s">
        <v>2219</v>
      </c>
      <c r="F250" s="29">
        <v>5.0</v>
      </c>
    </row>
    <row r="251">
      <c r="A251" s="70">
        <v>46142.0</v>
      </c>
      <c r="B251" s="13" t="s">
        <v>484</v>
      </c>
      <c r="C251" s="29" t="s">
        <v>2189</v>
      </c>
      <c r="D251" s="29" t="s">
        <v>2190</v>
      </c>
      <c r="E251" s="251" t="s">
        <v>2192</v>
      </c>
      <c r="F251" s="29">
        <v>2.0</v>
      </c>
    </row>
    <row r="252">
      <c r="A252" s="70">
        <v>46142.0</v>
      </c>
      <c r="B252" s="29" t="s">
        <v>2476</v>
      </c>
      <c r="C252" s="29" t="s">
        <v>2189</v>
      </c>
      <c r="D252" s="29" t="s">
        <v>2190</v>
      </c>
      <c r="E252" s="251" t="s">
        <v>2242</v>
      </c>
    </row>
    <row r="253">
      <c r="A253" s="70">
        <v>46142.0</v>
      </c>
      <c r="B253" s="29" t="s">
        <v>2478</v>
      </c>
      <c r="C253" s="29" t="s">
        <v>2189</v>
      </c>
      <c r="D253" s="29" t="s">
        <v>2190</v>
      </c>
      <c r="E253" s="251" t="s">
        <v>2365</v>
      </c>
    </row>
    <row r="254">
      <c r="A254" s="70">
        <v>46142.0</v>
      </c>
      <c r="B254" s="29" t="s">
        <v>2480</v>
      </c>
      <c r="C254" s="29" t="s">
        <v>2189</v>
      </c>
      <c r="D254" s="29" t="s">
        <v>2190</v>
      </c>
      <c r="E254" s="251" t="s">
        <v>2219</v>
      </c>
    </row>
    <row r="255">
      <c r="A255" s="70">
        <v>46142.0</v>
      </c>
      <c r="B255" s="29" t="s">
        <v>2483</v>
      </c>
      <c r="C255" s="29" t="s">
        <v>2189</v>
      </c>
      <c r="D255" s="29" t="s">
        <v>2190</v>
      </c>
      <c r="E255" s="251" t="s">
        <v>2219</v>
      </c>
    </row>
    <row r="256">
      <c r="A256" s="70">
        <v>46142.0</v>
      </c>
      <c r="B256" s="29" t="s">
        <v>2485</v>
      </c>
      <c r="C256" s="29" t="s">
        <v>2189</v>
      </c>
      <c r="D256" s="29" t="s">
        <v>2190</v>
      </c>
      <c r="E256" s="251" t="s">
        <v>2207</v>
      </c>
    </row>
    <row r="257">
      <c r="A257" s="70">
        <v>46142.0</v>
      </c>
      <c r="B257" s="29" t="s">
        <v>1883</v>
      </c>
      <c r="C257" s="29" t="s">
        <v>2189</v>
      </c>
      <c r="D257" s="29" t="s">
        <v>2190</v>
      </c>
      <c r="E257" s="251" t="s">
        <v>2219</v>
      </c>
    </row>
    <row r="258">
      <c r="A258" s="70">
        <v>46142.0</v>
      </c>
      <c r="B258" s="29" t="s">
        <v>2487</v>
      </c>
      <c r="C258" s="29" t="s">
        <v>2189</v>
      </c>
      <c r="D258" s="29" t="s">
        <v>2190</v>
      </c>
      <c r="E258" s="251" t="s">
        <v>2345</v>
      </c>
    </row>
    <row r="259">
      <c r="A259" s="70">
        <v>46142.0</v>
      </c>
      <c r="B259" s="29" t="s">
        <v>2488</v>
      </c>
      <c r="C259" s="29" t="s">
        <v>2189</v>
      </c>
      <c r="D259" s="29" t="s">
        <v>2190</v>
      </c>
      <c r="E259" s="251" t="s">
        <v>2459</v>
      </c>
    </row>
    <row r="260">
      <c r="A260" s="70">
        <v>46142.0</v>
      </c>
      <c r="B260" s="273" t="s">
        <v>1833</v>
      </c>
      <c r="C260" s="29" t="s">
        <v>2189</v>
      </c>
      <c r="D260" s="29" t="s">
        <v>2190</v>
      </c>
      <c r="E260" s="251" t="s">
        <v>2311</v>
      </c>
    </row>
    <row r="261">
      <c r="A261" s="70">
        <v>46142.0</v>
      </c>
      <c r="B261" s="29" t="s">
        <v>1313</v>
      </c>
      <c r="C261" s="29" t="s">
        <v>2189</v>
      </c>
      <c r="D261" s="29" t="s">
        <v>2190</v>
      </c>
      <c r="E261" s="251" t="s">
        <v>2356</v>
      </c>
    </row>
    <row r="262">
      <c r="A262" s="70">
        <v>46142.0</v>
      </c>
      <c r="B262" s="29" t="s">
        <v>2489</v>
      </c>
      <c r="C262" s="29" t="s">
        <v>2189</v>
      </c>
      <c r="D262" s="29" t="s">
        <v>2190</v>
      </c>
      <c r="E262" s="251" t="s">
        <v>2234</v>
      </c>
    </row>
    <row r="263">
      <c r="A263" s="70">
        <v>46142.0</v>
      </c>
      <c r="B263" s="29" t="s">
        <v>2490</v>
      </c>
      <c r="C263" s="29" t="s">
        <v>2189</v>
      </c>
      <c r="D263" s="29" t="s">
        <v>2190</v>
      </c>
      <c r="E263" s="251" t="s">
        <v>2211</v>
      </c>
    </row>
    <row r="264">
      <c r="A264" s="70">
        <v>46142.0</v>
      </c>
      <c r="B264" s="29" t="s">
        <v>976</v>
      </c>
      <c r="C264" s="29" t="s">
        <v>2189</v>
      </c>
      <c r="D264" s="29" t="s">
        <v>2190</v>
      </c>
      <c r="E264" s="251" t="s">
        <v>2336</v>
      </c>
    </row>
    <row r="265">
      <c r="A265" s="70">
        <v>46142.0</v>
      </c>
      <c r="B265" s="29" t="s">
        <v>2492</v>
      </c>
      <c r="C265" s="29" t="s">
        <v>2189</v>
      </c>
      <c r="D265" s="29" t="s">
        <v>2190</v>
      </c>
      <c r="E265" s="251" t="s">
        <v>2219</v>
      </c>
    </row>
    <row r="266">
      <c r="A266" s="70">
        <v>46142.0</v>
      </c>
      <c r="B266" s="262" t="s">
        <v>2495</v>
      </c>
      <c r="C266" s="29" t="s">
        <v>2189</v>
      </c>
      <c r="D266" s="29" t="s">
        <v>2190</v>
      </c>
      <c r="E266" s="251" t="s">
        <v>2194</v>
      </c>
    </row>
    <row r="267">
      <c r="A267" s="70">
        <v>46142.0</v>
      </c>
      <c r="B267" s="29" t="s">
        <v>2497</v>
      </c>
      <c r="C267" s="29" t="s">
        <v>2189</v>
      </c>
      <c r="D267" s="29" t="s">
        <v>2190</v>
      </c>
      <c r="E267" s="251" t="s">
        <v>2374</v>
      </c>
      <c r="F267" s="29">
        <v>3.0</v>
      </c>
    </row>
    <row r="268">
      <c r="A268" s="70">
        <v>46142.0</v>
      </c>
      <c r="B268" s="29" t="s">
        <v>2498</v>
      </c>
      <c r="C268" s="29" t="s">
        <v>2189</v>
      </c>
      <c r="D268" s="29" t="s">
        <v>2190</v>
      </c>
      <c r="E268" s="251" t="s">
        <v>2219</v>
      </c>
    </row>
    <row r="269">
      <c r="A269" s="70">
        <v>46142.0</v>
      </c>
      <c r="B269" s="29" t="s">
        <v>2500</v>
      </c>
      <c r="C269" s="29" t="s">
        <v>2189</v>
      </c>
      <c r="D269" s="29" t="s">
        <v>2190</v>
      </c>
      <c r="E269" s="251" t="s">
        <v>2199</v>
      </c>
    </row>
    <row r="270">
      <c r="A270" s="70">
        <v>46142.0</v>
      </c>
      <c r="B270" s="210" t="s">
        <v>2501</v>
      </c>
      <c r="C270" s="29" t="s">
        <v>2189</v>
      </c>
      <c r="D270" s="29" t="s">
        <v>2190</v>
      </c>
      <c r="E270" s="251" t="s">
        <v>2336</v>
      </c>
    </row>
    <row r="271">
      <c r="A271" s="70">
        <v>46142.0</v>
      </c>
      <c r="B271" s="210" t="s">
        <v>2502</v>
      </c>
      <c r="C271" s="29" t="s">
        <v>2189</v>
      </c>
      <c r="D271" s="29" t="s">
        <v>2190</v>
      </c>
      <c r="E271" s="251" t="s">
        <v>2196</v>
      </c>
    </row>
    <row r="272">
      <c r="A272" s="70">
        <v>46142.0</v>
      </c>
      <c r="B272" s="29">
        <v>3.16282101E8</v>
      </c>
      <c r="C272" s="29" t="s">
        <v>2189</v>
      </c>
      <c r="D272" s="29" t="s">
        <v>2190</v>
      </c>
      <c r="E272" s="251" t="s">
        <v>2218</v>
      </c>
    </row>
    <row r="273">
      <c r="A273" s="70">
        <v>46142.0</v>
      </c>
      <c r="B273" s="29" t="s">
        <v>947</v>
      </c>
      <c r="C273" s="29" t="s">
        <v>2189</v>
      </c>
      <c r="D273" s="29" t="s">
        <v>2190</v>
      </c>
      <c r="E273" s="251" t="s">
        <v>2311</v>
      </c>
      <c r="F273" s="29">
        <v>2.0</v>
      </c>
    </row>
    <row r="274">
      <c r="A274" s="70">
        <v>46142.0</v>
      </c>
      <c r="C274" s="29" t="s">
        <v>2189</v>
      </c>
      <c r="D274" s="29" t="s">
        <v>2190</v>
      </c>
      <c r="E274" s="276"/>
    </row>
    <row r="275">
      <c r="A275" s="70">
        <v>46142.0</v>
      </c>
      <c r="C275" s="29" t="s">
        <v>2189</v>
      </c>
      <c r="D275" s="29" t="s">
        <v>2190</v>
      </c>
      <c r="E275" s="276"/>
    </row>
    <row r="276">
      <c r="A276" s="70">
        <v>46142.0</v>
      </c>
      <c r="C276" s="29" t="s">
        <v>2189</v>
      </c>
      <c r="D276" s="29" t="s">
        <v>2190</v>
      </c>
      <c r="E276" s="276"/>
    </row>
    <row r="277">
      <c r="A277" s="70">
        <v>46142.0</v>
      </c>
      <c r="C277" s="29" t="s">
        <v>2189</v>
      </c>
      <c r="D277" s="29" t="s">
        <v>2190</v>
      </c>
      <c r="E277" s="276"/>
    </row>
    <row r="278">
      <c r="A278" s="70">
        <v>46142.0</v>
      </c>
      <c r="C278" s="29" t="s">
        <v>2189</v>
      </c>
      <c r="D278" s="29" t="s">
        <v>2190</v>
      </c>
      <c r="E278" s="276"/>
    </row>
    <row r="279">
      <c r="A279" s="23"/>
      <c r="B279" s="23"/>
      <c r="C279" s="23"/>
      <c r="D279" s="23"/>
      <c r="E279" s="253"/>
    </row>
    <row r="280">
      <c r="A280" s="70">
        <v>46143.0</v>
      </c>
      <c r="B280" s="29" t="s">
        <v>2507</v>
      </c>
      <c r="C280" s="29" t="s">
        <v>2189</v>
      </c>
      <c r="D280" s="29" t="s">
        <v>2190</v>
      </c>
      <c r="E280" s="251" t="s">
        <v>2508</v>
      </c>
    </row>
    <row r="281">
      <c r="A281" s="70">
        <v>46143.0</v>
      </c>
      <c r="B281" s="29" t="s">
        <v>2509</v>
      </c>
      <c r="C281" s="29" t="s">
        <v>2189</v>
      </c>
      <c r="D281" s="29" t="s">
        <v>2190</v>
      </c>
      <c r="E281" s="251" t="s">
        <v>2245</v>
      </c>
    </row>
    <row r="282">
      <c r="A282" s="70">
        <v>46143.0</v>
      </c>
      <c r="B282" s="29">
        <v>2.40435912E8</v>
      </c>
      <c r="C282" s="29" t="s">
        <v>2189</v>
      </c>
      <c r="D282" s="29" t="s">
        <v>2190</v>
      </c>
      <c r="E282" s="251" t="s">
        <v>2207</v>
      </c>
    </row>
    <row r="283">
      <c r="A283" s="70">
        <v>46143.0</v>
      </c>
      <c r="B283" s="29" t="s">
        <v>2512</v>
      </c>
      <c r="C283" s="29" t="s">
        <v>2189</v>
      </c>
      <c r="D283" s="29" t="s">
        <v>2190</v>
      </c>
      <c r="E283" s="251" t="s">
        <v>2192</v>
      </c>
    </row>
    <row r="284">
      <c r="A284" s="70">
        <v>46143.0</v>
      </c>
      <c r="B284" s="29" t="s">
        <v>2513</v>
      </c>
      <c r="C284" s="29" t="s">
        <v>2189</v>
      </c>
      <c r="D284" s="29" t="s">
        <v>2190</v>
      </c>
      <c r="E284" s="251" t="s">
        <v>2209</v>
      </c>
    </row>
    <row r="285">
      <c r="A285" s="70">
        <v>46143.0</v>
      </c>
      <c r="B285" s="29" t="s">
        <v>2515</v>
      </c>
      <c r="C285" s="29" t="s">
        <v>2189</v>
      </c>
      <c r="D285" s="29" t="s">
        <v>2190</v>
      </c>
      <c r="E285" s="251" t="s">
        <v>2209</v>
      </c>
    </row>
    <row r="286">
      <c r="A286" s="70">
        <v>46143.0</v>
      </c>
      <c r="B286" s="29" t="s">
        <v>2517</v>
      </c>
      <c r="C286" s="29" t="s">
        <v>2189</v>
      </c>
      <c r="D286" s="29" t="s">
        <v>2190</v>
      </c>
      <c r="E286" s="251" t="s">
        <v>2518</v>
      </c>
    </row>
    <row r="287">
      <c r="A287" s="70">
        <v>46143.0</v>
      </c>
      <c r="B287" s="29">
        <v>5.304530853E9</v>
      </c>
      <c r="C287" s="29" t="s">
        <v>2189</v>
      </c>
      <c r="D287" s="29" t="s">
        <v>2190</v>
      </c>
      <c r="E287" s="251" t="s">
        <v>2234</v>
      </c>
    </row>
    <row r="288">
      <c r="A288" s="70">
        <v>46143.0</v>
      </c>
      <c r="B288" s="277" t="s">
        <v>2520</v>
      </c>
      <c r="C288" s="29" t="s">
        <v>2189</v>
      </c>
      <c r="D288" s="29" t="s">
        <v>2190</v>
      </c>
      <c r="E288" s="251" t="s">
        <v>2238</v>
      </c>
    </row>
    <row r="289">
      <c r="A289" s="70">
        <v>46143.0</v>
      </c>
      <c r="B289" s="29">
        <v>2.42193213E8</v>
      </c>
      <c r="C289" s="29" t="s">
        <v>2189</v>
      </c>
      <c r="D289" s="29" t="s">
        <v>2190</v>
      </c>
      <c r="E289" s="251" t="s">
        <v>2419</v>
      </c>
    </row>
    <row r="290">
      <c r="A290" s="70">
        <v>46143.0</v>
      </c>
      <c r="B290" s="29" t="s">
        <v>2523</v>
      </c>
      <c r="C290" s="29" t="s">
        <v>2189</v>
      </c>
      <c r="D290" s="29" t="s">
        <v>2190</v>
      </c>
      <c r="E290" s="251" t="s">
        <v>2196</v>
      </c>
    </row>
    <row r="291">
      <c r="A291" s="70">
        <v>46143.0</v>
      </c>
      <c r="B291" s="29" t="s">
        <v>2524</v>
      </c>
      <c r="C291" s="29" t="s">
        <v>2189</v>
      </c>
      <c r="D291" s="29" t="s">
        <v>2190</v>
      </c>
      <c r="E291" s="251" t="s">
        <v>2219</v>
      </c>
    </row>
    <row r="292">
      <c r="A292" s="70">
        <v>46143.0</v>
      </c>
      <c r="B292" s="29" t="s">
        <v>2526</v>
      </c>
      <c r="C292" s="29" t="s">
        <v>2189</v>
      </c>
      <c r="D292" s="29" t="s">
        <v>2190</v>
      </c>
      <c r="E292" s="251" t="s">
        <v>2527</v>
      </c>
    </row>
    <row r="293">
      <c r="A293" s="70">
        <v>46143.0</v>
      </c>
      <c r="B293" s="29" t="s">
        <v>2528</v>
      </c>
      <c r="C293" s="29" t="s">
        <v>2189</v>
      </c>
      <c r="D293" s="29" t="s">
        <v>2190</v>
      </c>
      <c r="E293" s="251" t="s">
        <v>2207</v>
      </c>
    </row>
    <row r="294">
      <c r="A294" s="70">
        <v>46143.0</v>
      </c>
      <c r="B294" s="29" t="s">
        <v>2529</v>
      </c>
      <c r="C294" s="29" t="s">
        <v>2189</v>
      </c>
      <c r="D294" s="29" t="s">
        <v>2190</v>
      </c>
      <c r="E294" s="251" t="s">
        <v>2530</v>
      </c>
    </row>
    <row r="295">
      <c r="A295" s="70">
        <v>46143.0</v>
      </c>
      <c r="B295" s="29" t="s">
        <v>2532</v>
      </c>
      <c r="C295" s="29" t="s">
        <v>2189</v>
      </c>
      <c r="D295" s="29" t="s">
        <v>2190</v>
      </c>
      <c r="E295" s="251" t="s">
        <v>2534</v>
      </c>
    </row>
    <row r="296">
      <c r="A296" s="70">
        <v>46143.0</v>
      </c>
      <c r="B296" s="29" t="s">
        <v>1191</v>
      </c>
      <c r="C296" s="29" t="s">
        <v>2189</v>
      </c>
      <c r="D296" s="29" t="s">
        <v>2190</v>
      </c>
      <c r="E296" s="251" t="s">
        <v>2300</v>
      </c>
    </row>
    <row r="297">
      <c r="A297" s="70">
        <v>46143.0</v>
      </c>
      <c r="B297" s="29" t="s">
        <v>2535</v>
      </c>
      <c r="C297" s="29" t="s">
        <v>2189</v>
      </c>
      <c r="D297" s="29" t="s">
        <v>2190</v>
      </c>
      <c r="E297" s="251" t="s">
        <v>2207</v>
      </c>
    </row>
    <row r="298">
      <c r="A298" s="70">
        <v>46143.0</v>
      </c>
      <c r="B298" s="29" t="s">
        <v>1504</v>
      </c>
      <c r="C298" s="29" t="s">
        <v>2189</v>
      </c>
      <c r="D298" s="29" t="s">
        <v>2190</v>
      </c>
      <c r="E298" s="251" t="s">
        <v>2194</v>
      </c>
    </row>
    <row r="299">
      <c r="A299" s="70">
        <v>46143.0</v>
      </c>
      <c r="B299" s="29" t="s">
        <v>2537</v>
      </c>
      <c r="C299" s="29" t="s">
        <v>2189</v>
      </c>
      <c r="D299" s="29" t="s">
        <v>2190</v>
      </c>
      <c r="E299" s="251" t="s">
        <v>2209</v>
      </c>
    </row>
    <row r="300">
      <c r="A300" s="70">
        <v>46143.0</v>
      </c>
      <c r="B300" s="67" t="s">
        <v>392</v>
      </c>
      <c r="C300" s="29" t="s">
        <v>2189</v>
      </c>
      <c r="D300" s="29" t="s">
        <v>2190</v>
      </c>
      <c r="E300" s="251" t="s">
        <v>2293</v>
      </c>
    </row>
    <row r="301">
      <c r="A301" s="70">
        <v>46143.0</v>
      </c>
      <c r="B301" s="29" t="s">
        <v>2538</v>
      </c>
      <c r="C301" s="29" t="s">
        <v>2189</v>
      </c>
      <c r="D301" s="29" t="s">
        <v>2190</v>
      </c>
      <c r="E301" s="251" t="s">
        <v>2293</v>
      </c>
    </row>
    <row r="302">
      <c r="A302" s="70">
        <v>46143.0</v>
      </c>
      <c r="B302" s="29" t="s">
        <v>353</v>
      </c>
      <c r="C302" s="29" t="s">
        <v>2189</v>
      </c>
      <c r="D302" s="29" t="s">
        <v>2190</v>
      </c>
      <c r="E302" s="251" t="s">
        <v>2245</v>
      </c>
    </row>
    <row r="303">
      <c r="A303" s="70">
        <v>46143.0</v>
      </c>
      <c r="B303" s="29" t="s">
        <v>2539</v>
      </c>
      <c r="C303" s="29" t="s">
        <v>2189</v>
      </c>
      <c r="D303" s="29" t="s">
        <v>2190</v>
      </c>
      <c r="E303" s="251" t="s">
        <v>2201</v>
      </c>
    </row>
    <row r="304">
      <c r="A304" s="70">
        <v>46143.0</v>
      </c>
      <c r="B304" s="29" t="s">
        <v>2540</v>
      </c>
      <c r="C304" s="29" t="s">
        <v>2189</v>
      </c>
      <c r="D304" s="29" t="s">
        <v>2190</v>
      </c>
      <c r="E304" s="251" t="s">
        <v>2541</v>
      </c>
    </row>
    <row r="305">
      <c r="A305" s="70">
        <v>46143.0</v>
      </c>
      <c r="B305" s="36" t="s">
        <v>2542</v>
      </c>
      <c r="C305" s="29" t="s">
        <v>2189</v>
      </c>
      <c r="D305" s="29" t="s">
        <v>2190</v>
      </c>
      <c r="E305" s="251" t="s">
        <v>2544</v>
      </c>
    </row>
    <row r="306">
      <c r="A306" s="70">
        <v>46143.0</v>
      </c>
      <c r="B306" s="29" t="s">
        <v>2545</v>
      </c>
      <c r="C306" s="29" t="s">
        <v>2189</v>
      </c>
      <c r="D306" s="29" t="s">
        <v>2190</v>
      </c>
      <c r="E306" s="251" t="s">
        <v>2298</v>
      </c>
    </row>
    <row r="307">
      <c r="A307" s="70">
        <v>46143.0</v>
      </c>
      <c r="B307" s="29" t="s">
        <v>78</v>
      </c>
      <c r="C307" s="29" t="s">
        <v>2189</v>
      </c>
      <c r="D307" s="29" t="s">
        <v>2190</v>
      </c>
      <c r="E307" s="251" t="s">
        <v>2342</v>
      </c>
    </row>
    <row r="308">
      <c r="A308" s="70">
        <v>46143.0</v>
      </c>
      <c r="B308" s="29" t="s">
        <v>2547</v>
      </c>
      <c r="C308" s="29" t="s">
        <v>2189</v>
      </c>
      <c r="D308" s="29" t="s">
        <v>2190</v>
      </c>
      <c r="E308" s="251" t="s">
        <v>2249</v>
      </c>
      <c r="F308" s="29">
        <v>3.0</v>
      </c>
    </row>
    <row r="309">
      <c r="A309" s="70">
        <v>46143.0</v>
      </c>
      <c r="B309" s="29" t="s">
        <v>2548</v>
      </c>
      <c r="C309" s="29" t="s">
        <v>2189</v>
      </c>
      <c r="D309" s="29" t="s">
        <v>2190</v>
      </c>
      <c r="E309" s="251" t="s">
        <v>2549</v>
      </c>
    </row>
    <row r="310">
      <c r="A310" s="23"/>
      <c r="B310" s="23"/>
      <c r="C310" s="23"/>
      <c r="D310" s="23"/>
      <c r="E310" s="253"/>
      <c r="F310" s="23"/>
      <c r="G310" s="23"/>
    </row>
    <row r="311">
      <c r="A311" s="29" t="s">
        <v>2551</v>
      </c>
      <c r="B311" s="29" t="s">
        <v>1310</v>
      </c>
      <c r="C311" s="29" t="s">
        <v>2189</v>
      </c>
      <c r="D311" s="29" t="s">
        <v>2190</v>
      </c>
      <c r="E311" s="251" t="s">
        <v>2315</v>
      </c>
    </row>
    <row r="312">
      <c r="A312" s="29" t="s">
        <v>2551</v>
      </c>
      <c r="B312" s="29" t="s">
        <v>2553</v>
      </c>
      <c r="C312" s="29" t="s">
        <v>2189</v>
      </c>
      <c r="D312" s="29" t="s">
        <v>2190</v>
      </c>
      <c r="E312" s="251" t="s">
        <v>2194</v>
      </c>
      <c r="F312" s="29">
        <v>4.0</v>
      </c>
    </row>
    <row r="313">
      <c r="A313" s="29" t="s">
        <v>2551</v>
      </c>
      <c r="B313" s="36" t="s">
        <v>686</v>
      </c>
      <c r="C313" s="29" t="s">
        <v>2189</v>
      </c>
      <c r="D313" s="29" t="s">
        <v>2190</v>
      </c>
      <c r="E313" s="251" t="s">
        <v>2555</v>
      </c>
    </row>
    <row r="314">
      <c r="A314" s="29" t="s">
        <v>2551</v>
      </c>
      <c r="B314" s="29" t="s">
        <v>2556</v>
      </c>
      <c r="C314" s="29" t="s">
        <v>2189</v>
      </c>
      <c r="D314" s="29" t="s">
        <v>2190</v>
      </c>
      <c r="E314" s="251" t="s">
        <v>2348</v>
      </c>
      <c r="F314" s="29">
        <v>4.0</v>
      </c>
    </row>
    <row r="315">
      <c r="A315" s="29" t="s">
        <v>2551</v>
      </c>
      <c r="B315" s="29" t="s">
        <v>2558</v>
      </c>
      <c r="C315" s="29" t="s">
        <v>2189</v>
      </c>
      <c r="D315" s="29" t="s">
        <v>2190</v>
      </c>
      <c r="E315" s="251" t="s">
        <v>2348</v>
      </c>
      <c r="F315" s="29">
        <v>4.0</v>
      </c>
    </row>
    <row r="316">
      <c r="A316" s="29" t="s">
        <v>2551</v>
      </c>
      <c r="B316" s="29" t="s">
        <v>2559</v>
      </c>
      <c r="C316" s="29" t="s">
        <v>2189</v>
      </c>
      <c r="D316" s="29" t="s">
        <v>2190</v>
      </c>
      <c r="E316" s="251" t="s">
        <v>2348</v>
      </c>
      <c r="F316" s="29">
        <v>4.0</v>
      </c>
    </row>
    <row r="317">
      <c r="A317" s="29" t="s">
        <v>2551</v>
      </c>
      <c r="B317" s="29" t="s">
        <v>2561</v>
      </c>
      <c r="C317" s="29" t="s">
        <v>2189</v>
      </c>
      <c r="D317" s="29" t="s">
        <v>2190</v>
      </c>
      <c r="E317" s="251" t="s">
        <v>2365</v>
      </c>
    </row>
    <row r="318">
      <c r="A318" s="29" t="s">
        <v>2551</v>
      </c>
      <c r="B318" s="29" t="s">
        <v>1419</v>
      </c>
      <c r="C318" s="29" t="s">
        <v>2189</v>
      </c>
      <c r="D318" s="29" t="s">
        <v>2190</v>
      </c>
      <c r="E318" s="251" t="s">
        <v>2245</v>
      </c>
    </row>
    <row r="319">
      <c r="A319" s="29" t="s">
        <v>2551</v>
      </c>
      <c r="B319" s="29" t="s">
        <v>2563</v>
      </c>
      <c r="C319" s="29" t="s">
        <v>2189</v>
      </c>
      <c r="D319" s="29" t="s">
        <v>2190</v>
      </c>
      <c r="E319" s="251" t="s">
        <v>2229</v>
      </c>
    </row>
    <row r="320">
      <c r="A320" s="29" t="s">
        <v>2551</v>
      </c>
      <c r="B320" s="29" t="s">
        <v>1409</v>
      </c>
      <c r="C320" s="29" t="s">
        <v>2189</v>
      </c>
      <c r="D320" s="29" t="s">
        <v>2190</v>
      </c>
      <c r="E320" s="251" t="s">
        <v>2245</v>
      </c>
    </row>
    <row r="321">
      <c r="A321" s="29" t="s">
        <v>2551</v>
      </c>
      <c r="B321" s="29">
        <v>1.17495104E8</v>
      </c>
      <c r="C321" s="29" t="s">
        <v>2189</v>
      </c>
      <c r="D321" s="29" t="s">
        <v>2190</v>
      </c>
      <c r="E321" s="251" t="s">
        <v>2245</v>
      </c>
    </row>
    <row r="322">
      <c r="A322" s="29" t="s">
        <v>2551</v>
      </c>
      <c r="B322" s="29">
        <v>5.303918891E9</v>
      </c>
      <c r="C322" s="29" t="s">
        <v>2189</v>
      </c>
      <c r="D322" s="29" t="s">
        <v>2190</v>
      </c>
      <c r="E322" s="251" t="s">
        <v>2216</v>
      </c>
    </row>
    <row r="323">
      <c r="A323" s="29" t="s">
        <v>2551</v>
      </c>
      <c r="B323" s="29" t="s">
        <v>2566</v>
      </c>
      <c r="C323" s="29" t="s">
        <v>2189</v>
      </c>
      <c r="D323" s="29" t="s">
        <v>2190</v>
      </c>
      <c r="E323" s="251" t="s">
        <v>2293</v>
      </c>
    </row>
    <row r="324">
      <c r="A324" s="29" t="s">
        <v>2551</v>
      </c>
      <c r="B324" s="29" t="s">
        <v>2567</v>
      </c>
      <c r="C324" s="29" t="s">
        <v>2189</v>
      </c>
      <c r="D324" s="29" t="s">
        <v>2190</v>
      </c>
      <c r="E324" s="251" t="s">
        <v>2568</v>
      </c>
    </row>
    <row r="325">
      <c r="A325" s="29" t="s">
        <v>2551</v>
      </c>
      <c r="B325" s="29">
        <v>5.304536526E9</v>
      </c>
      <c r="C325" s="29" t="s">
        <v>2189</v>
      </c>
      <c r="D325" s="29" t="s">
        <v>2190</v>
      </c>
      <c r="E325" s="251" t="s">
        <v>2570</v>
      </c>
    </row>
    <row r="326">
      <c r="A326" s="29" t="s">
        <v>2551</v>
      </c>
      <c r="B326" s="29" t="s">
        <v>2571</v>
      </c>
      <c r="C326" s="29" t="s">
        <v>2189</v>
      </c>
      <c r="D326" s="29" t="s">
        <v>2190</v>
      </c>
      <c r="E326" s="251" t="s">
        <v>2387</v>
      </c>
    </row>
    <row r="327">
      <c r="A327" s="29" t="s">
        <v>2551</v>
      </c>
      <c r="B327" s="29" t="s">
        <v>2572</v>
      </c>
      <c r="C327" s="29" t="s">
        <v>2189</v>
      </c>
      <c r="D327" s="29" t="s">
        <v>2190</v>
      </c>
      <c r="E327" s="251" t="s">
        <v>2260</v>
      </c>
    </row>
    <row r="328">
      <c r="A328" s="23"/>
      <c r="B328" s="23"/>
      <c r="C328" s="23"/>
      <c r="D328" s="23"/>
      <c r="E328" s="253"/>
      <c r="F328" s="23"/>
      <c r="G328" s="23"/>
    </row>
    <row r="329">
      <c r="A329" s="70">
        <v>46147.0</v>
      </c>
      <c r="B329" s="29">
        <v>5.304535562E9</v>
      </c>
      <c r="C329" s="29" t="s">
        <v>2189</v>
      </c>
      <c r="D329" s="29" t="s">
        <v>2190</v>
      </c>
      <c r="E329" s="251" t="s">
        <v>2249</v>
      </c>
      <c r="F329" s="29" t="s">
        <v>2574</v>
      </c>
    </row>
    <row r="330">
      <c r="A330" s="70">
        <v>46147.0</v>
      </c>
      <c r="B330" s="29">
        <v>5.304535562E9</v>
      </c>
      <c r="C330" s="29" t="s">
        <v>2189</v>
      </c>
      <c r="D330" s="29" t="s">
        <v>2190</v>
      </c>
      <c r="E330" s="251" t="s">
        <v>2223</v>
      </c>
      <c r="F330" s="29" t="s">
        <v>2574</v>
      </c>
    </row>
    <row r="331">
      <c r="A331" s="70">
        <v>46147.0</v>
      </c>
      <c r="B331" s="29" t="s">
        <v>1029</v>
      </c>
      <c r="C331" s="29" t="s">
        <v>2189</v>
      </c>
      <c r="D331" s="29" t="s">
        <v>2190</v>
      </c>
      <c r="E331" s="251" t="s">
        <v>2368</v>
      </c>
    </row>
    <row r="332">
      <c r="A332" s="70">
        <v>46147.0</v>
      </c>
      <c r="B332" s="29">
        <v>5.304530688E9</v>
      </c>
      <c r="C332" s="29" t="s">
        <v>2189</v>
      </c>
      <c r="D332" s="29" t="s">
        <v>2190</v>
      </c>
      <c r="E332" s="251" t="s">
        <v>2229</v>
      </c>
    </row>
    <row r="333">
      <c r="A333" s="70">
        <v>46147.0</v>
      </c>
      <c r="B333" s="29" t="s">
        <v>2576</v>
      </c>
      <c r="C333" s="29" t="s">
        <v>2189</v>
      </c>
      <c r="D333" s="29" t="s">
        <v>2190</v>
      </c>
      <c r="E333" s="251" t="s">
        <v>2211</v>
      </c>
    </row>
    <row r="334">
      <c r="A334" s="70">
        <v>46147.0</v>
      </c>
      <c r="B334" s="29" t="s">
        <v>571</v>
      </c>
      <c r="C334" s="29" t="s">
        <v>2189</v>
      </c>
      <c r="D334" s="29" t="s">
        <v>2190</v>
      </c>
      <c r="E334" s="251" t="s">
        <v>2331</v>
      </c>
    </row>
    <row r="335">
      <c r="A335" s="70">
        <v>46147.0</v>
      </c>
      <c r="B335" s="29" t="s">
        <v>2577</v>
      </c>
      <c r="C335" s="29" t="s">
        <v>2189</v>
      </c>
      <c r="D335" s="29" t="s">
        <v>2190</v>
      </c>
      <c r="E335" s="251" t="s">
        <v>2467</v>
      </c>
    </row>
    <row r="336">
      <c r="A336" s="70">
        <v>46147.0</v>
      </c>
      <c r="B336" s="29" t="s">
        <v>2578</v>
      </c>
      <c r="C336" s="29" t="s">
        <v>2189</v>
      </c>
      <c r="D336" s="29" t="s">
        <v>2190</v>
      </c>
      <c r="E336" s="251" t="s">
        <v>2192</v>
      </c>
    </row>
    <row r="337">
      <c r="A337" s="70">
        <v>46147.0</v>
      </c>
      <c r="B337" s="29" t="s">
        <v>2580</v>
      </c>
      <c r="C337" s="29" t="s">
        <v>2189</v>
      </c>
      <c r="D337" s="29" t="s">
        <v>2581</v>
      </c>
      <c r="E337" s="251" t="s">
        <v>2582</v>
      </c>
    </row>
    <row r="338">
      <c r="A338" s="70">
        <v>46147.0</v>
      </c>
      <c r="B338" s="277" t="s">
        <v>2583</v>
      </c>
      <c r="C338" s="29" t="s">
        <v>2189</v>
      </c>
      <c r="D338" s="29" t="s">
        <v>2581</v>
      </c>
      <c r="E338" s="251" t="s">
        <v>2584</v>
      </c>
    </row>
    <row r="339">
      <c r="A339" s="70">
        <v>46147.0</v>
      </c>
      <c r="B339" s="282" t="s">
        <v>2587</v>
      </c>
      <c r="C339" s="29" t="s">
        <v>2189</v>
      </c>
      <c r="D339" s="29" t="s">
        <v>2581</v>
      </c>
      <c r="E339" s="251" t="s">
        <v>2219</v>
      </c>
    </row>
    <row r="340">
      <c r="A340" s="70">
        <v>46147.0</v>
      </c>
      <c r="B340" s="283" t="s">
        <v>2589</v>
      </c>
      <c r="C340" s="29" t="s">
        <v>2189</v>
      </c>
      <c r="D340" s="29" t="s">
        <v>2581</v>
      </c>
      <c r="E340" s="251" t="s">
        <v>2590</v>
      </c>
    </row>
    <row r="341">
      <c r="A341" s="70">
        <v>46147.0</v>
      </c>
      <c r="B341" s="284">
        <v>5.304529495E9</v>
      </c>
      <c r="C341" s="29" t="s">
        <v>2189</v>
      </c>
      <c r="D341" s="29" t="s">
        <v>2581</v>
      </c>
      <c r="E341" s="251" t="s">
        <v>2592</v>
      </c>
    </row>
    <row r="342">
      <c r="A342" s="70">
        <v>46147.0</v>
      </c>
      <c r="B342" s="282">
        <v>5.304532073E9</v>
      </c>
      <c r="C342" s="29" t="s">
        <v>2189</v>
      </c>
      <c r="D342" s="29" t="s">
        <v>2581</v>
      </c>
      <c r="E342" s="251" t="s">
        <v>2594</v>
      </c>
    </row>
    <row r="343">
      <c r="A343" s="70">
        <v>46147.0</v>
      </c>
      <c r="B343" s="29" t="s">
        <v>2595</v>
      </c>
      <c r="C343" s="29" t="s">
        <v>2189</v>
      </c>
      <c r="D343" s="29" t="s">
        <v>2581</v>
      </c>
      <c r="E343" s="251" t="s">
        <v>2596</v>
      </c>
    </row>
    <row r="344">
      <c r="A344" s="70">
        <v>46147.0</v>
      </c>
      <c r="B344" s="282">
        <v>5.304533254E9</v>
      </c>
      <c r="C344" s="29" t="s">
        <v>2189</v>
      </c>
      <c r="D344" s="29" t="s">
        <v>2581</v>
      </c>
      <c r="E344" s="251" t="s">
        <v>2598</v>
      </c>
    </row>
    <row r="345">
      <c r="A345" s="70">
        <v>46147.0</v>
      </c>
      <c r="B345" s="282">
        <v>5.30452631E9</v>
      </c>
      <c r="C345" s="29" t="s">
        <v>2189</v>
      </c>
      <c r="D345" s="29" t="s">
        <v>2581</v>
      </c>
      <c r="E345" s="251" t="s">
        <v>2599</v>
      </c>
    </row>
    <row r="346">
      <c r="A346" s="70">
        <v>46147.0</v>
      </c>
      <c r="B346" s="29">
        <v>5.304536607E9</v>
      </c>
      <c r="C346" s="29" t="s">
        <v>2189</v>
      </c>
      <c r="D346" s="29" t="s">
        <v>2581</v>
      </c>
      <c r="E346" s="251" t="s">
        <v>2592</v>
      </c>
    </row>
    <row r="347">
      <c r="A347" s="70">
        <v>46147.0</v>
      </c>
      <c r="B347" s="277" t="s">
        <v>2601</v>
      </c>
      <c r="C347" s="29" t="s">
        <v>2189</v>
      </c>
      <c r="D347" s="29" t="s">
        <v>2581</v>
      </c>
      <c r="E347" s="251" t="s">
        <v>2602</v>
      </c>
    </row>
    <row r="348">
      <c r="A348" s="70">
        <v>46147.0</v>
      </c>
      <c r="B348" s="29">
        <v>5.304539038E9</v>
      </c>
      <c r="C348" s="29" t="s">
        <v>2189</v>
      </c>
      <c r="D348" s="29" t="s">
        <v>2581</v>
      </c>
      <c r="E348" s="251" t="s">
        <v>2604</v>
      </c>
    </row>
    <row r="349">
      <c r="A349" s="70">
        <v>46147.0</v>
      </c>
      <c r="B349" s="277">
        <v>5.304536917E9</v>
      </c>
      <c r="C349" s="29" t="s">
        <v>2189</v>
      </c>
      <c r="D349" s="29" t="s">
        <v>2581</v>
      </c>
      <c r="E349" s="251" t="s">
        <v>2605</v>
      </c>
    </row>
    <row r="350">
      <c r="A350" s="70">
        <v>46147.0</v>
      </c>
      <c r="B350" s="277">
        <v>2.18976438E8</v>
      </c>
      <c r="C350" s="29" t="s">
        <v>2189</v>
      </c>
      <c r="D350" s="29" t="s">
        <v>2581</v>
      </c>
      <c r="E350" s="251" t="s">
        <v>2606</v>
      </c>
    </row>
    <row r="351">
      <c r="A351" s="70">
        <v>46147.0</v>
      </c>
      <c r="B351" s="277" t="s">
        <v>694</v>
      </c>
      <c r="C351" s="29" t="s">
        <v>2189</v>
      </c>
      <c r="D351" s="29" t="s">
        <v>2581</v>
      </c>
      <c r="E351" s="251" t="s">
        <v>2607</v>
      </c>
    </row>
    <row r="352">
      <c r="A352" s="70">
        <v>46147.0</v>
      </c>
      <c r="B352" s="277" t="s">
        <v>365</v>
      </c>
      <c r="C352" s="29" t="s">
        <v>2189</v>
      </c>
      <c r="D352" s="29" t="s">
        <v>2581</v>
      </c>
      <c r="E352" s="251" t="s">
        <v>2608</v>
      </c>
    </row>
    <row r="353">
      <c r="A353" s="70">
        <v>46147.0</v>
      </c>
      <c r="B353" s="277">
        <v>5.304525044E9</v>
      </c>
      <c r="C353" s="29" t="s">
        <v>2189</v>
      </c>
      <c r="D353" s="29" t="s">
        <v>2581</v>
      </c>
      <c r="E353" s="251" t="s">
        <v>2610</v>
      </c>
    </row>
    <row r="354">
      <c r="A354" s="70">
        <v>46147.0</v>
      </c>
      <c r="B354" s="277" t="s">
        <v>1886</v>
      </c>
      <c r="C354" s="29" t="s">
        <v>2189</v>
      </c>
      <c r="D354" s="29" t="s">
        <v>2581</v>
      </c>
      <c r="E354" s="251" t="s">
        <v>2598</v>
      </c>
    </row>
    <row r="355">
      <c r="A355" s="70">
        <v>46147.0</v>
      </c>
      <c r="B355" s="29" t="s">
        <v>2611</v>
      </c>
      <c r="C355" s="29" t="s">
        <v>2189</v>
      </c>
      <c r="D355" s="29" t="s">
        <v>2581</v>
      </c>
      <c r="E355" s="251" t="s">
        <v>2613</v>
      </c>
    </row>
    <row r="356">
      <c r="A356" s="70">
        <v>46147.0</v>
      </c>
      <c r="B356" s="277">
        <v>5.304529484E9</v>
      </c>
      <c r="C356" s="29" t="s">
        <v>2189</v>
      </c>
      <c r="D356" s="29" t="s">
        <v>2581</v>
      </c>
      <c r="E356" s="251" t="s">
        <v>2614</v>
      </c>
    </row>
    <row r="357">
      <c r="A357" s="70">
        <v>46147.0</v>
      </c>
      <c r="B357" s="277" t="s">
        <v>2615</v>
      </c>
      <c r="C357" s="29" t="s">
        <v>2189</v>
      </c>
      <c r="D357" s="29" t="s">
        <v>2581</v>
      </c>
      <c r="E357" s="251" t="s">
        <v>2614</v>
      </c>
    </row>
    <row r="358">
      <c r="A358" s="70">
        <v>46147.0</v>
      </c>
      <c r="B358" s="285" t="s">
        <v>502</v>
      </c>
      <c r="C358" s="29" t="s">
        <v>2189</v>
      </c>
      <c r="D358" s="29" t="s">
        <v>2581</v>
      </c>
      <c r="E358" s="251" t="s">
        <v>2617</v>
      </c>
    </row>
    <row r="359">
      <c r="A359" s="23"/>
      <c r="B359" s="23"/>
      <c r="C359" s="23"/>
      <c r="D359" s="23"/>
      <c r="E359" s="253"/>
      <c r="F359" s="23"/>
    </row>
    <row r="360">
      <c r="A360" s="70">
        <v>46148.0</v>
      </c>
      <c r="B360" s="285" t="s">
        <v>2619</v>
      </c>
      <c r="C360" s="29" t="s">
        <v>2189</v>
      </c>
      <c r="D360" s="29" t="s">
        <v>2581</v>
      </c>
      <c r="E360" s="251" t="s">
        <v>2620</v>
      </c>
    </row>
    <row r="361">
      <c r="A361" s="70">
        <v>46148.0</v>
      </c>
      <c r="B361" s="29" t="s">
        <v>2621</v>
      </c>
      <c r="C361" s="29" t="s">
        <v>2189</v>
      </c>
      <c r="D361" s="29" t="s">
        <v>2581</v>
      </c>
      <c r="E361" s="251" t="s">
        <v>2622</v>
      </c>
    </row>
    <row r="362">
      <c r="A362" s="70">
        <v>46148.0</v>
      </c>
      <c r="B362" s="29" t="s">
        <v>2623</v>
      </c>
      <c r="C362" s="29" t="s">
        <v>2189</v>
      </c>
      <c r="D362" s="29" t="s">
        <v>2624</v>
      </c>
      <c r="E362" s="251" t="s">
        <v>2625</v>
      </c>
    </row>
    <row r="363">
      <c r="A363" s="70">
        <v>46148.0</v>
      </c>
      <c r="B363" s="286">
        <v>1.347193E8</v>
      </c>
      <c r="C363" s="29" t="s">
        <v>2189</v>
      </c>
      <c r="D363" s="29" t="s">
        <v>2624</v>
      </c>
      <c r="E363" s="251" t="s">
        <v>2629</v>
      </c>
    </row>
    <row r="364">
      <c r="A364" s="70">
        <v>46148.0</v>
      </c>
      <c r="B364" s="286">
        <v>5.304536666E9</v>
      </c>
      <c r="C364" s="29" t="s">
        <v>2189</v>
      </c>
      <c r="D364" s="29" t="s">
        <v>2624</v>
      </c>
      <c r="E364" s="251" t="s">
        <v>2630</v>
      </c>
    </row>
    <row r="365">
      <c r="A365" s="70">
        <v>46148.0</v>
      </c>
      <c r="B365" s="286">
        <v>5.303918775E9</v>
      </c>
      <c r="C365" s="29" t="s">
        <v>2189</v>
      </c>
      <c r="D365" s="29" t="s">
        <v>2624</v>
      </c>
      <c r="E365" s="251" t="s">
        <v>2629</v>
      </c>
    </row>
    <row r="366">
      <c r="A366" s="70">
        <v>46148.0</v>
      </c>
      <c r="B366" s="286">
        <v>2.42220204E8</v>
      </c>
      <c r="C366" s="29" t="s">
        <v>2189</v>
      </c>
      <c r="D366" s="29" t="s">
        <v>2624</v>
      </c>
      <c r="E366" s="251" t="s">
        <v>2631</v>
      </c>
    </row>
    <row r="367">
      <c r="A367" s="70">
        <v>46148.0</v>
      </c>
      <c r="B367" s="286" t="s">
        <v>144</v>
      </c>
      <c r="C367" s="29" t="s">
        <v>2189</v>
      </c>
      <c r="D367" s="29" t="s">
        <v>2624</v>
      </c>
      <c r="E367" s="251" t="s">
        <v>2634</v>
      </c>
    </row>
    <row r="368">
      <c r="A368" s="70">
        <v>46148.0</v>
      </c>
      <c r="B368" s="287" t="s">
        <v>2636</v>
      </c>
      <c r="C368" s="29" t="s">
        <v>2189</v>
      </c>
      <c r="D368" s="29" t="s">
        <v>2624</v>
      </c>
      <c r="E368" s="251" t="s">
        <v>2634</v>
      </c>
    </row>
    <row r="369">
      <c r="A369" s="70">
        <v>46148.0</v>
      </c>
      <c r="B369" s="287" t="s">
        <v>2637</v>
      </c>
      <c r="C369" s="29" t="s">
        <v>2189</v>
      </c>
      <c r="D369" s="29" t="s">
        <v>2624</v>
      </c>
      <c r="E369" s="251" t="s">
        <v>2639</v>
      </c>
    </row>
    <row r="370">
      <c r="A370" s="70">
        <v>46148.0</v>
      </c>
      <c r="B370" s="287" t="s">
        <v>912</v>
      </c>
      <c r="C370" s="29" t="s">
        <v>2189</v>
      </c>
      <c r="D370" s="29" t="s">
        <v>2624</v>
      </c>
      <c r="E370" s="251" t="s">
        <v>2625</v>
      </c>
    </row>
    <row r="371">
      <c r="A371" s="70">
        <v>46148.0</v>
      </c>
      <c r="B371" s="287" t="s">
        <v>2640</v>
      </c>
      <c r="C371" s="29" t="s">
        <v>2189</v>
      </c>
      <c r="D371" s="29" t="s">
        <v>2624</v>
      </c>
      <c r="E371" s="251" t="s">
        <v>2642</v>
      </c>
    </row>
    <row r="372">
      <c r="A372" s="70">
        <v>46148.0</v>
      </c>
      <c r="B372" s="287" t="s">
        <v>2643</v>
      </c>
      <c r="C372" s="29" t="s">
        <v>2189</v>
      </c>
      <c r="D372" s="29" t="s">
        <v>2624</v>
      </c>
      <c r="E372" s="251" t="s">
        <v>2644</v>
      </c>
    </row>
    <row r="373">
      <c r="A373" s="70">
        <v>46148.0</v>
      </c>
      <c r="B373" s="287" t="s">
        <v>854</v>
      </c>
      <c r="C373" s="29" t="s">
        <v>2189</v>
      </c>
      <c r="D373" s="29" t="s">
        <v>2624</v>
      </c>
      <c r="E373" s="251" t="s">
        <v>2646</v>
      </c>
      <c r="F373" s="29">
        <v>4.0</v>
      </c>
    </row>
    <row r="374">
      <c r="A374" s="70">
        <v>46148.0</v>
      </c>
      <c r="B374" s="287" t="s">
        <v>428</v>
      </c>
      <c r="C374" s="29" t="s">
        <v>2189</v>
      </c>
      <c r="D374" s="29" t="s">
        <v>2624</v>
      </c>
      <c r="E374" s="251" t="s">
        <v>2646</v>
      </c>
    </row>
    <row r="375">
      <c r="A375" s="70">
        <v>46148.0</v>
      </c>
      <c r="B375" s="287" t="s">
        <v>2109</v>
      </c>
      <c r="C375" s="29" t="s">
        <v>2189</v>
      </c>
      <c r="D375" s="29" t="s">
        <v>2624</v>
      </c>
      <c r="E375" s="251" t="s">
        <v>2644</v>
      </c>
    </row>
    <row r="376">
      <c r="A376" s="70">
        <v>46148.0</v>
      </c>
      <c r="B376" s="287" t="s">
        <v>54</v>
      </c>
      <c r="C376" s="29" t="s">
        <v>2189</v>
      </c>
      <c r="D376" s="29" t="s">
        <v>2624</v>
      </c>
      <c r="E376" s="251" t="s">
        <v>2648</v>
      </c>
    </row>
    <row r="377">
      <c r="A377" s="70">
        <v>46148.0</v>
      </c>
      <c r="B377" s="287" t="s">
        <v>872</v>
      </c>
      <c r="C377" s="29" t="s">
        <v>2189</v>
      </c>
      <c r="D377" s="29" t="s">
        <v>2624</v>
      </c>
      <c r="E377" s="251" t="s">
        <v>2649</v>
      </c>
    </row>
    <row r="378">
      <c r="A378" s="70">
        <v>46148.0</v>
      </c>
      <c r="B378" s="287" t="s">
        <v>2337</v>
      </c>
      <c r="C378" s="29" t="s">
        <v>2189</v>
      </c>
      <c r="D378" s="29" t="s">
        <v>2624</v>
      </c>
      <c r="E378" s="251" t="s">
        <v>2651</v>
      </c>
    </row>
    <row r="379">
      <c r="A379" s="70">
        <v>46148.0</v>
      </c>
      <c r="B379" s="29" t="s">
        <v>380</v>
      </c>
      <c r="C379" s="29" t="s">
        <v>2189</v>
      </c>
      <c r="D379" s="29" t="s">
        <v>2624</v>
      </c>
      <c r="E379" s="251" t="s">
        <v>2652</v>
      </c>
    </row>
    <row r="380">
      <c r="A380" s="70">
        <v>46148.0</v>
      </c>
      <c r="B380" s="29" t="s">
        <v>2653</v>
      </c>
      <c r="C380" s="29" t="s">
        <v>2189</v>
      </c>
      <c r="D380" s="29" t="s">
        <v>2624</v>
      </c>
      <c r="E380" s="251" t="s">
        <v>2654</v>
      </c>
    </row>
    <row r="381">
      <c r="A381" s="70">
        <v>46148.0</v>
      </c>
      <c r="B381" s="287" t="s">
        <v>330</v>
      </c>
      <c r="C381" s="29" t="s">
        <v>2189</v>
      </c>
      <c r="D381" s="29" t="s">
        <v>2624</v>
      </c>
      <c r="E381" s="251" t="s">
        <v>2649</v>
      </c>
    </row>
    <row r="382">
      <c r="A382" s="70">
        <v>46148.0</v>
      </c>
      <c r="B382" s="287" t="s">
        <v>807</v>
      </c>
      <c r="C382" s="29" t="s">
        <v>2189</v>
      </c>
      <c r="D382" s="29" t="s">
        <v>2624</v>
      </c>
      <c r="E382" s="251" t="s">
        <v>2652</v>
      </c>
    </row>
    <row r="383">
      <c r="A383" s="70">
        <v>46148.0</v>
      </c>
      <c r="B383" s="287" t="s">
        <v>1922</v>
      </c>
      <c r="C383" s="29" t="s">
        <v>2189</v>
      </c>
      <c r="D383" s="29" t="s">
        <v>2624</v>
      </c>
      <c r="E383" s="251" t="s">
        <v>2654</v>
      </c>
    </row>
    <row r="384">
      <c r="A384" s="70">
        <v>46148.0</v>
      </c>
      <c r="B384" s="287" t="s">
        <v>2656</v>
      </c>
      <c r="C384" s="29" t="s">
        <v>2189</v>
      </c>
      <c r="D384" s="29" t="s">
        <v>2624</v>
      </c>
      <c r="E384" s="251" t="s">
        <v>2657</v>
      </c>
    </row>
    <row r="385">
      <c r="A385" s="70">
        <v>46148.0</v>
      </c>
      <c r="B385" s="287" t="s">
        <v>94</v>
      </c>
      <c r="C385" s="29" t="s">
        <v>2189</v>
      </c>
      <c r="D385" s="29" t="s">
        <v>2624</v>
      </c>
      <c r="E385" s="251" t="s">
        <v>2644</v>
      </c>
    </row>
    <row r="386">
      <c r="A386" s="70">
        <v>46148.0</v>
      </c>
      <c r="B386" s="287" t="s">
        <v>2659</v>
      </c>
      <c r="C386" s="29" t="s">
        <v>2189</v>
      </c>
      <c r="D386" s="29" t="s">
        <v>2624</v>
      </c>
      <c r="E386" s="251" t="s">
        <v>2660</v>
      </c>
    </row>
    <row r="387">
      <c r="A387" s="70">
        <v>46148.0</v>
      </c>
      <c r="B387" s="287" t="s">
        <v>2661</v>
      </c>
      <c r="C387" s="29" t="s">
        <v>2189</v>
      </c>
      <c r="D387" s="29" t="s">
        <v>2624</v>
      </c>
      <c r="E387" s="251" t="s">
        <v>2663</v>
      </c>
    </row>
    <row r="388">
      <c r="A388" s="70">
        <v>46148.0</v>
      </c>
      <c r="B388" s="287" t="s">
        <v>2664</v>
      </c>
      <c r="C388" s="29" t="s">
        <v>2189</v>
      </c>
      <c r="D388" s="29" t="s">
        <v>2624</v>
      </c>
      <c r="E388" s="251" t="s">
        <v>2665</v>
      </c>
      <c r="F388" s="29">
        <v>2.0</v>
      </c>
    </row>
    <row r="389">
      <c r="A389" s="70">
        <v>46148.0</v>
      </c>
      <c r="B389" s="287" t="s">
        <v>2666</v>
      </c>
      <c r="C389" s="29" t="s">
        <v>2189</v>
      </c>
      <c r="D389" s="29" t="s">
        <v>2624</v>
      </c>
      <c r="E389" s="251" t="s">
        <v>2668</v>
      </c>
    </row>
    <row r="390">
      <c r="A390" s="23"/>
      <c r="B390" s="23"/>
      <c r="C390" s="23"/>
      <c r="D390" s="23"/>
      <c r="E390" s="253"/>
      <c r="F390" s="23"/>
      <c r="G390" s="23"/>
    </row>
    <row r="391">
      <c r="A391" s="70">
        <v>46149.0</v>
      </c>
      <c r="B391" s="287" t="s">
        <v>405</v>
      </c>
      <c r="C391" s="29" t="s">
        <v>2189</v>
      </c>
      <c r="D391" s="29" t="s">
        <v>2624</v>
      </c>
      <c r="E391" s="251" t="s">
        <v>2670</v>
      </c>
    </row>
    <row r="392">
      <c r="A392" s="70">
        <v>46149.0</v>
      </c>
      <c r="B392" s="210" t="s">
        <v>2671</v>
      </c>
      <c r="C392" s="29" t="s">
        <v>2189</v>
      </c>
      <c r="D392" s="29" t="s">
        <v>2624</v>
      </c>
      <c r="E392" s="251" t="s">
        <v>2673</v>
      </c>
      <c r="F392" s="29" t="s">
        <v>2674</v>
      </c>
    </row>
    <row r="393">
      <c r="A393" s="70">
        <v>46149.0</v>
      </c>
      <c r="B393" s="287" t="s">
        <v>2675</v>
      </c>
      <c r="C393" s="29" t="s">
        <v>2189</v>
      </c>
      <c r="D393" s="29" t="s">
        <v>2624</v>
      </c>
      <c r="E393" s="251" t="s">
        <v>2676</v>
      </c>
    </row>
    <row r="394">
      <c r="A394" s="70">
        <v>46149.0</v>
      </c>
      <c r="B394" s="287" t="s">
        <v>2678</v>
      </c>
      <c r="C394" s="29" t="s">
        <v>2189</v>
      </c>
      <c r="D394" s="29" t="s">
        <v>2624</v>
      </c>
      <c r="E394" s="251" t="s">
        <v>2679</v>
      </c>
    </row>
    <row r="395">
      <c r="A395" s="70">
        <v>46149.0</v>
      </c>
      <c r="B395" s="289" t="s">
        <v>353</v>
      </c>
      <c r="C395" s="29" t="s">
        <v>2189</v>
      </c>
      <c r="D395" s="29" t="s">
        <v>2624</v>
      </c>
      <c r="E395" s="251" t="s">
        <v>2681</v>
      </c>
    </row>
    <row r="396">
      <c r="A396" s="70">
        <v>46149.0</v>
      </c>
      <c r="B396" s="287" t="s">
        <v>960</v>
      </c>
      <c r="C396" s="29" t="s">
        <v>2189</v>
      </c>
      <c r="D396" s="29" t="s">
        <v>2624</v>
      </c>
      <c r="E396" s="251" t="s">
        <v>2652</v>
      </c>
    </row>
    <row r="397">
      <c r="A397" s="70">
        <v>46149.0</v>
      </c>
      <c r="B397" s="290" t="s">
        <v>26</v>
      </c>
      <c r="C397" s="29" t="s">
        <v>2189</v>
      </c>
      <c r="D397" s="29" t="s">
        <v>2624</v>
      </c>
      <c r="E397" s="251" t="s">
        <v>2684</v>
      </c>
    </row>
    <row r="398">
      <c r="A398" s="70">
        <v>46149.0</v>
      </c>
      <c r="B398" s="287" t="s">
        <v>2685</v>
      </c>
      <c r="C398" s="29" t="s">
        <v>2189</v>
      </c>
      <c r="D398" s="29" t="s">
        <v>2624</v>
      </c>
      <c r="E398" s="251" t="s">
        <v>2689</v>
      </c>
    </row>
    <row r="399">
      <c r="A399" s="70">
        <v>46149.0</v>
      </c>
      <c r="B399" s="292" t="s">
        <v>2691</v>
      </c>
      <c r="C399" s="29" t="s">
        <v>2189</v>
      </c>
      <c r="D399" s="29" t="s">
        <v>2624</v>
      </c>
      <c r="E399" s="251" t="s">
        <v>2693</v>
      </c>
    </row>
    <row r="400">
      <c r="A400" s="70">
        <v>46149.0</v>
      </c>
      <c r="B400" s="287" t="s">
        <v>2694</v>
      </c>
      <c r="C400" s="29" t="s">
        <v>2189</v>
      </c>
      <c r="D400" s="29" t="s">
        <v>2624</v>
      </c>
      <c r="E400" s="251" t="s">
        <v>2695</v>
      </c>
    </row>
    <row r="401">
      <c r="A401" s="70">
        <v>46149.0</v>
      </c>
      <c r="B401" s="287" t="s">
        <v>2696</v>
      </c>
      <c r="C401" s="29" t="s">
        <v>2189</v>
      </c>
      <c r="D401" s="29" t="s">
        <v>2624</v>
      </c>
      <c r="E401" s="251" t="s">
        <v>2698</v>
      </c>
    </row>
    <row r="402">
      <c r="A402" s="70">
        <v>46149.0</v>
      </c>
      <c r="B402" s="29" t="s">
        <v>318</v>
      </c>
      <c r="C402" s="29" t="s">
        <v>2189</v>
      </c>
      <c r="D402" s="29" t="s">
        <v>2624</v>
      </c>
      <c r="E402" s="251" t="s">
        <v>2673</v>
      </c>
    </row>
    <row r="403">
      <c r="A403" s="70">
        <v>46149.0</v>
      </c>
      <c r="B403" s="286">
        <v>5.304535379E9</v>
      </c>
      <c r="C403" s="29" t="s">
        <v>2189</v>
      </c>
      <c r="D403" s="29" t="s">
        <v>2624</v>
      </c>
      <c r="E403" s="251" t="s">
        <v>2660</v>
      </c>
      <c r="F403" s="29">
        <v>2.0</v>
      </c>
    </row>
    <row r="404">
      <c r="A404" s="70">
        <v>46149.0</v>
      </c>
      <c r="B404" s="286">
        <v>5.30453538E9</v>
      </c>
      <c r="C404" s="29" t="s">
        <v>2189</v>
      </c>
      <c r="D404" s="29" t="s">
        <v>2624</v>
      </c>
      <c r="E404" s="251" t="s">
        <v>2657</v>
      </c>
    </row>
    <row r="405">
      <c r="A405" s="70">
        <v>46149.0</v>
      </c>
      <c r="B405" s="286" t="s">
        <v>2700</v>
      </c>
      <c r="C405" s="29" t="s">
        <v>2189</v>
      </c>
      <c r="D405" s="29" t="s">
        <v>2624</v>
      </c>
      <c r="E405" s="251" t="s">
        <v>2695</v>
      </c>
    </row>
    <row r="406">
      <c r="A406" s="70">
        <v>46149.0</v>
      </c>
      <c r="B406" s="286" t="s">
        <v>1235</v>
      </c>
      <c r="C406" s="29" t="s">
        <v>2189</v>
      </c>
      <c r="D406" s="29" t="s">
        <v>2624</v>
      </c>
      <c r="E406" s="251" t="s">
        <v>2644</v>
      </c>
    </row>
    <row r="407">
      <c r="A407" s="70">
        <v>46149.0</v>
      </c>
      <c r="B407" s="286" t="s">
        <v>1888</v>
      </c>
      <c r="C407" s="29" t="s">
        <v>2189</v>
      </c>
      <c r="D407" s="29" t="s">
        <v>2624</v>
      </c>
      <c r="E407" s="251" t="s">
        <v>2703</v>
      </c>
    </row>
    <row r="408">
      <c r="A408" s="70">
        <v>46149.0</v>
      </c>
      <c r="B408" s="223" t="s">
        <v>1335</v>
      </c>
      <c r="C408" s="29" t="s">
        <v>2189</v>
      </c>
      <c r="D408" s="29" t="s">
        <v>2705</v>
      </c>
      <c r="E408" s="251" t="s">
        <v>2706</v>
      </c>
    </row>
    <row r="409">
      <c r="A409" s="70">
        <v>46149.0</v>
      </c>
      <c r="B409" s="105">
        <v>1.34793511E8</v>
      </c>
      <c r="C409" s="29" t="s">
        <v>2189</v>
      </c>
      <c r="D409" s="29" t="s">
        <v>2705</v>
      </c>
      <c r="E409" s="251" t="s">
        <v>2706</v>
      </c>
    </row>
    <row r="410">
      <c r="A410" s="70">
        <v>46149.0</v>
      </c>
      <c r="B410" s="105" t="s">
        <v>1303</v>
      </c>
      <c r="C410" s="29" t="s">
        <v>2189</v>
      </c>
      <c r="D410" s="29" t="s">
        <v>2705</v>
      </c>
      <c r="E410" s="251" t="s">
        <v>2709</v>
      </c>
    </row>
    <row r="411">
      <c r="A411" s="70">
        <v>46149.0</v>
      </c>
      <c r="B411" s="105" t="s">
        <v>2711</v>
      </c>
      <c r="C411" s="29" t="s">
        <v>2189</v>
      </c>
      <c r="D411" s="29" t="s">
        <v>2705</v>
      </c>
      <c r="E411" s="251" t="s">
        <v>2712</v>
      </c>
    </row>
    <row r="412">
      <c r="A412" s="70">
        <v>46149.0</v>
      </c>
      <c r="B412" s="105" t="s">
        <v>2714</v>
      </c>
      <c r="C412" s="29" t="s">
        <v>2189</v>
      </c>
      <c r="D412" s="29" t="s">
        <v>2705</v>
      </c>
      <c r="E412" s="251" t="s">
        <v>2716</v>
      </c>
    </row>
    <row r="413">
      <c r="A413" s="70">
        <v>46149.0</v>
      </c>
      <c r="B413" s="105" t="s">
        <v>1665</v>
      </c>
      <c r="C413" s="29" t="s">
        <v>2189</v>
      </c>
      <c r="D413" s="29" t="s">
        <v>2705</v>
      </c>
      <c r="E413" s="251" t="s">
        <v>2717</v>
      </c>
    </row>
    <row r="414">
      <c r="A414" s="70">
        <v>46149.0</v>
      </c>
      <c r="B414" s="105" t="s">
        <v>442</v>
      </c>
      <c r="C414" s="29" t="s">
        <v>2189</v>
      </c>
      <c r="D414" s="29" t="s">
        <v>2705</v>
      </c>
      <c r="E414" s="251" t="s">
        <v>2706</v>
      </c>
      <c r="F414" s="29">
        <v>2.0</v>
      </c>
    </row>
    <row r="415">
      <c r="A415" s="70">
        <v>46149.0</v>
      </c>
      <c r="B415" s="105" t="s">
        <v>2719</v>
      </c>
      <c r="C415" s="29" t="s">
        <v>2189</v>
      </c>
      <c r="D415" s="29" t="s">
        <v>2705</v>
      </c>
      <c r="E415" s="251" t="s">
        <v>2720</v>
      </c>
    </row>
    <row r="416">
      <c r="A416" s="70">
        <v>46149.0</v>
      </c>
      <c r="B416" s="29" t="s">
        <v>2722</v>
      </c>
      <c r="C416" s="29" t="s">
        <v>2189</v>
      </c>
      <c r="D416" s="29" t="s">
        <v>2705</v>
      </c>
      <c r="E416" s="251" t="s">
        <v>2706</v>
      </c>
    </row>
    <row r="417">
      <c r="A417" s="70">
        <v>46149.0</v>
      </c>
      <c r="B417" s="105" t="s">
        <v>1336</v>
      </c>
      <c r="C417" s="29" t="s">
        <v>2189</v>
      </c>
      <c r="D417" s="29" t="s">
        <v>2705</v>
      </c>
      <c r="E417" s="251" t="s">
        <v>2706</v>
      </c>
    </row>
    <row r="418">
      <c r="A418" s="70">
        <v>46149.0</v>
      </c>
      <c r="B418" s="105" t="s">
        <v>684</v>
      </c>
      <c r="C418" s="29" t="s">
        <v>2189</v>
      </c>
      <c r="D418" s="29" t="s">
        <v>2705</v>
      </c>
      <c r="E418" s="251" t="s">
        <v>2724</v>
      </c>
    </row>
    <row r="419">
      <c r="A419" s="70">
        <v>46149.0</v>
      </c>
      <c r="B419" s="105" t="s">
        <v>564</v>
      </c>
      <c r="C419" s="29" t="s">
        <v>2189</v>
      </c>
      <c r="D419" s="29" t="s">
        <v>2705</v>
      </c>
      <c r="E419" s="251" t="s">
        <v>2726</v>
      </c>
    </row>
    <row r="420">
      <c r="A420" s="23"/>
      <c r="B420" s="23"/>
      <c r="C420" s="23"/>
      <c r="D420" s="23"/>
      <c r="E420" s="253"/>
      <c r="F420" s="23"/>
    </row>
    <row r="421">
      <c r="A421" s="70">
        <v>46150.0</v>
      </c>
      <c r="B421" s="293" t="s">
        <v>2727</v>
      </c>
      <c r="C421" s="29" t="s">
        <v>2189</v>
      </c>
      <c r="D421" s="29" t="s">
        <v>2705</v>
      </c>
      <c r="E421" s="251" t="s">
        <v>2729</v>
      </c>
    </row>
    <row r="422">
      <c r="A422" s="70">
        <v>46150.0</v>
      </c>
      <c r="B422" s="105">
        <v>5.303918358E9</v>
      </c>
      <c r="C422" s="29" t="s">
        <v>2189</v>
      </c>
      <c r="D422" s="29" t="s">
        <v>2705</v>
      </c>
      <c r="E422" s="251" t="s">
        <v>2706</v>
      </c>
    </row>
    <row r="423">
      <c r="A423" s="70">
        <v>46150.0</v>
      </c>
      <c r="B423" s="105" t="s">
        <v>2732</v>
      </c>
      <c r="C423" s="29" t="s">
        <v>2189</v>
      </c>
      <c r="D423" s="29" t="s">
        <v>2705</v>
      </c>
      <c r="E423" s="251" t="s">
        <v>2733</v>
      </c>
    </row>
    <row r="424">
      <c r="A424" s="70">
        <v>46150.0</v>
      </c>
      <c r="B424" s="105">
        <v>5.30445565E9</v>
      </c>
      <c r="C424" s="29" t="s">
        <v>2189</v>
      </c>
      <c r="D424" s="29" t="s">
        <v>2705</v>
      </c>
      <c r="E424" s="251" t="s">
        <v>2706</v>
      </c>
    </row>
    <row r="425">
      <c r="A425" s="70">
        <v>46150.0</v>
      </c>
      <c r="B425" s="105" t="s">
        <v>2735</v>
      </c>
      <c r="C425" s="29" t="s">
        <v>2189</v>
      </c>
      <c r="D425" s="29" t="s">
        <v>2705</v>
      </c>
      <c r="E425" s="251" t="s">
        <v>2736</v>
      </c>
    </row>
    <row r="426">
      <c r="A426" s="70">
        <v>46150.0</v>
      </c>
      <c r="B426" s="105" t="s">
        <v>2737</v>
      </c>
      <c r="C426" s="29" t="s">
        <v>2189</v>
      </c>
      <c r="D426" s="29" t="s">
        <v>2705</v>
      </c>
      <c r="E426" s="251" t="s">
        <v>2739</v>
      </c>
    </row>
    <row r="427">
      <c r="A427" s="70">
        <v>46150.0</v>
      </c>
      <c r="B427" s="105" t="s">
        <v>1342</v>
      </c>
      <c r="C427" s="29" t="s">
        <v>2189</v>
      </c>
      <c r="D427" s="29" t="s">
        <v>2705</v>
      </c>
      <c r="E427" s="251" t="s">
        <v>2740</v>
      </c>
    </row>
    <row r="428">
      <c r="A428" s="70">
        <v>46150.0</v>
      </c>
      <c r="B428" s="105" t="s">
        <v>2742</v>
      </c>
      <c r="C428" s="29" t="s">
        <v>2189</v>
      </c>
      <c r="D428" s="29" t="s">
        <v>2705</v>
      </c>
      <c r="E428" s="251" t="s">
        <v>2724</v>
      </c>
    </row>
    <row r="429">
      <c r="A429" s="70">
        <v>46150.0</v>
      </c>
      <c r="B429" s="105" t="s">
        <v>2743</v>
      </c>
      <c r="C429" s="29" t="s">
        <v>2189</v>
      </c>
      <c r="D429" s="29" t="s">
        <v>2705</v>
      </c>
      <c r="E429" s="251" t="s">
        <v>2724</v>
      </c>
    </row>
    <row r="430">
      <c r="A430" s="70">
        <v>46150.0</v>
      </c>
      <c r="B430" s="105" t="s">
        <v>1966</v>
      </c>
      <c r="C430" s="29" t="s">
        <v>2189</v>
      </c>
      <c r="D430" s="29" t="s">
        <v>2705</v>
      </c>
      <c r="E430" s="251" t="s">
        <v>2724</v>
      </c>
    </row>
    <row r="431">
      <c r="A431" s="70">
        <v>46150.0</v>
      </c>
      <c r="B431" s="105" t="s">
        <v>2745</v>
      </c>
      <c r="C431" s="29" t="s">
        <v>2189</v>
      </c>
      <c r="D431" s="29" t="s">
        <v>2705</v>
      </c>
      <c r="E431" s="251" t="s">
        <v>2746</v>
      </c>
    </row>
    <row r="432">
      <c r="A432" s="70">
        <v>46150.0</v>
      </c>
      <c r="B432" s="105" t="s">
        <v>2747</v>
      </c>
      <c r="C432" s="29" t="s">
        <v>2189</v>
      </c>
      <c r="D432" s="29" t="s">
        <v>2705</v>
      </c>
      <c r="E432" s="251" t="s">
        <v>2706</v>
      </c>
    </row>
    <row r="433">
      <c r="A433" s="70">
        <v>46150.0</v>
      </c>
      <c r="B433" s="105" t="s">
        <v>2749</v>
      </c>
      <c r="C433" s="29" t="s">
        <v>2189</v>
      </c>
      <c r="D433" s="29" t="s">
        <v>2705</v>
      </c>
      <c r="E433" s="251" t="s">
        <v>2724</v>
      </c>
    </row>
    <row r="434">
      <c r="A434" s="70">
        <v>46150.0</v>
      </c>
      <c r="B434" s="105" t="s">
        <v>1909</v>
      </c>
      <c r="C434" s="29" t="s">
        <v>2189</v>
      </c>
      <c r="D434" s="29" t="s">
        <v>2705</v>
      </c>
      <c r="E434" s="251" t="s">
        <v>2726</v>
      </c>
    </row>
    <row r="435">
      <c r="A435" s="70">
        <v>46150.0</v>
      </c>
      <c r="B435" s="105" t="s">
        <v>2751</v>
      </c>
      <c r="C435" s="29" t="s">
        <v>2189</v>
      </c>
      <c r="D435" s="29" t="s">
        <v>2705</v>
      </c>
      <c r="E435" s="251" t="s">
        <v>2726</v>
      </c>
    </row>
    <row r="436">
      <c r="A436" s="70">
        <v>46150.0</v>
      </c>
      <c r="B436" s="105" t="s">
        <v>2752</v>
      </c>
      <c r="C436" s="29" t="s">
        <v>2189</v>
      </c>
      <c r="D436" s="29" t="s">
        <v>2705</v>
      </c>
      <c r="E436" s="251" t="s">
        <v>2739</v>
      </c>
    </row>
    <row r="437">
      <c r="A437" s="70">
        <v>46150.0</v>
      </c>
      <c r="B437" s="105">
        <v>9725380.0</v>
      </c>
      <c r="C437" s="29" t="s">
        <v>2189</v>
      </c>
      <c r="D437" s="29" t="s">
        <v>2705</v>
      </c>
      <c r="E437" s="251" t="s">
        <v>2754</v>
      </c>
    </row>
    <row r="438">
      <c r="A438" s="70">
        <v>46150.0</v>
      </c>
      <c r="B438" s="105" t="s">
        <v>2756</v>
      </c>
      <c r="C438" s="29" t="s">
        <v>2189</v>
      </c>
      <c r="D438" s="29" t="s">
        <v>2705</v>
      </c>
      <c r="E438" s="251" t="s">
        <v>2757</v>
      </c>
    </row>
    <row r="439">
      <c r="A439" s="70">
        <v>46150.0</v>
      </c>
      <c r="B439" s="105" t="s">
        <v>2758</v>
      </c>
      <c r="C439" s="29" t="s">
        <v>2189</v>
      </c>
      <c r="D439" s="29" t="s">
        <v>2705</v>
      </c>
      <c r="E439" s="251" t="s">
        <v>2759</v>
      </c>
    </row>
    <row r="440">
      <c r="A440" s="70">
        <v>46150.0</v>
      </c>
      <c r="B440" s="105" t="s">
        <v>2760</v>
      </c>
      <c r="C440" s="29" t="s">
        <v>2189</v>
      </c>
      <c r="D440" s="29" t="s">
        <v>2705</v>
      </c>
      <c r="E440" s="251" t="s">
        <v>2761</v>
      </c>
    </row>
    <row r="441">
      <c r="A441" s="70">
        <v>46150.0</v>
      </c>
      <c r="B441" s="105" t="s">
        <v>2762</v>
      </c>
      <c r="C441" s="29" t="s">
        <v>2189</v>
      </c>
      <c r="D441" s="29" t="s">
        <v>2705</v>
      </c>
      <c r="E441" s="251" t="s">
        <v>2764</v>
      </c>
    </row>
    <row r="442">
      <c r="A442" s="70">
        <v>46150.0</v>
      </c>
      <c r="B442" s="105" t="s">
        <v>2765</v>
      </c>
      <c r="C442" s="29" t="s">
        <v>2189</v>
      </c>
      <c r="D442" s="29" t="s">
        <v>2705</v>
      </c>
      <c r="E442" s="251" t="s">
        <v>2767</v>
      </c>
    </row>
    <row r="443">
      <c r="A443" s="70">
        <v>46150.0</v>
      </c>
      <c r="B443" s="105">
        <v>2.41778307E8</v>
      </c>
      <c r="C443" s="29" t="s">
        <v>2189</v>
      </c>
      <c r="D443" s="29" t="s">
        <v>2705</v>
      </c>
      <c r="E443" s="251" t="s">
        <v>2746</v>
      </c>
      <c r="F443" s="29">
        <v>2.0</v>
      </c>
    </row>
    <row r="444">
      <c r="A444" s="70">
        <v>46150.0</v>
      </c>
      <c r="B444" s="105">
        <v>1.54829007E8</v>
      </c>
      <c r="C444" s="29" t="s">
        <v>2189</v>
      </c>
      <c r="D444" s="29" t="s">
        <v>2705</v>
      </c>
      <c r="E444" s="251" t="s">
        <v>2770</v>
      </c>
    </row>
    <row r="445">
      <c r="A445" s="70">
        <v>46150.0</v>
      </c>
      <c r="B445" s="105">
        <v>5.304535552E9</v>
      </c>
      <c r="C445" s="29" t="s">
        <v>2189</v>
      </c>
      <c r="D445" s="29" t="s">
        <v>2705</v>
      </c>
      <c r="E445" s="251" t="s">
        <v>2720</v>
      </c>
    </row>
    <row r="446">
      <c r="A446" s="70">
        <v>46150.0</v>
      </c>
      <c r="B446" s="105" t="s">
        <v>2771</v>
      </c>
      <c r="C446" s="29" t="s">
        <v>2189</v>
      </c>
      <c r="D446" s="29" t="s">
        <v>2705</v>
      </c>
      <c r="E446" s="251" t="s">
        <v>2716</v>
      </c>
    </row>
    <row r="447">
      <c r="A447" s="70">
        <v>46150.0</v>
      </c>
      <c r="B447" s="223" t="s">
        <v>2773</v>
      </c>
      <c r="C447" s="29" t="s">
        <v>2189</v>
      </c>
      <c r="D447" s="29" t="s">
        <v>2705</v>
      </c>
      <c r="E447" s="251" t="s">
        <v>2720</v>
      </c>
    </row>
    <row r="448">
      <c r="A448" s="70">
        <v>46150.0</v>
      </c>
      <c r="B448" s="223" t="s">
        <v>2774</v>
      </c>
      <c r="C448" s="29" t="s">
        <v>2189</v>
      </c>
      <c r="D448" s="29" t="s">
        <v>2705</v>
      </c>
      <c r="E448" s="251" t="s">
        <v>2775</v>
      </c>
    </row>
    <row r="449">
      <c r="A449" s="70">
        <v>46150.0</v>
      </c>
      <c r="B449" s="223" t="s">
        <v>2776</v>
      </c>
      <c r="C449" s="29" t="s">
        <v>2189</v>
      </c>
      <c r="D449" s="29" t="s">
        <v>2705</v>
      </c>
      <c r="E449" s="251" t="s">
        <v>2777</v>
      </c>
    </row>
    <row r="450">
      <c r="A450" s="70">
        <v>46150.0</v>
      </c>
      <c r="B450" s="105" t="s">
        <v>2778</v>
      </c>
      <c r="C450" s="29" t="s">
        <v>2189</v>
      </c>
      <c r="D450" s="29" t="s">
        <v>2705</v>
      </c>
      <c r="E450" s="251" t="s">
        <v>2716</v>
      </c>
    </row>
    <row r="451">
      <c r="A451" s="23"/>
      <c r="B451" s="23"/>
      <c r="C451" s="23"/>
      <c r="D451" s="23"/>
      <c r="E451" s="253"/>
      <c r="F451" s="23"/>
      <c r="G451" s="23"/>
    </row>
    <row r="452">
      <c r="A452" s="70">
        <v>46153.0</v>
      </c>
      <c r="B452" s="29" t="s">
        <v>2780</v>
      </c>
      <c r="C452" s="29" t="s">
        <v>2189</v>
      </c>
      <c r="D452" s="29" t="s">
        <v>2705</v>
      </c>
      <c r="E452" s="251" t="s">
        <v>2781</v>
      </c>
    </row>
    <row r="453">
      <c r="A453" s="70">
        <v>46153.0</v>
      </c>
      <c r="B453" s="223" t="s">
        <v>2782</v>
      </c>
      <c r="C453" s="29" t="s">
        <v>2189</v>
      </c>
      <c r="D453" s="29" t="s">
        <v>2705</v>
      </c>
      <c r="E453" s="251" t="s">
        <v>2783</v>
      </c>
    </row>
    <row r="454">
      <c r="A454" s="70">
        <v>46153.0</v>
      </c>
      <c r="B454" s="223" t="s">
        <v>2784</v>
      </c>
      <c r="C454" s="29" t="s">
        <v>2189</v>
      </c>
      <c r="D454" s="29" t="s">
        <v>2705</v>
      </c>
      <c r="E454" s="251" t="s">
        <v>2785</v>
      </c>
    </row>
    <row r="455">
      <c r="A455" s="70">
        <v>46153.0</v>
      </c>
      <c r="B455" s="223" t="s">
        <v>2786</v>
      </c>
      <c r="C455" s="29" t="s">
        <v>2189</v>
      </c>
      <c r="D455" s="29" t="s">
        <v>2705</v>
      </c>
      <c r="E455" s="251" t="s">
        <v>2787</v>
      </c>
    </row>
    <row r="456">
      <c r="A456" s="70">
        <v>46153.0</v>
      </c>
      <c r="B456" s="223" t="s">
        <v>2788</v>
      </c>
      <c r="C456" s="29" t="s">
        <v>2189</v>
      </c>
      <c r="D456" s="29" t="s">
        <v>2705</v>
      </c>
      <c r="E456" s="251" t="s">
        <v>2764</v>
      </c>
    </row>
    <row r="457">
      <c r="A457" s="70">
        <v>46153.0</v>
      </c>
      <c r="B457" s="223" t="s">
        <v>1628</v>
      </c>
      <c r="C457" s="29" t="s">
        <v>2189</v>
      </c>
      <c r="D457" s="29" t="s">
        <v>2705</v>
      </c>
      <c r="E457" s="251" t="s">
        <v>2789</v>
      </c>
    </row>
    <row r="458">
      <c r="A458" s="70">
        <v>46153.0</v>
      </c>
      <c r="B458" s="223" t="s">
        <v>2791</v>
      </c>
      <c r="C458" s="29" t="s">
        <v>2189</v>
      </c>
      <c r="D458" s="29" t="s">
        <v>2705</v>
      </c>
      <c r="E458" s="251" t="s">
        <v>2783</v>
      </c>
    </row>
    <row r="459">
      <c r="A459" s="70">
        <v>46153.0</v>
      </c>
      <c r="B459" s="223" t="s">
        <v>2792</v>
      </c>
      <c r="C459" s="29" t="s">
        <v>2189</v>
      </c>
      <c r="D459" s="29" t="s">
        <v>2705</v>
      </c>
      <c r="E459" s="251" t="s">
        <v>2777</v>
      </c>
    </row>
    <row r="460">
      <c r="A460" s="70">
        <v>46153.0</v>
      </c>
      <c r="B460" s="223" t="s">
        <v>2793</v>
      </c>
      <c r="C460" s="29" t="s">
        <v>2189</v>
      </c>
      <c r="D460" s="29" t="s">
        <v>2705</v>
      </c>
      <c r="E460" s="251" t="s">
        <v>2783</v>
      </c>
    </row>
    <row r="461">
      <c r="A461" s="70">
        <v>46153.0</v>
      </c>
      <c r="B461" s="223" t="s">
        <v>880</v>
      </c>
      <c r="C461" s="29" t="s">
        <v>2189</v>
      </c>
      <c r="D461" s="29" t="s">
        <v>2705</v>
      </c>
      <c r="E461" s="251" t="s">
        <v>2775</v>
      </c>
    </row>
    <row r="462">
      <c r="A462" s="70">
        <v>46153.0</v>
      </c>
      <c r="B462" s="223" t="s">
        <v>2794</v>
      </c>
      <c r="C462" s="29" t="s">
        <v>2189</v>
      </c>
      <c r="D462" s="29" t="s">
        <v>2705</v>
      </c>
      <c r="E462" s="251" t="s">
        <v>2795</v>
      </c>
    </row>
    <row r="463">
      <c r="A463" s="70">
        <v>46153.0</v>
      </c>
      <c r="B463" s="223" t="s">
        <v>2796</v>
      </c>
      <c r="C463" s="29" t="s">
        <v>2189</v>
      </c>
      <c r="D463" s="29" t="s">
        <v>2705</v>
      </c>
      <c r="E463" s="251" t="s">
        <v>2797</v>
      </c>
    </row>
    <row r="464">
      <c r="A464" s="70">
        <v>46153.0</v>
      </c>
      <c r="B464" s="223" t="s">
        <v>2799</v>
      </c>
      <c r="C464" s="29" t="s">
        <v>2189</v>
      </c>
      <c r="D464" s="29" t="s">
        <v>2705</v>
      </c>
      <c r="E464" s="251" t="s">
        <v>2716</v>
      </c>
    </row>
    <row r="465">
      <c r="A465" s="70">
        <v>46153.0</v>
      </c>
      <c r="B465" s="223" t="s">
        <v>2193</v>
      </c>
      <c r="C465" s="29" t="s">
        <v>2189</v>
      </c>
      <c r="D465" s="29" t="s">
        <v>2705</v>
      </c>
      <c r="E465" s="251" t="s">
        <v>2717</v>
      </c>
    </row>
    <row r="466">
      <c r="A466" s="70">
        <v>46153.0</v>
      </c>
      <c r="B466" s="300" t="s">
        <v>332</v>
      </c>
      <c r="C466" s="29" t="s">
        <v>2189</v>
      </c>
      <c r="D466" s="29" t="s">
        <v>2705</v>
      </c>
      <c r="E466" s="251" t="s">
        <v>2726</v>
      </c>
    </row>
    <row r="467">
      <c r="A467" s="70">
        <v>46153.0</v>
      </c>
      <c r="B467" s="223" t="s">
        <v>2800</v>
      </c>
      <c r="C467" s="29" t="s">
        <v>2189</v>
      </c>
      <c r="D467" s="29" t="s">
        <v>2705</v>
      </c>
      <c r="E467" s="251" t="s">
        <v>2801</v>
      </c>
    </row>
    <row r="468">
      <c r="A468" s="70">
        <v>46153.0</v>
      </c>
      <c r="B468" s="223" t="s">
        <v>1341</v>
      </c>
      <c r="C468" s="29" t="s">
        <v>2189</v>
      </c>
      <c r="D468" s="29" t="s">
        <v>2705</v>
      </c>
      <c r="E468" s="251" t="s">
        <v>2801</v>
      </c>
    </row>
    <row r="469">
      <c r="A469" s="70">
        <v>46153.0</v>
      </c>
      <c r="B469" s="223" t="s">
        <v>2802</v>
      </c>
      <c r="C469" s="29" t="s">
        <v>2189</v>
      </c>
      <c r="D469" s="29" t="s">
        <v>2705</v>
      </c>
      <c r="E469" s="251" t="s">
        <v>2724</v>
      </c>
    </row>
    <row r="470">
      <c r="A470" s="70">
        <v>46153.0</v>
      </c>
      <c r="B470" s="223" t="s">
        <v>2261</v>
      </c>
      <c r="C470" s="29" t="s">
        <v>2189</v>
      </c>
      <c r="D470" s="29" t="s">
        <v>2705</v>
      </c>
      <c r="E470" s="251" t="s">
        <v>2804</v>
      </c>
    </row>
    <row r="471">
      <c r="A471" s="70">
        <v>46153.0</v>
      </c>
      <c r="B471" s="223" t="s">
        <v>2805</v>
      </c>
      <c r="C471" s="29" t="s">
        <v>2189</v>
      </c>
      <c r="D471" s="29" t="s">
        <v>2705</v>
      </c>
      <c r="E471" s="251" t="s">
        <v>2806</v>
      </c>
    </row>
    <row r="472">
      <c r="A472" s="70">
        <v>46153.0</v>
      </c>
      <c r="B472" s="223" t="s">
        <v>2808</v>
      </c>
      <c r="C472" s="29" t="s">
        <v>2189</v>
      </c>
      <c r="D472" s="29" t="s">
        <v>2705</v>
      </c>
      <c r="E472" s="251" t="s">
        <v>2729</v>
      </c>
    </row>
    <row r="473">
      <c r="A473" s="70">
        <v>46153.0</v>
      </c>
      <c r="B473" s="223" t="s">
        <v>1382</v>
      </c>
      <c r="C473" s="29" t="s">
        <v>2189</v>
      </c>
      <c r="D473" s="29" t="s">
        <v>2705</v>
      </c>
      <c r="E473" s="251" t="s">
        <v>2775</v>
      </c>
    </row>
    <row r="474">
      <c r="A474" s="70">
        <v>46153.0</v>
      </c>
      <c r="B474" s="300" t="s">
        <v>2810</v>
      </c>
      <c r="C474" s="29" t="s">
        <v>2189</v>
      </c>
      <c r="D474" s="29" t="s">
        <v>2705</v>
      </c>
      <c r="E474" s="251" t="s">
        <v>2811</v>
      </c>
    </row>
    <row r="475">
      <c r="A475" s="70">
        <v>46153.0</v>
      </c>
      <c r="B475" s="223" t="s">
        <v>2813</v>
      </c>
      <c r="C475" s="29" t="s">
        <v>2189</v>
      </c>
      <c r="D475" s="29" t="s">
        <v>2705</v>
      </c>
      <c r="E475" s="251" t="s">
        <v>2811</v>
      </c>
    </row>
    <row r="476">
      <c r="A476" s="70">
        <v>46153.0</v>
      </c>
      <c r="B476" s="223" t="s">
        <v>2815</v>
      </c>
      <c r="C476" s="29" t="s">
        <v>2189</v>
      </c>
      <c r="D476" s="29" t="s">
        <v>2705</v>
      </c>
      <c r="E476" s="251" t="s">
        <v>2775</v>
      </c>
    </row>
    <row r="477">
      <c r="A477" s="70">
        <v>46153.0</v>
      </c>
      <c r="B477" s="223" t="s">
        <v>2817</v>
      </c>
      <c r="C477" s="29" t="s">
        <v>2189</v>
      </c>
      <c r="D477" s="29" t="s">
        <v>2705</v>
      </c>
      <c r="E477" s="251" t="s">
        <v>2818</v>
      </c>
    </row>
    <row r="478">
      <c r="A478" s="70">
        <v>46153.0</v>
      </c>
      <c r="B478" s="223" t="s">
        <v>2819</v>
      </c>
      <c r="C478" s="29" t="s">
        <v>2189</v>
      </c>
      <c r="D478" s="29" t="s">
        <v>2705</v>
      </c>
      <c r="E478" s="251" t="s">
        <v>2821</v>
      </c>
    </row>
    <row r="479">
      <c r="A479" s="70">
        <v>46153.0</v>
      </c>
      <c r="B479" s="223" t="s">
        <v>947</v>
      </c>
      <c r="C479" s="29" t="s">
        <v>2189</v>
      </c>
      <c r="D479" s="29" t="s">
        <v>2705</v>
      </c>
      <c r="E479" s="251" t="s">
        <v>2822</v>
      </c>
    </row>
    <row r="480">
      <c r="A480" s="98"/>
      <c r="B480" s="23"/>
      <c r="C480" s="23"/>
      <c r="D480" s="23"/>
      <c r="E480" s="253"/>
      <c r="F480" s="23"/>
    </row>
    <row r="481">
      <c r="A481" s="70">
        <v>46154.0</v>
      </c>
      <c r="B481" s="223" t="s">
        <v>2824</v>
      </c>
      <c r="C481" s="29" t="s">
        <v>2189</v>
      </c>
      <c r="D481" s="29" t="s">
        <v>2705</v>
      </c>
      <c r="E481" s="251" t="s">
        <v>2811</v>
      </c>
    </row>
    <row r="482">
      <c r="A482" s="70">
        <v>46154.0</v>
      </c>
      <c r="B482" s="223" t="s">
        <v>2826</v>
      </c>
      <c r="C482" s="29" t="s">
        <v>2189</v>
      </c>
      <c r="D482" s="29" t="s">
        <v>2705</v>
      </c>
      <c r="E482" s="251" t="s">
        <v>2785</v>
      </c>
      <c r="F482" s="29">
        <v>2.0</v>
      </c>
    </row>
    <row r="483">
      <c r="A483" s="70">
        <v>46154.0</v>
      </c>
      <c r="B483" s="223" t="s">
        <v>2828</v>
      </c>
      <c r="C483" s="29" t="s">
        <v>2189</v>
      </c>
      <c r="D483" s="29" t="s">
        <v>2705</v>
      </c>
      <c r="E483" s="251" t="s">
        <v>2829</v>
      </c>
    </row>
    <row r="484">
      <c r="A484" s="70">
        <v>46154.0</v>
      </c>
      <c r="B484" s="223" t="s">
        <v>2830</v>
      </c>
      <c r="C484" s="29" t="s">
        <v>2189</v>
      </c>
      <c r="D484" s="29" t="s">
        <v>2705</v>
      </c>
      <c r="E484" s="251" t="s">
        <v>2783</v>
      </c>
    </row>
    <row r="485">
      <c r="A485" s="70">
        <v>46154.0</v>
      </c>
      <c r="B485" s="223" t="s">
        <v>2832</v>
      </c>
      <c r="C485" s="29" t="s">
        <v>2189</v>
      </c>
      <c r="D485" s="29" t="s">
        <v>2705</v>
      </c>
      <c r="E485" s="251" t="s">
        <v>2754</v>
      </c>
    </row>
    <row r="486">
      <c r="A486" s="70">
        <v>46154.0</v>
      </c>
      <c r="B486" s="223" t="s">
        <v>2833</v>
      </c>
      <c r="C486" s="29" t="s">
        <v>2189</v>
      </c>
      <c r="D486" s="29" t="s">
        <v>2705</v>
      </c>
      <c r="E486" s="251" t="s">
        <v>2746</v>
      </c>
    </row>
    <row r="487">
      <c r="A487" s="70">
        <v>46154.0</v>
      </c>
      <c r="B487" s="223" t="s">
        <v>2834</v>
      </c>
      <c r="C487" s="29" t="s">
        <v>2189</v>
      </c>
      <c r="D487" s="29" t="s">
        <v>2705</v>
      </c>
      <c r="E487" s="251" t="s">
        <v>2835</v>
      </c>
    </row>
    <row r="488">
      <c r="A488" s="70">
        <v>46154.0</v>
      </c>
      <c r="B488" s="223" t="s">
        <v>2836</v>
      </c>
      <c r="C488" s="29" t="s">
        <v>2189</v>
      </c>
      <c r="D488" s="29" t="s">
        <v>2705</v>
      </c>
      <c r="E488" s="251" t="s">
        <v>2837</v>
      </c>
    </row>
    <row r="489">
      <c r="A489" s="70">
        <v>46154.0</v>
      </c>
      <c r="B489" s="223" t="s">
        <v>2838</v>
      </c>
      <c r="C489" s="29" t="s">
        <v>2189</v>
      </c>
      <c r="D489" s="29" t="s">
        <v>2705</v>
      </c>
      <c r="E489" s="251" t="s">
        <v>2840</v>
      </c>
    </row>
    <row r="490">
      <c r="A490" s="70">
        <v>46154.0</v>
      </c>
      <c r="B490" s="223" t="s">
        <v>2841</v>
      </c>
      <c r="C490" s="29" t="s">
        <v>2189</v>
      </c>
      <c r="D490" s="29" t="s">
        <v>2705</v>
      </c>
      <c r="E490" s="251" t="s">
        <v>2775</v>
      </c>
    </row>
    <row r="491">
      <c r="A491" s="70">
        <v>46154.0</v>
      </c>
      <c r="B491" s="223" t="s">
        <v>2842</v>
      </c>
      <c r="C491" s="29" t="s">
        <v>2189</v>
      </c>
      <c r="D491" s="29" t="s">
        <v>2705</v>
      </c>
      <c r="E491" s="251" t="s">
        <v>2843</v>
      </c>
    </row>
    <row r="492">
      <c r="A492" s="70">
        <v>46154.0</v>
      </c>
      <c r="B492" s="223" t="s">
        <v>2844</v>
      </c>
      <c r="C492" s="29" t="s">
        <v>2189</v>
      </c>
      <c r="D492" s="29" t="s">
        <v>2705</v>
      </c>
      <c r="E492" s="251" t="s">
        <v>2706</v>
      </c>
    </row>
    <row r="493">
      <c r="A493" s="70">
        <v>46154.0</v>
      </c>
      <c r="B493" s="223" t="s">
        <v>1803</v>
      </c>
      <c r="C493" s="29" t="s">
        <v>2189</v>
      </c>
      <c r="D493" s="29" t="s">
        <v>2705</v>
      </c>
      <c r="E493" s="251" t="s">
        <v>2845</v>
      </c>
    </row>
    <row r="494">
      <c r="A494" s="70">
        <v>46154.0</v>
      </c>
      <c r="B494" s="223" t="s">
        <v>2846</v>
      </c>
      <c r="C494" s="29" t="s">
        <v>2189</v>
      </c>
      <c r="D494" s="29" t="s">
        <v>2705</v>
      </c>
      <c r="E494" s="251" t="s">
        <v>2781</v>
      </c>
    </row>
    <row r="495">
      <c r="A495" s="70">
        <v>46154.0</v>
      </c>
      <c r="B495" s="223" t="s">
        <v>1811</v>
      </c>
      <c r="C495" s="29" t="s">
        <v>2189</v>
      </c>
      <c r="D495" s="29" t="s">
        <v>2705</v>
      </c>
      <c r="E495" s="251" t="s">
        <v>2775</v>
      </c>
    </row>
    <row r="496">
      <c r="A496" s="70">
        <v>46154.0</v>
      </c>
      <c r="B496" s="223" t="s">
        <v>2847</v>
      </c>
      <c r="C496" s="29" t="s">
        <v>2189</v>
      </c>
      <c r="D496" s="29" t="s">
        <v>2705</v>
      </c>
      <c r="E496" s="251" t="s">
        <v>2801</v>
      </c>
    </row>
    <row r="497">
      <c r="A497" s="70">
        <v>46154.0</v>
      </c>
      <c r="B497" s="223" t="s">
        <v>2848</v>
      </c>
      <c r="C497" s="29" t="s">
        <v>2189</v>
      </c>
      <c r="D497" s="29" t="s">
        <v>2705</v>
      </c>
      <c r="E497" s="251" t="s">
        <v>2783</v>
      </c>
    </row>
    <row r="498">
      <c r="A498" s="70">
        <v>46154.0</v>
      </c>
      <c r="B498" s="223" t="s">
        <v>2849</v>
      </c>
      <c r="C498" s="29" t="s">
        <v>2189</v>
      </c>
      <c r="D498" s="29" t="s">
        <v>2705</v>
      </c>
      <c r="E498" s="251" t="s">
        <v>2851</v>
      </c>
    </row>
    <row r="499">
      <c r="A499" s="70">
        <v>46154.0</v>
      </c>
      <c r="B499" s="223" t="s">
        <v>2852</v>
      </c>
      <c r="C499" s="29" t="s">
        <v>2189</v>
      </c>
      <c r="D499" s="29" t="s">
        <v>2705</v>
      </c>
      <c r="E499" s="251" t="s">
        <v>2726</v>
      </c>
    </row>
    <row r="500">
      <c r="A500" s="70">
        <v>46154.0</v>
      </c>
      <c r="B500" s="223" t="s">
        <v>1265</v>
      </c>
      <c r="C500" s="29" t="s">
        <v>2189</v>
      </c>
      <c r="D500" s="29" t="s">
        <v>2705</v>
      </c>
      <c r="E500" s="251" t="s">
        <v>2775</v>
      </c>
    </row>
    <row r="501">
      <c r="A501" s="70">
        <v>46154.0</v>
      </c>
      <c r="B501" s="223" t="s">
        <v>2853</v>
      </c>
      <c r="C501" s="29" t="s">
        <v>2189</v>
      </c>
      <c r="D501" s="29" t="s">
        <v>2705</v>
      </c>
      <c r="E501" s="251" t="s">
        <v>2854</v>
      </c>
    </row>
    <row r="502">
      <c r="A502" s="70">
        <v>46154.0</v>
      </c>
      <c r="B502" s="223" t="s">
        <v>2855</v>
      </c>
      <c r="C502" s="29" t="s">
        <v>2189</v>
      </c>
      <c r="D502" s="29" t="s">
        <v>2705</v>
      </c>
      <c r="E502" s="251" t="s">
        <v>2726</v>
      </c>
    </row>
    <row r="503">
      <c r="A503" s="70">
        <v>46154.0</v>
      </c>
      <c r="B503" s="223" t="s">
        <v>2857</v>
      </c>
      <c r="C503" s="29" t="s">
        <v>2189</v>
      </c>
      <c r="D503" s="29" t="s">
        <v>2705</v>
      </c>
      <c r="E503" s="251" t="s">
        <v>2716</v>
      </c>
    </row>
    <row r="504">
      <c r="A504" s="70">
        <v>46154.0</v>
      </c>
      <c r="B504" s="223" t="s">
        <v>267</v>
      </c>
      <c r="C504" s="29" t="s">
        <v>2189</v>
      </c>
      <c r="D504" s="29" t="s">
        <v>2705</v>
      </c>
      <c r="E504" s="251" t="s">
        <v>2858</v>
      </c>
    </row>
    <row r="505">
      <c r="A505" s="70">
        <v>46154.0</v>
      </c>
      <c r="B505" s="223" t="s">
        <v>2859</v>
      </c>
      <c r="C505" s="29" t="s">
        <v>2189</v>
      </c>
      <c r="D505" s="29" t="s">
        <v>2705</v>
      </c>
      <c r="E505" s="251" t="s">
        <v>2781</v>
      </c>
    </row>
    <row r="506">
      <c r="A506" s="70">
        <v>46154.0</v>
      </c>
      <c r="B506" s="223" t="s">
        <v>2861</v>
      </c>
      <c r="C506" s="29" t="s">
        <v>2189</v>
      </c>
      <c r="D506" s="29" t="s">
        <v>2705</v>
      </c>
      <c r="E506" s="251" t="s">
        <v>2862</v>
      </c>
    </row>
    <row r="507">
      <c r="A507" s="70">
        <v>46154.0</v>
      </c>
      <c r="B507" s="223" t="s">
        <v>2863</v>
      </c>
      <c r="C507" s="29" t="s">
        <v>2189</v>
      </c>
      <c r="D507" s="29" t="s">
        <v>2705</v>
      </c>
      <c r="E507" s="251" t="s">
        <v>2858</v>
      </c>
    </row>
    <row r="508">
      <c r="A508" s="70">
        <v>46154.0</v>
      </c>
      <c r="B508" s="223" t="s">
        <v>2865</v>
      </c>
      <c r="C508" s="29" t="s">
        <v>2189</v>
      </c>
      <c r="D508" s="29" t="s">
        <v>2705</v>
      </c>
      <c r="E508" s="251" t="s">
        <v>2729</v>
      </c>
    </row>
    <row r="509">
      <c r="A509" s="70">
        <v>46154.0</v>
      </c>
      <c r="B509" s="223" t="s">
        <v>2866</v>
      </c>
      <c r="C509" s="29" t="s">
        <v>2189</v>
      </c>
      <c r="D509" s="29" t="s">
        <v>2705</v>
      </c>
      <c r="E509" s="251" t="s">
        <v>2783</v>
      </c>
    </row>
    <row r="510">
      <c r="A510" s="70">
        <v>46154.0</v>
      </c>
      <c r="B510" s="223" t="s">
        <v>2867</v>
      </c>
      <c r="C510" s="29" t="s">
        <v>2189</v>
      </c>
      <c r="D510" s="29" t="s">
        <v>2705</v>
      </c>
      <c r="E510" s="251" t="s">
        <v>2783</v>
      </c>
    </row>
    <row r="511">
      <c r="A511" s="23"/>
      <c r="B511" s="23"/>
      <c r="C511" s="23"/>
      <c r="D511" s="23"/>
      <c r="E511" s="253"/>
      <c r="F511" s="23"/>
    </row>
    <row r="512">
      <c r="A512" s="70">
        <v>46155.0</v>
      </c>
      <c r="B512" s="223" t="s">
        <v>2868</v>
      </c>
      <c r="C512" s="29" t="s">
        <v>2189</v>
      </c>
      <c r="D512" s="29" t="s">
        <v>2705</v>
      </c>
      <c r="E512" s="251" t="s">
        <v>2845</v>
      </c>
    </row>
    <row r="513">
      <c r="A513" s="70">
        <v>46155.0</v>
      </c>
      <c r="B513" s="223" t="s">
        <v>23</v>
      </c>
      <c r="C513" s="29" t="s">
        <v>2189</v>
      </c>
      <c r="D513" s="29" t="s">
        <v>2705</v>
      </c>
      <c r="E513" s="251" t="s">
        <v>2870</v>
      </c>
    </row>
    <row r="514">
      <c r="A514" s="70">
        <v>46155.0</v>
      </c>
      <c r="B514" s="223" t="s">
        <v>204</v>
      </c>
      <c r="C514" s="29" t="s">
        <v>2189</v>
      </c>
      <c r="D514" s="29" t="s">
        <v>2705</v>
      </c>
      <c r="E514" s="251" t="s">
        <v>2706</v>
      </c>
    </row>
    <row r="515">
      <c r="A515" s="70">
        <v>46155.0</v>
      </c>
      <c r="B515" s="223" t="s">
        <v>2871</v>
      </c>
      <c r="C515" s="29" t="s">
        <v>2189</v>
      </c>
      <c r="D515" s="29" t="s">
        <v>2705</v>
      </c>
      <c r="E515" s="251" t="s">
        <v>2783</v>
      </c>
    </row>
    <row r="516">
      <c r="A516" s="70">
        <v>46155.0</v>
      </c>
      <c r="B516" s="223" t="s">
        <v>2873</v>
      </c>
      <c r="C516" s="29" t="s">
        <v>2189</v>
      </c>
      <c r="D516" s="29" t="s">
        <v>2705</v>
      </c>
      <c r="E516" s="251" t="s">
        <v>2770</v>
      </c>
    </row>
    <row r="517">
      <c r="A517" s="70">
        <v>46155.0</v>
      </c>
      <c r="B517" s="29">
        <v>5.304530715E9</v>
      </c>
      <c r="C517" s="29" t="s">
        <v>2189</v>
      </c>
      <c r="D517" s="29" t="s">
        <v>2705</v>
      </c>
      <c r="E517" s="251" t="s">
        <v>2716</v>
      </c>
    </row>
    <row r="518">
      <c r="A518" s="70">
        <v>46155.0</v>
      </c>
      <c r="B518" s="29">
        <v>5.304530711E9</v>
      </c>
      <c r="C518" s="29" t="s">
        <v>2189</v>
      </c>
      <c r="D518" s="29" t="s">
        <v>2705</v>
      </c>
      <c r="E518" s="251" t="s">
        <v>2740</v>
      </c>
    </row>
    <row r="519">
      <c r="A519" s="70">
        <v>46155.0</v>
      </c>
      <c r="B519" s="223" t="s">
        <v>2521</v>
      </c>
      <c r="C519" s="29" t="s">
        <v>2189</v>
      </c>
      <c r="D519" s="29" t="s">
        <v>2705</v>
      </c>
      <c r="E519" s="251" t="s">
        <v>2716</v>
      </c>
    </row>
    <row r="520">
      <c r="A520" s="70">
        <v>46155.0</v>
      </c>
      <c r="B520" s="223" t="s">
        <v>885</v>
      </c>
      <c r="C520" s="29" t="s">
        <v>2189</v>
      </c>
      <c r="D520" s="29" t="s">
        <v>2705</v>
      </c>
      <c r="E520" s="251" t="s">
        <v>2801</v>
      </c>
    </row>
    <row r="521">
      <c r="A521" s="70">
        <v>46155.0</v>
      </c>
      <c r="B521" s="223" t="s">
        <v>2876</v>
      </c>
      <c r="C521" s="29" t="s">
        <v>2189</v>
      </c>
      <c r="D521" s="29" t="s">
        <v>2705</v>
      </c>
      <c r="E521" s="251" t="s">
        <v>2726</v>
      </c>
    </row>
    <row r="522">
      <c r="A522" s="70">
        <v>46155.0</v>
      </c>
      <c r="B522" s="223" t="s">
        <v>2877</v>
      </c>
      <c r="C522" s="29" t="s">
        <v>2189</v>
      </c>
      <c r="D522" s="29" t="s">
        <v>2705</v>
      </c>
      <c r="E522" s="251" t="s">
        <v>2739</v>
      </c>
    </row>
    <row r="523">
      <c r="A523" s="70">
        <v>46155.0</v>
      </c>
      <c r="B523" s="223" t="s">
        <v>2878</v>
      </c>
      <c r="C523" s="29" t="s">
        <v>2189</v>
      </c>
      <c r="D523" s="29" t="s">
        <v>2705</v>
      </c>
      <c r="E523" s="251" t="s">
        <v>2706</v>
      </c>
    </row>
    <row r="524">
      <c r="A524" s="70">
        <v>46155.0</v>
      </c>
      <c r="B524" s="223" t="s">
        <v>2879</v>
      </c>
      <c r="C524" s="29" t="s">
        <v>2189</v>
      </c>
      <c r="D524" s="29" t="s">
        <v>2705</v>
      </c>
      <c r="E524" s="251" t="s">
        <v>2775</v>
      </c>
    </row>
    <row r="525">
      <c r="A525" s="70">
        <v>46155.0</v>
      </c>
      <c r="B525" s="223" t="s">
        <v>2880</v>
      </c>
      <c r="C525" s="29" t="s">
        <v>2189</v>
      </c>
      <c r="D525" s="29" t="s">
        <v>2705</v>
      </c>
      <c r="E525" s="251" t="s">
        <v>2783</v>
      </c>
    </row>
    <row r="526">
      <c r="A526" s="70">
        <v>46155.0</v>
      </c>
      <c r="B526" s="223" t="s">
        <v>2881</v>
      </c>
      <c r="C526" s="29" t="s">
        <v>2189</v>
      </c>
      <c r="D526" s="29" t="s">
        <v>2705</v>
      </c>
      <c r="E526" s="251" t="s">
        <v>2781</v>
      </c>
    </row>
    <row r="527">
      <c r="A527" s="70">
        <v>46155.0</v>
      </c>
      <c r="B527" s="223" t="s">
        <v>2883</v>
      </c>
      <c r="C527" s="29" t="s">
        <v>2189</v>
      </c>
      <c r="D527" s="29" t="s">
        <v>2705</v>
      </c>
      <c r="E527" s="251" t="s">
        <v>2716</v>
      </c>
    </row>
    <row r="528">
      <c r="A528" s="70">
        <v>46155.0</v>
      </c>
      <c r="B528" s="223" t="s">
        <v>2884</v>
      </c>
      <c r="C528" s="29" t="s">
        <v>2189</v>
      </c>
      <c r="D528" s="29" t="s">
        <v>2705</v>
      </c>
      <c r="E528" s="251" t="s">
        <v>2746</v>
      </c>
    </row>
    <row r="529">
      <c r="A529" s="70">
        <v>46155.0</v>
      </c>
      <c r="B529" s="223" t="s">
        <v>2886</v>
      </c>
      <c r="C529" s="29" t="s">
        <v>2189</v>
      </c>
      <c r="D529" s="29" t="s">
        <v>2705</v>
      </c>
      <c r="E529" s="251" t="s">
        <v>2746</v>
      </c>
    </row>
    <row r="530">
      <c r="A530" s="70">
        <v>46155.0</v>
      </c>
      <c r="B530" s="223" t="s">
        <v>1625</v>
      </c>
      <c r="C530" s="29" t="s">
        <v>2189</v>
      </c>
      <c r="D530" s="29" t="s">
        <v>2705</v>
      </c>
      <c r="E530" s="251" t="s">
        <v>2739</v>
      </c>
    </row>
    <row r="531">
      <c r="A531" s="70">
        <v>46155.0</v>
      </c>
      <c r="B531" s="223" t="s">
        <v>720</v>
      </c>
      <c r="C531" s="29" t="s">
        <v>2189</v>
      </c>
      <c r="D531" s="29" t="s">
        <v>2705</v>
      </c>
      <c r="E531" s="251" t="s">
        <v>2888</v>
      </c>
    </row>
    <row r="532">
      <c r="A532" s="70">
        <v>46155.0</v>
      </c>
      <c r="B532" s="223" t="s">
        <v>2889</v>
      </c>
      <c r="C532" s="29" t="s">
        <v>2189</v>
      </c>
      <c r="D532" s="29" t="s">
        <v>2705</v>
      </c>
      <c r="E532" s="251" t="s">
        <v>2726</v>
      </c>
    </row>
    <row r="533">
      <c r="A533" s="70">
        <v>46155.0</v>
      </c>
      <c r="B533" s="223" t="s">
        <v>2890</v>
      </c>
      <c r="C533" s="29" t="s">
        <v>2189</v>
      </c>
      <c r="D533" s="29" t="s">
        <v>2705</v>
      </c>
      <c r="E533" s="251" t="s">
        <v>2891</v>
      </c>
    </row>
    <row r="534">
      <c r="A534" s="70">
        <v>46155.0</v>
      </c>
      <c r="B534" s="223" t="s">
        <v>2893</v>
      </c>
      <c r="C534" s="29" t="s">
        <v>2189</v>
      </c>
      <c r="D534" s="29" t="s">
        <v>2705</v>
      </c>
      <c r="E534" s="251" t="s">
        <v>2851</v>
      </c>
    </row>
    <row r="535">
      <c r="A535" s="70">
        <v>46155.0</v>
      </c>
      <c r="B535" s="223" t="s">
        <v>2894</v>
      </c>
      <c r="C535" s="29" t="s">
        <v>2189</v>
      </c>
      <c r="D535" s="29" t="s">
        <v>2705</v>
      </c>
      <c r="E535" s="251" t="s">
        <v>2895</v>
      </c>
    </row>
    <row r="536">
      <c r="A536" s="70">
        <v>46155.0</v>
      </c>
      <c r="B536" s="223" t="s">
        <v>2896</v>
      </c>
      <c r="C536" s="29" t="s">
        <v>2189</v>
      </c>
      <c r="D536" s="29" t="s">
        <v>2705</v>
      </c>
      <c r="E536" s="251" t="s">
        <v>2716</v>
      </c>
    </row>
    <row r="537">
      <c r="A537" s="70">
        <v>46155.0</v>
      </c>
      <c r="B537" s="223" t="s">
        <v>2897</v>
      </c>
      <c r="C537" s="29" t="s">
        <v>2189</v>
      </c>
      <c r="D537" s="29" t="s">
        <v>2705</v>
      </c>
      <c r="E537" s="251" t="s">
        <v>2898</v>
      </c>
    </row>
    <row r="538">
      <c r="A538" s="70">
        <v>46155.0</v>
      </c>
      <c r="B538" s="301" t="s">
        <v>2519</v>
      </c>
      <c r="C538" s="29" t="s">
        <v>2189</v>
      </c>
      <c r="D538" s="29" t="s">
        <v>2705</v>
      </c>
      <c r="E538" s="251" t="s">
        <v>2720</v>
      </c>
    </row>
    <row r="539">
      <c r="A539" s="70">
        <v>46155.0</v>
      </c>
      <c r="B539" s="105">
        <v>5.30452738E9</v>
      </c>
      <c r="C539" s="29" t="s">
        <v>2189</v>
      </c>
      <c r="D539" s="29" t="s">
        <v>2705</v>
      </c>
      <c r="E539" s="251" t="s">
        <v>2900</v>
      </c>
    </row>
    <row r="540">
      <c r="A540" s="70">
        <v>46155.0</v>
      </c>
      <c r="B540" s="29">
        <v>8.09069206E8</v>
      </c>
      <c r="C540" s="29" t="s">
        <v>2189</v>
      </c>
      <c r="D540" s="29" t="s">
        <v>2705</v>
      </c>
      <c r="E540" s="251" t="s">
        <v>2775</v>
      </c>
    </row>
    <row r="541">
      <c r="A541" s="70">
        <v>46155.0</v>
      </c>
      <c r="B541" s="223" t="s">
        <v>531</v>
      </c>
      <c r="C541" s="29" t="s">
        <v>2189</v>
      </c>
      <c r="D541" s="29" t="s">
        <v>2705</v>
      </c>
      <c r="E541" s="251" t="s">
        <v>2901</v>
      </c>
    </row>
    <row r="542">
      <c r="A542" s="23"/>
      <c r="B542" s="23"/>
      <c r="C542" s="23"/>
      <c r="D542" s="23"/>
      <c r="E542" s="253"/>
      <c r="F542" s="23"/>
    </row>
    <row r="543">
      <c r="A543" s="70">
        <v>46156.0</v>
      </c>
      <c r="B543" s="223" t="s">
        <v>2902</v>
      </c>
      <c r="C543" s="29" t="s">
        <v>2189</v>
      </c>
      <c r="D543" s="29" t="s">
        <v>2705</v>
      </c>
      <c r="E543" s="251" t="s">
        <v>2903</v>
      </c>
    </row>
    <row r="544">
      <c r="A544" s="70">
        <v>46156.0</v>
      </c>
      <c r="B544" s="223" t="s">
        <v>2904</v>
      </c>
      <c r="C544" s="29" t="s">
        <v>2189</v>
      </c>
      <c r="D544" s="29" t="s">
        <v>2705</v>
      </c>
      <c r="E544" s="251" t="s">
        <v>2706</v>
      </c>
    </row>
    <row r="545">
      <c r="A545" s="70">
        <v>46156.0</v>
      </c>
      <c r="B545" s="223" t="s">
        <v>1835</v>
      </c>
      <c r="C545" s="29" t="s">
        <v>2189</v>
      </c>
      <c r="D545" s="29" t="s">
        <v>2705</v>
      </c>
      <c r="E545" s="251" t="s">
        <v>2905</v>
      </c>
    </row>
    <row r="546">
      <c r="A546" s="70">
        <v>46156.0</v>
      </c>
      <c r="B546" s="223" t="s">
        <v>1700</v>
      </c>
      <c r="C546" s="29" t="s">
        <v>2189</v>
      </c>
      <c r="D546" s="29" t="s">
        <v>2705</v>
      </c>
      <c r="E546" s="251" t="s">
        <v>2777</v>
      </c>
    </row>
    <row r="547">
      <c r="A547" s="70">
        <v>46156.0</v>
      </c>
      <c r="B547" s="223" t="s">
        <v>2906</v>
      </c>
      <c r="C547" s="29" t="s">
        <v>2189</v>
      </c>
      <c r="D547" s="29" t="s">
        <v>2705</v>
      </c>
      <c r="E547" s="251" t="s">
        <v>2907</v>
      </c>
    </row>
    <row r="548">
      <c r="A548" s="70">
        <v>46156.0</v>
      </c>
      <c r="B548" s="223" t="s">
        <v>2908</v>
      </c>
      <c r="C548" s="29" t="s">
        <v>2189</v>
      </c>
      <c r="D548" s="29" t="s">
        <v>2705</v>
      </c>
      <c r="E548" s="251" t="s">
        <v>2900</v>
      </c>
    </row>
    <row r="549">
      <c r="A549" s="70">
        <v>46156.0</v>
      </c>
      <c r="B549" s="223" t="s">
        <v>2909</v>
      </c>
      <c r="C549" s="29" t="s">
        <v>2189</v>
      </c>
      <c r="D549" s="29" t="s">
        <v>2705</v>
      </c>
      <c r="E549" s="251" t="s">
        <v>2754</v>
      </c>
    </row>
    <row r="550">
      <c r="A550" s="70">
        <v>46156.0</v>
      </c>
      <c r="B550" s="223" t="s">
        <v>545</v>
      </c>
      <c r="C550" s="29" t="s">
        <v>2189</v>
      </c>
      <c r="D550" s="29" t="s">
        <v>2705</v>
      </c>
      <c r="E550" s="251" t="s">
        <v>2910</v>
      </c>
    </row>
    <row r="551">
      <c r="A551" s="70">
        <v>46156.0</v>
      </c>
      <c r="B551" s="223" t="s">
        <v>960</v>
      </c>
      <c r="C551" s="29" t="s">
        <v>2189</v>
      </c>
      <c r="D551" s="29" t="s">
        <v>2705</v>
      </c>
      <c r="E551" s="251" t="s">
        <v>2717</v>
      </c>
    </row>
    <row r="552">
      <c r="A552" s="70">
        <v>46156.0</v>
      </c>
      <c r="B552" s="29">
        <v>279827.0</v>
      </c>
      <c r="C552" s="29" t="s">
        <v>2189</v>
      </c>
      <c r="D552" s="29" t="s">
        <v>2705</v>
      </c>
      <c r="E552" s="251" t="s">
        <v>2911</v>
      </c>
    </row>
    <row r="553">
      <c r="A553" s="70">
        <v>46156.0</v>
      </c>
      <c r="B553" s="223" t="s">
        <v>2912</v>
      </c>
      <c r="C553" s="29" t="s">
        <v>2189</v>
      </c>
      <c r="D553" s="29" t="s">
        <v>2705</v>
      </c>
      <c r="E553" s="251" t="s">
        <v>2913</v>
      </c>
    </row>
    <row r="554">
      <c r="A554" s="70">
        <v>46156.0</v>
      </c>
      <c r="B554" s="29">
        <v>5.304505081E9</v>
      </c>
      <c r="C554" s="29" t="s">
        <v>2189</v>
      </c>
      <c r="D554" s="29" t="s">
        <v>2705</v>
      </c>
      <c r="E554" s="251" t="s">
        <v>2915</v>
      </c>
    </row>
    <row r="555">
      <c r="A555" s="70">
        <v>46156.0</v>
      </c>
      <c r="B555" s="223" t="s">
        <v>1984</v>
      </c>
      <c r="C555" s="29" t="s">
        <v>2189</v>
      </c>
      <c r="D555" s="29" t="s">
        <v>2705</v>
      </c>
      <c r="E555" s="251" t="s">
        <v>2781</v>
      </c>
    </row>
    <row r="556">
      <c r="A556" s="70">
        <v>46156.0</v>
      </c>
      <c r="B556" s="223" t="s">
        <v>2917</v>
      </c>
      <c r="C556" s="29" t="s">
        <v>2189</v>
      </c>
      <c r="D556" s="29" t="s">
        <v>2705</v>
      </c>
      <c r="E556" s="251" t="s">
        <v>2918</v>
      </c>
    </row>
    <row r="557">
      <c r="A557" s="70">
        <v>46156.0</v>
      </c>
      <c r="B557" s="223" t="s">
        <v>2919</v>
      </c>
      <c r="C557" s="29" t="s">
        <v>2189</v>
      </c>
      <c r="D557" s="29" t="s">
        <v>2705</v>
      </c>
      <c r="E557" s="251" t="s">
        <v>2895</v>
      </c>
    </row>
    <row r="558">
      <c r="A558" s="70">
        <v>46156.0</v>
      </c>
      <c r="B558" s="223" t="s">
        <v>2921</v>
      </c>
      <c r="C558" s="29" t="s">
        <v>2189</v>
      </c>
      <c r="D558" s="29" t="s">
        <v>2705</v>
      </c>
      <c r="E558" s="251" t="s">
        <v>2724</v>
      </c>
    </row>
    <row r="559">
      <c r="A559" s="70">
        <v>46156.0</v>
      </c>
      <c r="B559" s="223" t="s">
        <v>2922</v>
      </c>
      <c r="C559" s="29" t="s">
        <v>2189</v>
      </c>
      <c r="D559" s="29" t="s">
        <v>2705</v>
      </c>
      <c r="E559" s="251" t="s">
        <v>2729</v>
      </c>
    </row>
    <row r="560">
      <c r="A560" s="70">
        <v>46156.0</v>
      </c>
      <c r="B560" s="223" t="s">
        <v>222</v>
      </c>
      <c r="C560" s="29" t="s">
        <v>2189</v>
      </c>
      <c r="D560" s="29" t="s">
        <v>2705</v>
      </c>
      <c r="E560" s="251" t="s">
        <v>2845</v>
      </c>
      <c r="F560" s="223" t="s">
        <v>2536</v>
      </c>
    </row>
    <row r="561">
      <c r="A561" s="70">
        <v>46156.0</v>
      </c>
      <c r="B561" s="223" t="s">
        <v>2924</v>
      </c>
      <c r="C561" s="29" t="s">
        <v>2189</v>
      </c>
      <c r="D561" s="29" t="s">
        <v>2705</v>
      </c>
      <c r="E561" s="251" t="s">
        <v>2724</v>
      </c>
    </row>
    <row r="562">
      <c r="A562" s="70">
        <v>46156.0</v>
      </c>
      <c r="B562" s="223" t="s">
        <v>2926</v>
      </c>
      <c r="C562" s="29" t="s">
        <v>2189</v>
      </c>
      <c r="D562" s="29" t="s">
        <v>2705</v>
      </c>
      <c r="E562" s="251" t="s">
        <v>2927</v>
      </c>
    </row>
    <row r="563">
      <c r="A563" s="70">
        <v>46156.0</v>
      </c>
      <c r="B563" s="223" t="s">
        <v>2928</v>
      </c>
      <c r="C563" s="29" t="s">
        <v>2189</v>
      </c>
      <c r="D563" s="29" t="s">
        <v>2705</v>
      </c>
      <c r="E563" s="251" t="s">
        <v>2716</v>
      </c>
      <c r="F563" s="29" t="s">
        <v>2930</v>
      </c>
    </row>
    <row r="564">
      <c r="A564" s="70">
        <v>46156.0</v>
      </c>
      <c r="B564" s="223" t="s">
        <v>2932</v>
      </c>
      <c r="C564" s="29" t="s">
        <v>2189</v>
      </c>
      <c r="D564" s="29" t="s">
        <v>2705</v>
      </c>
      <c r="E564" s="251" t="s">
        <v>2933</v>
      </c>
    </row>
    <row r="565">
      <c r="A565" s="70">
        <v>46156.0</v>
      </c>
      <c r="B565" s="223" t="s">
        <v>2934</v>
      </c>
      <c r="C565" s="29" t="s">
        <v>2189</v>
      </c>
      <c r="D565" s="29" t="s">
        <v>2705</v>
      </c>
      <c r="E565" s="251" t="s">
        <v>2935</v>
      </c>
    </row>
    <row r="566">
      <c r="A566" s="70">
        <v>46156.0</v>
      </c>
      <c r="B566" s="223" t="s">
        <v>2936</v>
      </c>
      <c r="C566" s="29" t="s">
        <v>2189</v>
      </c>
      <c r="D566" s="29" t="s">
        <v>2705</v>
      </c>
      <c r="E566" s="251" t="s">
        <v>2937</v>
      </c>
    </row>
    <row r="567">
      <c r="A567" s="70">
        <v>46156.0</v>
      </c>
      <c r="B567" s="223" t="s">
        <v>539</v>
      </c>
      <c r="C567" s="29" t="s">
        <v>2189</v>
      </c>
      <c r="D567" s="29" t="s">
        <v>2705</v>
      </c>
      <c r="E567" s="251" t="s">
        <v>2938</v>
      </c>
    </row>
    <row r="568">
      <c r="A568" s="70">
        <v>46156.0</v>
      </c>
      <c r="B568" s="223" t="s">
        <v>1275</v>
      </c>
      <c r="C568" s="29" t="s">
        <v>2189</v>
      </c>
      <c r="D568" s="29" t="s">
        <v>2705</v>
      </c>
      <c r="E568" s="251" t="s">
        <v>2729</v>
      </c>
    </row>
    <row r="569">
      <c r="A569" s="70">
        <v>46156.0</v>
      </c>
      <c r="B569" s="303" t="s">
        <v>1459</v>
      </c>
      <c r="C569" s="29" t="s">
        <v>2189</v>
      </c>
      <c r="D569" s="29" t="s">
        <v>2705</v>
      </c>
      <c r="E569" s="251" t="s">
        <v>2746</v>
      </c>
    </row>
    <row r="570">
      <c r="A570" s="70">
        <v>46156.0</v>
      </c>
      <c r="B570" s="29" t="s">
        <v>132</v>
      </c>
      <c r="C570" s="29" t="s">
        <v>2189</v>
      </c>
      <c r="D570" s="29" t="s">
        <v>2705</v>
      </c>
      <c r="E570" s="251" t="s">
        <v>2888</v>
      </c>
    </row>
    <row r="571">
      <c r="A571" s="70">
        <v>46156.0</v>
      </c>
      <c r="B571" s="223" t="s">
        <v>2941</v>
      </c>
      <c r="C571" s="29" t="s">
        <v>2189</v>
      </c>
      <c r="D571" s="29" t="s">
        <v>2705</v>
      </c>
      <c r="E571" s="251" t="s">
        <v>2851</v>
      </c>
    </row>
    <row r="572">
      <c r="A572" s="70">
        <v>46156.0</v>
      </c>
      <c r="B572" s="223" t="s">
        <v>290</v>
      </c>
      <c r="C572" s="29" t="s">
        <v>2189</v>
      </c>
      <c r="D572" s="29" t="s">
        <v>2705</v>
      </c>
      <c r="E572" s="251" t="s">
        <v>2900</v>
      </c>
    </row>
    <row r="573">
      <c r="A573" s="23"/>
      <c r="B573" s="23"/>
      <c r="C573" s="23"/>
      <c r="D573" s="23"/>
      <c r="E573" s="253"/>
      <c r="F573" s="23"/>
      <c r="G573" s="23"/>
    </row>
    <row r="574">
      <c r="E574" s="276"/>
    </row>
    <row r="575">
      <c r="E575" s="276"/>
    </row>
    <row r="576">
      <c r="E576" s="276"/>
    </row>
    <row r="577">
      <c r="E577" s="276"/>
    </row>
    <row r="578">
      <c r="E578" s="276"/>
    </row>
    <row r="579">
      <c r="E579" s="276"/>
    </row>
    <row r="580">
      <c r="E580" s="276"/>
    </row>
    <row r="581">
      <c r="E581" s="276"/>
    </row>
    <row r="582">
      <c r="E582" s="276"/>
    </row>
    <row r="583">
      <c r="E583" s="276"/>
    </row>
    <row r="584">
      <c r="E584" s="276"/>
    </row>
    <row r="585">
      <c r="E585" s="276"/>
    </row>
    <row r="586">
      <c r="E586" s="276"/>
    </row>
    <row r="587">
      <c r="E587" s="276"/>
    </row>
    <row r="588">
      <c r="E588" s="276"/>
    </row>
    <row r="589">
      <c r="E589" s="276"/>
    </row>
    <row r="590">
      <c r="E590" s="276"/>
    </row>
    <row r="591">
      <c r="E591" s="276"/>
    </row>
    <row r="592">
      <c r="E592" s="276"/>
    </row>
    <row r="593">
      <c r="E593" s="276"/>
    </row>
    <row r="594">
      <c r="E594" s="276"/>
    </row>
    <row r="595">
      <c r="E595" s="276"/>
    </row>
    <row r="596">
      <c r="E596" s="276"/>
    </row>
    <row r="597">
      <c r="E597" s="276"/>
    </row>
    <row r="598">
      <c r="E598" s="276"/>
    </row>
    <row r="599">
      <c r="E599" s="276"/>
    </row>
    <row r="600">
      <c r="E600" s="276"/>
    </row>
    <row r="601">
      <c r="E601" s="276"/>
    </row>
    <row r="602">
      <c r="E602" s="276"/>
    </row>
    <row r="603">
      <c r="E603" s="276"/>
    </row>
    <row r="604">
      <c r="E604" s="276"/>
    </row>
    <row r="605">
      <c r="E605" s="276"/>
    </row>
    <row r="606">
      <c r="E606" s="276"/>
    </row>
    <row r="607">
      <c r="E607" s="276"/>
    </row>
    <row r="608">
      <c r="E608" s="276"/>
    </row>
    <row r="609">
      <c r="E609" s="276"/>
    </row>
    <row r="610">
      <c r="E610" s="276"/>
    </row>
    <row r="611">
      <c r="E611" s="276"/>
    </row>
    <row r="612">
      <c r="E612" s="276"/>
    </row>
    <row r="613">
      <c r="E613" s="276"/>
    </row>
    <row r="614">
      <c r="E614" s="276"/>
    </row>
    <row r="615">
      <c r="E615" s="276"/>
    </row>
    <row r="616">
      <c r="E616" s="276"/>
    </row>
    <row r="617">
      <c r="E617" s="276"/>
    </row>
    <row r="618">
      <c r="E618" s="276"/>
    </row>
    <row r="619">
      <c r="E619" s="276"/>
    </row>
    <row r="620">
      <c r="E620" s="276"/>
    </row>
    <row r="621">
      <c r="E621" s="276"/>
    </row>
    <row r="622">
      <c r="E622" s="276"/>
    </row>
    <row r="623">
      <c r="E623" s="276"/>
    </row>
    <row r="624">
      <c r="E624" s="276"/>
    </row>
    <row r="625">
      <c r="E625" s="276"/>
    </row>
    <row r="626">
      <c r="E626" s="276"/>
    </row>
    <row r="627">
      <c r="E627" s="276"/>
    </row>
    <row r="628">
      <c r="E628" s="276"/>
    </row>
    <row r="629">
      <c r="E629" s="276"/>
    </row>
    <row r="630">
      <c r="E630" s="276"/>
    </row>
    <row r="631">
      <c r="E631" s="276"/>
    </row>
    <row r="632">
      <c r="E632" s="276"/>
    </row>
    <row r="633">
      <c r="E633" s="276"/>
    </row>
    <row r="634">
      <c r="E634" s="276"/>
    </row>
    <row r="635">
      <c r="E635" s="276"/>
    </row>
    <row r="636">
      <c r="E636" s="276"/>
    </row>
    <row r="637">
      <c r="E637" s="276"/>
    </row>
    <row r="638">
      <c r="E638" s="276"/>
    </row>
    <row r="639">
      <c r="E639" s="276"/>
    </row>
    <row r="640">
      <c r="E640" s="276"/>
    </row>
    <row r="641">
      <c r="E641" s="276"/>
    </row>
    <row r="642">
      <c r="E642" s="276"/>
    </row>
    <row r="643">
      <c r="E643" s="276"/>
    </row>
    <row r="644">
      <c r="E644" s="276"/>
    </row>
    <row r="645">
      <c r="E645" s="276"/>
    </row>
    <row r="646">
      <c r="E646" s="276"/>
    </row>
    <row r="647">
      <c r="E647" s="276"/>
    </row>
    <row r="648">
      <c r="E648" s="276"/>
    </row>
    <row r="649">
      <c r="E649" s="276"/>
    </row>
    <row r="650">
      <c r="E650" s="276"/>
    </row>
    <row r="651">
      <c r="E651" s="276"/>
    </row>
    <row r="652">
      <c r="E652" s="276"/>
    </row>
    <row r="653">
      <c r="E653" s="276"/>
    </row>
    <row r="654">
      <c r="E654" s="276"/>
    </row>
    <row r="655">
      <c r="E655" s="276"/>
    </row>
    <row r="656">
      <c r="E656" s="276"/>
    </row>
    <row r="657">
      <c r="E657" s="276"/>
    </row>
    <row r="658">
      <c r="E658" s="276"/>
    </row>
    <row r="659">
      <c r="E659" s="276"/>
    </row>
    <row r="660">
      <c r="E660" s="276"/>
    </row>
    <row r="661">
      <c r="E661" s="276"/>
    </row>
    <row r="662">
      <c r="E662" s="276"/>
    </row>
    <row r="663">
      <c r="E663" s="276"/>
    </row>
    <row r="664">
      <c r="E664" s="276"/>
    </row>
    <row r="665">
      <c r="E665" s="276"/>
    </row>
    <row r="666">
      <c r="E666" s="276"/>
    </row>
    <row r="667">
      <c r="E667" s="276"/>
    </row>
    <row r="668">
      <c r="E668" s="276"/>
    </row>
    <row r="669">
      <c r="E669" s="276"/>
    </row>
    <row r="670">
      <c r="E670" s="276"/>
    </row>
    <row r="671">
      <c r="E671" s="276"/>
    </row>
    <row r="672">
      <c r="E672" s="276"/>
    </row>
    <row r="673">
      <c r="E673" s="276"/>
    </row>
    <row r="674">
      <c r="E674" s="276"/>
    </row>
    <row r="675">
      <c r="E675" s="276"/>
    </row>
    <row r="676">
      <c r="E676" s="276"/>
    </row>
    <row r="677">
      <c r="E677" s="276"/>
    </row>
    <row r="678">
      <c r="E678" s="276"/>
    </row>
    <row r="679">
      <c r="E679" s="276"/>
    </row>
    <row r="680">
      <c r="E680" s="276"/>
    </row>
    <row r="681">
      <c r="E681" s="276"/>
    </row>
    <row r="682">
      <c r="E682" s="276"/>
    </row>
    <row r="683">
      <c r="E683" s="276"/>
    </row>
    <row r="684">
      <c r="E684" s="276"/>
    </row>
    <row r="685">
      <c r="E685" s="276"/>
    </row>
    <row r="686">
      <c r="E686" s="276"/>
    </row>
    <row r="687">
      <c r="E687" s="276"/>
    </row>
    <row r="688">
      <c r="E688" s="276"/>
    </row>
    <row r="689">
      <c r="E689" s="276"/>
    </row>
    <row r="690">
      <c r="E690" s="276"/>
    </row>
    <row r="691">
      <c r="E691" s="276"/>
    </row>
    <row r="692">
      <c r="E692" s="276"/>
    </row>
    <row r="693">
      <c r="E693" s="276"/>
    </row>
    <row r="694">
      <c r="E694" s="276"/>
    </row>
    <row r="695">
      <c r="E695" s="276"/>
    </row>
    <row r="696">
      <c r="E696" s="276"/>
    </row>
    <row r="697">
      <c r="E697" s="276"/>
    </row>
    <row r="698">
      <c r="E698" s="276"/>
    </row>
    <row r="699">
      <c r="E699" s="276"/>
    </row>
    <row r="700">
      <c r="E700" s="276"/>
    </row>
    <row r="701">
      <c r="E701" s="276"/>
    </row>
    <row r="702">
      <c r="E702" s="276"/>
    </row>
    <row r="703">
      <c r="E703" s="276"/>
    </row>
    <row r="704">
      <c r="E704" s="276"/>
    </row>
    <row r="705">
      <c r="E705" s="276"/>
    </row>
    <row r="706">
      <c r="E706" s="276"/>
    </row>
    <row r="707">
      <c r="E707" s="276"/>
    </row>
    <row r="708">
      <c r="E708" s="276"/>
    </row>
    <row r="709">
      <c r="E709" s="276"/>
    </row>
    <row r="710">
      <c r="E710" s="276"/>
    </row>
    <row r="711">
      <c r="E711" s="276"/>
    </row>
    <row r="712">
      <c r="E712" s="276"/>
    </row>
    <row r="713">
      <c r="E713" s="276"/>
    </row>
    <row r="714">
      <c r="E714" s="276"/>
    </row>
    <row r="715">
      <c r="E715" s="276"/>
    </row>
    <row r="716">
      <c r="E716" s="276"/>
    </row>
    <row r="717">
      <c r="E717" s="276"/>
    </row>
    <row r="718">
      <c r="E718" s="276"/>
    </row>
    <row r="719">
      <c r="E719" s="276"/>
    </row>
    <row r="720">
      <c r="E720" s="276"/>
    </row>
    <row r="721">
      <c r="E721" s="276"/>
    </row>
    <row r="722">
      <c r="E722" s="276"/>
    </row>
    <row r="723">
      <c r="E723" s="276"/>
    </row>
    <row r="724">
      <c r="E724" s="276"/>
    </row>
    <row r="725">
      <c r="E725" s="276"/>
    </row>
    <row r="726">
      <c r="E726" s="276"/>
    </row>
    <row r="727">
      <c r="E727" s="276"/>
    </row>
    <row r="728">
      <c r="E728" s="276"/>
    </row>
    <row r="729">
      <c r="E729" s="276"/>
    </row>
    <row r="730">
      <c r="E730" s="276"/>
    </row>
    <row r="731">
      <c r="E731" s="276"/>
    </row>
    <row r="732">
      <c r="E732" s="276"/>
    </row>
    <row r="733">
      <c r="E733" s="276"/>
    </row>
    <row r="734">
      <c r="E734" s="276"/>
    </row>
    <row r="735">
      <c r="E735" s="276"/>
    </row>
    <row r="736">
      <c r="E736" s="276"/>
    </row>
    <row r="737">
      <c r="E737" s="276"/>
    </row>
    <row r="738">
      <c r="E738" s="276"/>
    </row>
    <row r="739">
      <c r="E739" s="276"/>
    </row>
    <row r="740">
      <c r="E740" s="276"/>
    </row>
    <row r="741">
      <c r="E741" s="276"/>
    </row>
    <row r="742">
      <c r="E742" s="276"/>
    </row>
    <row r="743">
      <c r="E743" s="276"/>
    </row>
    <row r="744">
      <c r="E744" s="276"/>
    </row>
    <row r="745">
      <c r="E745" s="276"/>
    </row>
    <row r="746">
      <c r="E746" s="276"/>
    </row>
    <row r="747">
      <c r="E747" s="276"/>
    </row>
    <row r="748">
      <c r="E748" s="276"/>
    </row>
    <row r="749">
      <c r="E749" s="276"/>
    </row>
    <row r="750">
      <c r="E750" s="276"/>
    </row>
    <row r="751">
      <c r="E751" s="276"/>
    </row>
    <row r="752">
      <c r="E752" s="276"/>
    </row>
    <row r="753">
      <c r="E753" s="276"/>
    </row>
    <row r="754">
      <c r="E754" s="276"/>
    </row>
    <row r="755">
      <c r="E755" s="276"/>
    </row>
    <row r="756">
      <c r="E756" s="276"/>
    </row>
    <row r="757">
      <c r="E757" s="276"/>
    </row>
    <row r="758">
      <c r="E758" s="276"/>
    </row>
    <row r="759">
      <c r="E759" s="276"/>
    </row>
    <row r="760">
      <c r="E760" s="276"/>
    </row>
    <row r="761">
      <c r="E761" s="276"/>
    </row>
    <row r="762">
      <c r="E762" s="276"/>
    </row>
    <row r="763">
      <c r="E763" s="276"/>
    </row>
    <row r="764">
      <c r="E764" s="276"/>
    </row>
    <row r="765">
      <c r="E765" s="276"/>
    </row>
    <row r="766">
      <c r="E766" s="276"/>
    </row>
    <row r="767">
      <c r="E767" s="276"/>
    </row>
    <row r="768">
      <c r="E768" s="276"/>
    </row>
    <row r="769">
      <c r="E769" s="276"/>
    </row>
    <row r="770">
      <c r="E770" s="276"/>
    </row>
    <row r="771">
      <c r="E771" s="276"/>
    </row>
    <row r="772">
      <c r="E772" s="276"/>
    </row>
    <row r="773">
      <c r="E773" s="276"/>
    </row>
    <row r="774">
      <c r="E774" s="276"/>
    </row>
    <row r="775">
      <c r="E775" s="276"/>
    </row>
    <row r="776">
      <c r="E776" s="276"/>
    </row>
    <row r="777">
      <c r="E777" s="276"/>
    </row>
    <row r="778">
      <c r="E778" s="276"/>
    </row>
    <row r="779">
      <c r="E779" s="276"/>
    </row>
    <row r="780">
      <c r="E780" s="276"/>
    </row>
    <row r="781">
      <c r="E781" s="276"/>
    </row>
    <row r="782">
      <c r="E782" s="276"/>
    </row>
    <row r="783">
      <c r="E783" s="276"/>
    </row>
    <row r="784">
      <c r="E784" s="276"/>
    </row>
    <row r="785">
      <c r="E785" s="276"/>
    </row>
    <row r="786">
      <c r="E786" s="276"/>
    </row>
    <row r="787">
      <c r="E787" s="276"/>
    </row>
    <row r="788">
      <c r="E788" s="276"/>
    </row>
    <row r="789">
      <c r="E789" s="276"/>
    </row>
    <row r="790">
      <c r="E790" s="276"/>
    </row>
    <row r="791">
      <c r="E791" s="276"/>
    </row>
    <row r="792">
      <c r="E792" s="276"/>
    </row>
    <row r="793">
      <c r="E793" s="276"/>
    </row>
    <row r="794">
      <c r="E794" s="276"/>
    </row>
    <row r="795">
      <c r="E795" s="276"/>
    </row>
    <row r="796">
      <c r="E796" s="276"/>
    </row>
    <row r="797">
      <c r="E797" s="276"/>
    </row>
    <row r="798">
      <c r="E798" s="276"/>
    </row>
    <row r="799">
      <c r="E799" s="276"/>
    </row>
    <row r="800">
      <c r="E800" s="276"/>
    </row>
    <row r="801">
      <c r="E801" s="276"/>
    </row>
    <row r="802">
      <c r="E802" s="276"/>
    </row>
    <row r="803">
      <c r="E803" s="276"/>
    </row>
    <row r="804">
      <c r="E804" s="276"/>
    </row>
    <row r="805">
      <c r="E805" s="276"/>
    </row>
    <row r="806">
      <c r="E806" s="276"/>
    </row>
    <row r="807">
      <c r="E807" s="276"/>
    </row>
    <row r="808">
      <c r="E808" s="276"/>
    </row>
    <row r="809">
      <c r="E809" s="276"/>
    </row>
    <row r="810">
      <c r="E810" s="276"/>
    </row>
    <row r="811">
      <c r="E811" s="276"/>
    </row>
    <row r="812">
      <c r="E812" s="276"/>
    </row>
    <row r="813">
      <c r="E813" s="276"/>
    </row>
    <row r="814">
      <c r="E814" s="276"/>
    </row>
    <row r="815">
      <c r="E815" s="276"/>
    </row>
    <row r="816">
      <c r="E816" s="276"/>
    </row>
    <row r="817">
      <c r="E817" s="276"/>
    </row>
    <row r="818">
      <c r="E818" s="276"/>
    </row>
    <row r="819">
      <c r="E819" s="276"/>
    </row>
    <row r="820">
      <c r="E820" s="276"/>
    </row>
    <row r="821">
      <c r="E821" s="276"/>
    </row>
    <row r="822">
      <c r="E822" s="276"/>
    </row>
    <row r="823">
      <c r="E823" s="276"/>
    </row>
    <row r="824">
      <c r="E824" s="276"/>
    </row>
    <row r="825">
      <c r="E825" s="276"/>
    </row>
    <row r="826">
      <c r="E826" s="276"/>
    </row>
    <row r="827">
      <c r="E827" s="276"/>
    </row>
    <row r="828">
      <c r="E828" s="276"/>
    </row>
    <row r="829">
      <c r="E829" s="276"/>
    </row>
    <row r="830">
      <c r="E830" s="276"/>
    </row>
    <row r="831">
      <c r="E831" s="276"/>
    </row>
    <row r="832">
      <c r="E832" s="276"/>
    </row>
    <row r="833">
      <c r="E833" s="276"/>
    </row>
    <row r="834">
      <c r="E834" s="276"/>
    </row>
    <row r="835">
      <c r="E835" s="276"/>
    </row>
    <row r="836">
      <c r="E836" s="276"/>
    </row>
    <row r="837">
      <c r="E837" s="276"/>
    </row>
    <row r="838">
      <c r="E838" s="276"/>
    </row>
    <row r="839">
      <c r="E839" s="276"/>
    </row>
    <row r="840">
      <c r="E840" s="276"/>
    </row>
    <row r="841">
      <c r="E841" s="276"/>
    </row>
    <row r="842">
      <c r="E842" s="276"/>
    </row>
    <row r="843">
      <c r="E843" s="276"/>
    </row>
    <row r="844">
      <c r="E844" s="276"/>
    </row>
    <row r="845">
      <c r="E845" s="276"/>
    </row>
    <row r="846">
      <c r="E846" s="276"/>
    </row>
    <row r="847">
      <c r="E847" s="276"/>
    </row>
    <row r="848">
      <c r="E848" s="276"/>
    </row>
    <row r="849">
      <c r="E849" s="276"/>
    </row>
    <row r="850">
      <c r="E850" s="276"/>
    </row>
    <row r="851">
      <c r="E851" s="276"/>
    </row>
    <row r="852">
      <c r="E852" s="276"/>
    </row>
    <row r="853">
      <c r="E853" s="276"/>
    </row>
    <row r="854">
      <c r="E854" s="276"/>
    </row>
    <row r="855">
      <c r="E855" s="276"/>
    </row>
    <row r="856">
      <c r="E856" s="276"/>
    </row>
    <row r="857">
      <c r="E857" s="276"/>
    </row>
    <row r="858">
      <c r="E858" s="276"/>
    </row>
    <row r="859">
      <c r="E859" s="276"/>
    </row>
    <row r="860">
      <c r="E860" s="276"/>
    </row>
    <row r="861">
      <c r="E861" s="276"/>
    </row>
    <row r="862">
      <c r="E862" s="276"/>
    </row>
    <row r="863">
      <c r="E863" s="276"/>
    </row>
    <row r="864">
      <c r="E864" s="276"/>
    </row>
    <row r="865">
      <c r="E865" s="276"/>
    </row>
    <row r="866">
      <c r="E866" s="276"/>
    </row>
    <row r="867">
      <c r="E867" s="276"/>
    </row>
    <row r="868">
      <c r="E868" s="276"/>
    </row>
    <row r="869">
      <c r="E869" s="276"/>
    </row>
    <row r="870">
      <c r="E870" s="276"/>
    </row>
    <row r="871">
      <c r="E871" s="276"/>
    </row>
    <row r="872">
      <c r="E872" s="276"/>
    </row>
    <row r="873">
      <c r="E873" s="276"/>
    </row>
    <row r="874">
      <c r="E874" s="276"/>
    </row>
    <row r="875">
      <c r="E875" s="276"/>
    </row>
    <row r="876">
      <c r="E876" s="276"/>
    </row>
    <row r="877">
      <c r="E877" s="276"/>
    </row>
    <row r="878">
      <c r="E878" s="276"/>
    </row>
    <row r="879">
      <c r="E879" s="276"/>
    </row>
    <row r="880">
      <c r="E880" s="276"/>
    </row>
    <row r="881">
      <c r="E881" s="276"/>
    </row>
    <row r="882">
      <c r="E882" s="276"/>
    </row>
    <row r="883">
      <c r="E883" s="276"/>
    </row>
    <row r="884">
      <c r="E884" s="276"/>
    </row>
    <row r="885">
      <c r="E885" s="276"/>
    </row>
    <row r="886">
      <c r="E886" s="276"/>
    </row>
    <row r="887">
      <c r="E887" s="276"/>
    </row>
    <row r="888">
      <c r="E888" s="276"/>
    </row>
    <row r="889">
      <c r="E889" s="276"/>
    </row>
    <row r="890">
      <c r="E890" s="276"/>
    </row>
    <row r="891">
      <c r="E891" s="276"/>
    </row>
    <row r="892">
      <c r="E892" s="276"/>
    </row>
    <row r="893">
      <c r="E893" s="276"/>
    </row>
    <row r="894">
      <c r="E894" s="276"/>
    </row>
    <row r="895">
      <c r="E895" s="276"/>
    </row>
    <row r="896">
      <c r="E896" s="276"/>
    </row>
    <row r="897">
      <c r="E897" s="276"/>
    </row>
    <row r="898">
      <c r="E898" s="276"/>
    </row>
    <row r="899">
      <c r="E899" s="276"/>
    </row>
    <row r="900">
      <c r="E900" s="276"/>
    </row>
    <row r="901">
      <c r="E901" s="276"/>
    </row>
    <row r="902">
      <c r="E902" s="276"/>
    </row>
    <row r="903">
      <c r="E903" s="276"/>
    </row>
    <row r="904">
      <c r="E904" s="276"/>
    </row>
    <row r="905">
      <c r="E905" s="276"/>
    </row>
    <row r="906">
      <c r="E906" s="276"/>
    </row>
    <row r="907">
      <c r="E907" s="276"/>
    </row>
    <row r="908">
      <c r="E908" s="276"/>
    </row>
    <row r="909">
      <c r="E909" s="276"/>
    </row>
    <row r="910">
      <c r="E910" s="276"/>
    </row>
    <row r="911">
      <c r="E911" s="276"/>
    </row>
    <row r="912">
      <c r="E912" s="276"/>
    </row>
    <row r="913">
      <c r="E913" s="276"/>
    </row>
    <row r="914">
      <c r="E914" s="276"/>
    </row>
    <row r="915">
      <c r="E915" s="276"/>
    </row>
    <row r="916">
      <c r="E916" s="276"/>
    </row>
    <row r="917">
      <c r="E917" s="276"/>
    </row>
    <row r="918">
      <c r="E918" s="276"/>
    </row>
    <row r="919">
      <c r="E919" s="276"/>
    </row>
    <row r="920">
      <c r="E920" s="276"/>
    </row>
    <row r="921">
      <c r="E921" s="276"/>
    </row>
    <row r="922">
      <c r="E922" s="276"/>
    </row>
    <row r="923">
      <c r="E923" s="276"/>
    </row>
    <row r="924">
      <c r="E924" s="276"/>
    </row>
    <row r="925">
      <c r="E925" s="276"/>
    </row>
    <row r="926">
      <c r="E926" s="276"/>
    </row>
    <row r="927">
      <c r="E927" s="276"/>
    </row>
    <row r="928">
      <c r="E928" s="276"/>
    </row>
    <row r="929">
      <c r="E929" s="276"/>
    </row>
    <row r="930">
      <c r="E930" s="276"/>
    </row>
    <row r="931">
      <c r="E931" s="276"/>
    </row>
    <row r="932">
      <c r="E932" s="276"/>
    </row>
    <row r="933">
      <c r="E933" s="276"/>
    </row>
    <row r="934">
      <c r="E934" s="276"/>
    </row>
    <row r="935">
      <c r="E935" s="276"/>
    </row>
    <row r="936">
      <c r="E936" s="276"/>
    </row>
    <row r="937">
      <c r="E937" s="276"/>
    </row>
    <row r="938">
      <c r="E938" s="276"/>
    </row>
    <row r="939">
      <c r="E939" s="276"/>
    </row>
    <row r="940">
      <c r="E940" s="276"/>
    </row>
    <row r="941">
      <c r="E941" s="276"/>
    </row>
    <row r="942">
      <c r="E942" s="276"/>
    </row>
    <row r="943">
      <c r="E943" s="276"/>
    </row>
    <row r="944">
      <c r="E944" s="276"/>
    </row>
    <row r="945">
      <c r="E945" s="276"/>
    </row>
    <row r="946">
      <c r="E946" s="276"/>
    </row>
    <row r="947">
      <c r="E947" s="276"/>
    </row>
    <row r="948">
      <c r="E948" s="276"/>
    </row>
    <row r="949">
      <c r="E949" s="276"/>
    </row>
    <row r="950">
      <c r="E950" s="276"/>
    </row>
    <row r="951">
      <c r="E951" s="276"/>
    </row>
    <row r="952">
      <c r="E952" s="276"/>
    </row>
    <row r="953">
      <c r="E953" s="276"/>
    </row>
    <row r="954">
      <c r="E954" s="276"/>
    </row>
    <row r="955">
      <c r="E955" s="276"/>
    </row>
    <row r="956">
      <c r="E956" s="276"/>
    </row>
    <row r="957">
      <c r="E957" s="276"/>
    </row>
    <row r="958">
      <c r="E958" s="276"/>
    </row>
    <row r="959">
      <c r="E959" s="276"/>
    </row>
    <row r="960">
      <c r="E960" s="276"/>
    </row>
    <row r="961">
      <c r="E961" s="276"/>
    </row>
    <row r="962">
      <c r="E962" s="276"/>
    </row>
    <row r="963">
      <c r="E963" s="276"/>
    </row>
    <row r="964">
      <c r="E964" s="276"/>
    </row>
    <row r="965">
      <c r="E965" s="276"/>
    </row>
    <row r="966">
      <c r="E966" s="276"/>
    </row>
    <row r="967">
      <c r="E967" s="276"/>
    </row>
    <row r="968">
      <c r="E968" s="276"/>
    </row>
    <row r="969">
      <c r="E969" s="276"/>
    </row>
    <row r="970">
      <c r="E970" s="276"/>
    </row>
    <row r="971">
      <c r="E971" s="276"/>
    </row>
    <row r="972">
      <c r="E972" s="276"/>
    </row>
    <row r="973">
      <c r="E973" s="276"/>
    </row>
    <row r="974">
      <c r="E974" s="276"/>
    </row>
    <row r="975">
      <c r="E975" s="276"/>
    </row>
    <row r="976">
      <c r="E976" s="276"/>
    </row>
    <row r="977">
      <c r="E977" s="276"/>
    </row>
    <row r="978">
      <c r="E978" s="276"/>
    </row>
    <row r="979">
      <c r="E979" s="276"/>
    </row>
    <row r="980">
      <c r="E980" s="276"/>
    </row>
    <row r="981">
      <c r="E981" s="276"/>
    </row>
    <row r="982">
      <c r="E982" s="276"/>
    </row>
    <row r="983">
      <c r="E983" s="276"/>
    </row>
    <row r="984">
      <c r="E984" s="276"/>
    </row>
    <row r="985">
      <c r="E985" s="276"/>
    </row>
    <row r="986">
      <c r="E986" s="276"/>
    </row>
    <row r="987">
      <c r="E987" s="276"/>
    </row>
    <row r="988">
      <c r="E988" s="276"/>
    </row>
    <row r="989">
      <c r="E989" s="276"/>
    </row>
    <row r="990">
      <c r="E990" s="276"/>
    </row>
    <row r="991">
      <c r="E991" s="276"/>
    </row>
    <row r="992">
      <c r="E992" s="276"/>
    </row>
    <row r="993">
      <c r="E993" s="276"/>
    </row>
    <row r="994">
      <c r="E994" s="276"/>
    </row>
    <row r="995">
      <c r="E995" s="276"/>
    </row>
    <row r="996">
      <c r="E996" s="276"/>
    </row>
    <row r="997">
      <c r="E997" s="276"/>
    </row>
    <row r="998">
      <c r="E998" s="276"/>
    </row>
    <row r="999">
      <c r="E999" s="27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255" t="s">
        <v>2231</v>
      </c>
      <c r="B1" s="256" t="s">
        <v>2235</v>
      </c>
    </row>
    <row r="2">
      <c r="A2" s="9" t="s">
        <v>12</v>
      </c>
      <c r="B2" s="122">
        <v>97.0</v>
      </c>
    </row>
    <row r="3">
      <c r="A3" s="9" t="s">
        <v>2239</v>
      </c>
      <c r="B3" s="122">
        <v>96.0</v>
      </c>
    </row>
    <row r="4">
      <c r="A4" s="9" t="s">
        <v>2241</v>
      </c>
      <c r="B4" s="122">
        <v>86.0</v>
      </c>
    </row>
    <row r="5">
      <c r="A5" s="9" t="s">
        <v>2243</v>
      </c>
      <c r="B5" s="122">
        <v>82.0</v>
      </c>
    </row>
    <row r="6">
      <c r="A6" s="9" t="s">
        <v>2244</v>
      </c>
      <c r="B6" s="122">
        <v>80.0</v>
      </c>
    </row>
    <row r="7">
      <c r="A7" s="9" t="s">
        <v>2246</v>
      </c>
      <c r="B7" s="122">
        <v>76.0</v>
      </c>
    </row>
    <row r="8">
      <c r="A8" s="13" t="s">
        <v>1133</v>
      </c>
      <c r="B8" s="122">
        <v>74.0</v>
      </c>
    </row>
    <row r="9">
      <c r="A9" s="9" t="s">
        <v>11</v>
      </c>
      <c r="B9" s="122">
        <v>93.0</v>
      </c>
    </row>
    <row r="10">
      <c r="A10" s="9" t="s">
        <v>1087</v>
      </c>
      <c r="B10" s="122">
        <v>95.0</v>
      </c>
    </row>
    <row r="11">
      <c r="A11" s="9" t="s">
        <v>18</v>
      </c>
      <c r="B11" s="122">
        <v>92.0</v>
      </c>
    </row>
    <row r="12">
      <c r="A12" s="9" t="s">
        <v>1356</v>
      </c>
      <c r="B12" s="122">
        <v>78.0</v>
      </c>
    </row>
    <row r="13">
      <c r="A13" s="9" t="s">
        <v>351</v>
      </c>
      <c r="B13" s="122">
        <v>89.0</v>
      </c>
    </row>
    <row r="14">
      <c r="A14" s="9" t="s">
        <v>53</v>
      </c>
      <c r="B14" s="122">
        <v>91.0</v>
      </c>
    </row>
    <row r="15">
      <c r="A15" s="9" t="s">
        <v>1601</v>
      </c>
      <c r="B15" s="122">
        <v>88.0</v>
      </c>
    </row>
  </sheetData>
  <drawing r:id="rId1"/>
</worksheet>
</file>